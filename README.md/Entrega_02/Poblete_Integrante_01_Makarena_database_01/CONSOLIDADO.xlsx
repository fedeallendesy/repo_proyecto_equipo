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OneDrive - Universidad Católica de Chile\RAMOS\NARRACION GRAFICA\"/>
    </mc:Choice>
  </mc:AlternateContent>
  <bookViews>
    <workbookView xWindow="0" yWindow="0" windowWidth="23040" windowHeight="9072"/>
  </bookViews>
  <sheets>
    <sheet name="NUEVO CONSOLIDADO" sheetId="1" r:id="rId1"/>
  </sheets>
  <externalReferences>
    <externalReference r:id="rId2"/>
  </externalReferences>
  <definedNames>
    <definedName name="_xlnm.Database">#REF!</definedName>
    <definedName name="CapacidadesIda">#REF!</definedName>
    <definedName name="CapacidadesRegreso">#REF!</definedName>
    <definedName name="ExpIdaB7">#REF!</definedName>
    <definedName name="ExpIdaB9">#REF!</definedName>
    <definedName name="ExpIdaOtros">#REF!</definedName>
    <definedName name="ExpRegresoB7">#REF!</definedName>
    <definedName name="ExpRegresoB9">#REF!</definedName>
    <definedName name="ExpRegresoOtros">#REF!</definedName>
    <definedName name="FlotaB7">#REF!</definedName>
    <definedName name="FlotaB9">#REF!</definedName>
    <definedName name="FlotaOtros">#REF!</definedName>
    <definedName name="FrecuenciasIda">#REF!</definedName>
    <definedName name="FrecuenciasRegres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Q2" i="1" l="1"/>
  <c r="BR2" i="1"/>
  <c r="BU2" i="1"/>
  <c r="BU3" i="1"/>
  <c r="BQ4" i="1"/>
  <c r="BR4" i="1"/>
  <c r="BS4" i="1"/>
  <c r="BT4" i="1"/>
  <c r="BU4" i="1"/>
  <c r="BQ5" i="1"/>
  <c r="BR5" i="1"/>
  <c r="BS5" i="1"/>
  <c r="BT5" i="1"/>
  <c r="BU5" i="1"/>
  <c r="BQ6" i="1"/>
  <c r="BS6" i="1" s="1"/>
  <c r="BR6" i="1"/>
  <c r="BT6" i="1"/>
  <c r="BU6" i="1"/>
  <c r="BQ7" i="1"/>
  <c r="BS7" i="1" s="1"/>
  <c r="BR7" i="1"/>
  <c r="BT7" i="1"/>
  <c r="BU7" i="1"/>
  <c r="BQ8" i="1"/>
  <c r="BS8" i="1" s="1"/>
  <c r="BR8" i="1"/>
  <c r="BT8" i="1"/>
  <c r="BU8" i="1"/>
  <c r="BQ9" i="1"/>
  <c r="BS9" i="1" s="1"/>
  <c r="BR9" i="1"/>
  <c r="BT9" i="1"/>
  <c r="BU9" i="1"/>
  <c r="BQ10" i="1"/>
  <c r="BS10" i="1" s="1"/>
  <c r="BR10" i="1"/>
  <c r="BT10" i="1"/>
  <c r="BU10" i="1"/>
  <c r="BQ11" i="1"/>
  <c r="BS11" i="1" s="1"/>
  <c r="BR11" i="1"/>
  <c r="BT11" i="1"/>
  <c r="BU11" i="1"/>
  <c r="BQ12" i="1"/>
  <c r="BS12" i="1" s="1"/>
  <c r="BR12" i="1"/>
  <c r="BT12" i="1"/>
  <c r="BU12" i="1"/>
  <c r="BQ13" i="1"/>
  <c r="BR13" i="1"/>
  <c r="BS13" i="1"/>
  <c r="BT13" i="1"/>
  <c r="BU13" i="1"/>
  <c r="BQ14" i="1"/>
  <c r="BR14" i="1"/>
  <c r="BS14" i="1"/>
  <c r="BT14" i="1"/>
  <c r="BU14" i="1"/>
  <c r="BQ15" i="1"/>
  <c r="BR15" i="1"/>
  <c r="BS15" i="1"/>
  <c r="BT15" i="1"/>
  <c r="BU15" i="1"/>
  <c r="BQ16" i="1"/>
  <c r="BR16" i="1"/>
  <c r="BS16" i="1"/>
  <c r="BT16" i="1"/>
  <c r="BU16" i="1"/>
  <c r="BQ17" i="1"/>
  <c r="BR17" i="1"/>
  <c r="BS17" i="1"/>
  <c r="BT17" i="1"/>
  <c r="BU17" i="1"/>
  <c r="BQ18" i="1"/>
  <c r="BR18" i="1"/>
  <c r="BS18" i="1"/>
  <c r="BT18" i="1"/>
  <c r="BU18" i="1"/>
  <c r="BQ19" i="1"/>
  <c r="BS19" i="1" s="1"/>
  <c r="BR19" i="1"/>
  <c r="BT19" i="1"/>
  <c r="BU19" i="1"/>
  <c r="BQ20" i="1"/>
  <c r="BR20" i="1"/>
  <c r="BS20" i="1"/>
  <c r="BT20" i="1"/>
  <c r="BU20" i="1"/>
  <c r="BQ21" i="1"/>
  <c r="BR21" i="1"/>
  <c r="BS21" i="1"/>
  <c r="BT21" i="1"/>
  <c r="BU21" i="1"/>
  <c r="BQ22" i="1"/>
  <c r="BS22" i="1" s="1"/>
  <c r="BR22" i="1"/>
  <c r="BT22" i="1"/>
  <c r="BU22" i="1"/>
  <c r="BQ23" i="1"/>
  <c r="BS23" i="1" s="1"/>
  <c r="BR23" i="1"/>
  <c r="BT23" i="1"/>
  <c r="BU23" i="1"/>
  <c r="BQ24" i="1"/>
  <c r="BS24" i="1" s="1"/>
  <c r="BR24" i="1"/>
  <c r="BT24" i="1"/>
  <c r="BU24" i="1"/>
  <c r="BQ25" i="1"/>
  <c r="BS25" i="1" s="1"/>
  <c r="BR25" i="1"/>
  <c r="BT25" i="1"/>
  <c r="BU25" i="1"/>
  <c r="BQ26" i="1"/>
  <c r="BS26" i="1" s="1"/>
  <c r="BR26" i="1"/>
  <c r="BT26" i="1"/>
  <c r="BU26" i="1"/>
  <c r="BQ27" i="1"/>
  <c r="BS27" i="1" s="1"/>
  <c r="BR27" i="1"/>
  <c r="BU27" i="1"/>
  <c r="BQ28" i="1"/>
  <c r="BR28" i="1"/>
  <c r="BS28" i="1"/>
  <c r="BU28" i="1"/>
  <c r="BQ29" i="1"/>
  <c r="BS29" i="1" s="1"/>
  <c r="BR29" i="1"/>
  <c r="BT29" i="1"/>
  <c r="BU29" i="1"/>
  <c r="BQ30" i="1"/>
  <c r="BR30" i="1"/>
  <c r="BS30" i="1"/>
  <c r="BT30" i="1"/>
  <c r="BU30" i="1"/>
  <c r="BQ31" i="1"/>
  <c r="BR31" i="1"/>
  <c r="BS31" i="1"/>
  <c r="BT31" i="1"/>
  <c r="BU31" i="1"/>
  <c r="BQ32" i="1"/>
  <c r="BS32" i="1" s="1"/>
  <c r="BR32" i="1"/>
  <c r="BT32" i="1"/>
  <c r="BU32" i="1"/>
  <c r="BQ33" i="1"/>
  <c r="BS33" i="1" s="1"/>
  <c r="BR33" i="1"/>
  <c r="BT33" i="1"/>
  <c r="BU33" i="1"/>
  <c r="BQ34" i="1"/>
  <c r="BS34" i="1" s="1"/>
  <c r="BR34" i="1"/>
  <c r="BT34" i="1"/>
  <c r="BU34" i="1"/>
  <c r="BQ35" i="1"/>
  <c r="BS35" i="1" s="1"/>
  <c r="BR35" i="1"/>
  <c r="BT35" i="1"/>
  <c r="BU35" i="1"/>
  <c r="BQ36" i="1"/>
  <c r="BS36" i="1" s="1"/>
  <c r="BR36" i="1"/>
  <c r="BT36" i="1"/>
  <c r="BU36" i="1"/>
  <c r="BQ37" i="1"/>
  <c r="BS37" i="1" s="1"/>
  <c r="BR37" i="1"/>
  <c r="BT37" i="1"/>
  <c r="BU37" i="1"/>
  <c r="BQ38" i="1"/>
  <c r="BS38" i="1" s="1"/>
  <c r="BR38" i="1"/>
  <c r="BT38" i="1"/>
  <c r="BU38" i="1"/>
  <c r="BQ39" i="1"/>
  <c r="BR39" i="1"/>
  <c r="BS39" i="1"/>
  <c r="BT39" i="1"/>
  <c r="BU39" i="1"/>
  <c r="BQ40" i="1"/>
  <c r="BR40" i="1"/>
  <c r="BS40" i="1"/>
  <c r="BT40" i="1"/>
  <c r="BU40" i="1"/>
  <c r="BQ41" i="1"/>
  <c r="BR41" i="1"/>
  <c r="BS41" i="1"/>
  <c r="BT41" i="1"/>
  <c r="BU41" i="1"/>
  <c r="BQ42" i="1"/>
  <c r="BR42" i="1"/>
  <c r="BS42" i="1"/>
  <c r="BT42" i="1"/>
  <c r="BU42" i="1"/>
  <c r="BQ43" i="1"/>
  <c r="BR43" i="1"/>
  <c r="BS43" i="1"/>
  <c r="BT43" i="1"/>
  <c r="BU43" i="1"/>
  <c r="BQ44" i="1"/>
  <c r="BR44" i="1"/>
  <c r="BS44" i="1"/>
  <c r="BT44" i="1"/>
  <c r="BU44" i="1"/>
  <c r="BQ45" i="1"/>
  <c r="BS45" i="1" s="1"/>
  <c r="BR45" i="1"/>
  <c r="BT45" i="1"/>
  <c r="BU45" i="1"/>
  <c r="BQ46" i="1"/>
  <c r="BR46" i="1"/>
  <c r="BS46" i="1"/>
  <c r="BT46" i="1"/>
  <c r="BU46" i="1"/>
  <c r="BQ47" i="1"/>
  <c r="BR47" i="1"/>
  <c r="BS47" i="1"/>
  <c r="BT47" i="1"/>
  <c r="BU47" i="1"/>
  <c r="BQ48" i="1"/>
  <c r="BS48" i="1" s="1"/>
  <c r="BR48" i="1"/>
  <c r="BT48" i="1"/>
  <c r="BU48" i="1"/>
  <c r="BQ49" i="1"/>
  <c r="BS49" i="1" s="1"/>
  <c r="BR49" i="1"/>
  <c r="BT49" i="1"/>
  <c r="BU49" i="1"/>
  <c r="BQ50" i="1"/>
  <c r="BS50" i="1" s="1"/>
  <c r="BR50" i="1"/>
  <c r="BT50" i="1"/>
  <c r="BU50" i="1"/>
  <c r="BQ51" i="1"/>
  <c r="BS51" i="1" s="1"/>
  <c r="BR51" i="1"/>
  <c r="BT51" i="1"/>
  <c r="BU51" i="1"/>
  <c r="BQ52" i="1"/>
  <c r="BS52" i="1" s="1"/>
  <c r="BR52" i="1"/>
  <c r="BT52" i="1"/>
  <c r="BU52" i="1"/>
  <c r="BQ53" i="1"/>
  <c r="BS53" i="1" s="1"/>
  <c r="BR53" i="1"/>
  <c r="BT53" i="1"/>
  <c r="BU53" i="1"/>
  <c r="BQ54" i="1"/>
  <c r="BS54" i="1" s="1"/>
  <c r="BR54" i="1"/>
  <c r="BT54" i="1"/>
  <c r="BU54" i="1"/>
  <c r="BQ55" i="1"/>
  <c r="BR55" i="1"/>
  <c r="BS55" i="1"/>
  <c r="BT55" i="1"/>
  <c r="BU55" i="1"/>
  <c r="BQ56" i="1"/>
  <c r="BR56" i="1"/>
  <c r="BS56" i="1"/>
  <c r="BT56" i="1"/>
  <c r="BU56" i="1"/>
  <c r="BQ57" i="1"/>
  <c r="BR57" i="1"/>
  <c r="BS57" i="1"/>
  <c r="BT57" i="1"/>
  <c r="BU57" i="1"/>
  <c r="BQ58" i="1"/>
  <c r="BR58" i="1"/>
  <c r="BS58" i="1"/>
  <c r="BT58" i="1"/>
  <c r="BU58" i="1"/>
  <c r="BQ59" i="1"/>
  <c r="BR59" i="1"/>
  <c r="BS59" i="1"/>
  <c r="BT59" i="1"/>
  <c r="BU59" i="1"/>
  <c r="BQ60" i="1"/>
  <c r="BR60" i="1"/>
  <c r="BS60" i="1"/>
  <c r="BT60" i="1"/>
  <c r="BU60" i="1"/>
  <c r="BQ61" i="1"/>
  <c r="BS61" i="1" s="1"/>
  <c r="BR61" i="1"/>
  <c r="BT61" i="1"/>
  <c r="BU61" i="1"/>
  <c r="BQ62" i="1"/>
  <c r="BR62" i="1"/>
  <c r="BS62" i="1"/>
  <c r="BT62" i="1"/>
  <c r="BU62" i="1"/>
  <c r="BQ63" i="1"/>
  <c r="BR63" i="1"/>
  <c r="BS63" i="1"/>
  <c r="BT63" i="1"/>
  <c r="BU63" i="1"/>
  <c r="BQ64" i="1"/>
  <c r="BS64" i="1" s="1"/>
  <c r="BR64" i="1"/>
  <c r="BT64" i="1"/>
  <c r="BU64" i="1"/>
  <c r="BQ65" i="1"/>
  <c r="BS65" i="1" s="1"/>
  <c r="BR65" i="1"/>
  <c r="BT65" i="1"/>
  <c r="BU65" i="1"/>
  <c r="BQ66" i="1"/>
  <c r="BS66" i="1" s="1"/>
  <c r="BR66" i="1"/>
  <c r="BT66" i="1"/>
  <c r="BU66" i="1"/>
  <c r="BQ67" i="1"/>
  <c r="BS67" i="1" s="1"/>
  <c r="BR67" i="1"/>
  <c r="BT67" i="1"/>
  <c r="BU67" i="1"/>
  <c r="BQ68" i="1"/>
  <c r="BS68" i="1" s="1"/>
  <c r="BR68" i="1"/>
  <c r="BT68" i="1"/>
  <c r="BU68" i="1"/>
  <c r="BQ69" i="1"/>
  <c r="BS69" i="1" s="1"/>
  <c r="BR69" i="1"/>
  <c r="BT69" i="1"/>
  <c r="BU69" i="1"/>
  <c r="BQ70" i="1"/>
  <c r="BS70" i="1" s="1"/>
  <c r="BR70" i="1"/>
  <c r="BT70" i="1"/>
  <c r="BU70" i="1"/>
  <c r="BQ71" i="1"/>
  <c r="BR71" i="1"/>
  <c r="BS71" i="1"/>
  <c r="BT71" i="1"/>
  <c r="BU71" i="1"/>
  <c r="BQ72" i="1"/>
  <c r="BR72" i="1"/>
  <c r="BS72" i="1"/>
  <c r="BT72" i="1"/>
  <c r="BU72" i="1"/>
  <c r="BQ73" i="1"/>
  <c r="BR73" i="1"/>
  <c r="BS73" i="1"/>
  <c r="BT73" i="1"/>
  <c r="BU73" i="1"/>
  <c r="BQ74" i="1"/>
  <c r="BR74" i="1"/>
  <c r="BS74" i="1"/>
  <c r="BT74" i="1"/>
  <c r="BU74" i="1"/>
  <c r="BQ75" i="1"/>
  <c r="BR75" i="1"/>
  <c r="BS75" i="1"/>
  <c r="BT75" i="1"/>
  <c r="BU75" i="1"/>
  <c r="BQ76" i="1"/>
  <c r="BR76" i="1"/>
  <c r="BS76" i="1"/>
  <c r="BT76" i="1"/>
  <c r="BU76" i="1"/>
  <c r="BQ77" i="1"/>
  <c r="BS77" i="1" s="1"/>
  <c r="BR77" i="1"/>
  <c r="BT77" i="1"/>
  <c r="BU77" i="1"/>
  <c r="BQ78" i="1"/>
  <c r="BR78" i="1"/>
  <c r="BS78" i="1"/>
  <c r="BT78" i="1"/>
  <c r="BU78" i="1"/>
  <c r="BQ79" i="1"/>
  <c r="BR79" i="1"/>
  <c r="BS79" i="1"/>
  <c r="BT79" i="1"/>
  <c r="BU79" i="1"/>
  <c r="BQ80" i="1"/>
  <c r="BS80" i="1" s="1"/>
  <c r="BR80" i="1"/>
  <c r="BT80" i="1"/>
  <c r="BU80" i="1"/>
  <c r="BQ81" i="1"/>
  <c r="BS81" i="1" s="1"/>
  <c r="BR81" i="1"/>
  <c r="BT81" i="1"/>
  <c r="BU81" i="1"/>
  <c r="BQ82" i="1"/>
  <c r="BS82" i="1" s="1"/>
  <c r="BR82" i="1"/>
  <c r="BT82" i="1"/>
  <c r="BU82" i="1"/>
  <c r="BQ83" i="1"/>
  <c r="BS83" i="1" s="1"/>
  <c r="BR83" i="1"/>
  <c r="BT83" i="1"/>
  <c r="BU83" i="1"/>
  <c r="BQ84" i="1"/>
  <c r="BS84" i="1" s="1"/>
  <c r="BR84" i="1"/>
  <c r="BT84" i="1"/>
  <c r="BU84" i="1"/>
  <c r="BQ85" i="1"/>
  <c r="BS85" i="1" s="1"/>
  <c r="BR85" i="1"/>
  <c r="BT85" i="1"/>
  <c r="BU85" i="1"/>
  <c r="BQ86" i="1"/>
  <c r="BS86" i="1" s="1"/>
  <c r="BR86" i="1"/>
  <c r="BT86" i="1"/>
  <c r="BU86" i="1"/>
  <c r="BQ87" i="1"/>
  <c r="BR87" i="1"/>
  <c r="BS87" i="1"/>
  <c r="BT87" i="1"/>
  <c r="BU87" i="1"/>
  <c r="BQ88" i="1"/>
  <c r="BR88" i="1"/>
  <c r="BS88" i="1"/>
  <c r="BT88" i="1"/>
  <c r="BU88" i="1"/>
  <c r="BQ89" i="1"/>
  <c r="BR89" i="1"/>
  <c r="BS89" i="1"/>
  <c r="BT89" i="1"/>
  <c r="BU89" i="1"/>
  <c r="BQ90" i="1"/>
  <c r="BR90" i="1"/>
  <c r="BS90" i="1"/>
  <c r="BT90" i="1"/>
  <c r="BU90" i="1"/>
  <c r="BQ91" i="1"/>
  <c r="BR91" i="1"/>
  <c r="BS91" i="1"/>
  <c r="BT91" i="1"/>
  <c r="BU91" i="1"/>
  <c r="BQ92" i="1"/>
  <c r="BR92" i="1"/>
  <c r="BS92" i="1"/>
  <c r="BT92" i="1"/>
  <c r="BU92" i="1"/>
  <c r="BQ93" i="1"/>
  <c r="BS93" i="1" s="1"/>
  <c r="BR93" i="1"/>
  <c r="BT93" i="1"/>
  <c r="BU93" i="1"/>
  <c r="BQ94" i="1"/>
  <c r="BR94" i="1"/>
  <c r="BS94" i="1"/>
  <c r="BT94" i="1"/>
  <c r="BU94" i="1"/>
  <c r="BQ95" i="1"/>
  <c r="BR95" i="1"/>
  <c r="BS95" i="1"/>
  <c r="BT95" i="1"/>
  <c r="BU95" i="1"/>
  <c r="BQ96" i="1"/>
  <c r="BS96" i="1" s="1"/>
  <c r="BR96" i="1"/>
  <c r="BT96" i="1"/>
  <c r="BU96" i="1"/>
  <c r="BQ97" i="1"/>
  <c r="BS97" i="1" s="1"/>
  <c r="BR97" i="1"/>
  <c r="BT97" i="1"/>
  <c r="BU97" i="1"/>
  <c r="BQ98" i="1"/>
  <c r="BS98" i="1" s="1"/>
  <c r="BR98" i="1"/>
  <c r="BT98" i="1"/>
  <c r="BU98" i="1"/>
  <c r="BQ99" i="1"/>
  <c r="BS99" i="1" s="1"/>
  <c r="BR99" i="1"/>
  <c r="BT99" i="1"/>
  <c r="BU99" i="1"/>
  <c r="BQ100" i="1"/>
  <c r="BS100" i="1" s="1"/>
  <c r="BR100" i="1"/>
  <c r="BT100" i="1"/>
  <c r="BU100" i="1"/>
  <c r="BQ101" i="1"/>
  <c r="BS101" i="1" s="1"/>
  <c r="BR101" i="1"/>
  <c r="BT101" i="1"/>
  <c r="BU101" i="1"/>
  <c r="BQ102" i="1"/>
  <c r="BS102" i="1" s="1"/>
  <c r="BR102" i="1"/>
  <c r="BT102" i="1"/>
  <c r="BU102" i="1"/>
  <c r="BQ103" i="1"/>
  <c r="BR103" i="1"/>
  <c r="BS103" i="1"/>
  <c r="BT103" i="1"/>
  <c r="BU103" i="1"/>
  <c r="BQ104" i="1"/>
  <c r="BR104" i="1"/>
  <c r="BS104" i="1"/>
  <c r="BT104" i="1"/>
  <c r="BU104" i="1"/>
  <c r="BQ105" i="1"/>
  <c r="BR105" i="1"/>
  <c r="BS105" i="1"/>
  <c r="BT105" i="1"/>
  <c r="BU105" i="1"/>
  <c r="BQ106" i="1"/>
  <c r="BR106" i="1"/>
  <c r="BS106" i="1"/>
  <c r="BT106" i="1"/>
  <c r="BU106" i="1"/>
  <c r="BQ107" i="1"/>
  <c r="BR107" i="1"/>
  <c r="BS107" i="1"/>
  <c r="BT107" i="1"/>
  <c r="BU107" i="1"/>
  <c r="BQ108" i="1"/>
  <c r="BR108" i="1"/>
  <c r="BS108" i="1"/>
  <c r="BT108" i="1"/>
  <c r="BU108" i="1"/>
  <c r="BQ109" i="1"/>
  <c r="BS109" i="1" s="1"/>
  <c r="BR109" i="1"/>
  <c r="BT109" i="1"/>
  <c r="BU109" i="1"/>
  <c r="BQ110" i="1"/>
  <c r="BR110" i="1"/>
  <c r="BS110" i="1"/>
  <c r="BT110" i="1"/>
  <c r="BU110" i="1"/>
  <c r="BQ111" i="1"/>
  <c r="BR111" i="1"/>
  <c r="BS111" i="1"/>
  <c r="BT111" i="1"/>
  <c r="BU111" i="1"/>
  <c r="BQ112" i="1"/>
  <c r="BS112" i="1" s="1"/>
  <c r="BR112" i="1"/>
  <c r="BT112" i="1"/>
  <c r="BU112" i="1"/>
  <c r="BQ113" i="1"/>
  <c r="BS113" i="1" s="1"/>
  <c r="BR113" i="1"/>
  <c r="BT113" i="1"/>
  <c r="BU113" i="1"/>
  <c r="BQ114" i="1"/>
  <c r="BS114" i="1" s="1"/>
  <c r="BR114" i="1"/>
  <c r="BT114" i="1"/>
  <c r="BU114" i="1"/>
  <c r="BQ115" i="1"/>
  <c r="BS115" i="1" s="1"/>
  <c r="BR115" i="1"/>
  <c r="BT115" i="1"/>
  <c r="BU115" i="1"/>
  <c r="BQ116" i="1"/>
  <c r="BS116" i="1" s="1"/>
  <c r="BR116" i="1"/>
  <c r="BT116" i="1"/>
  <c r="BU116" i="1"/>
  <c r="BQ117" i="1"/>
  <c r="BS117" i="1" s="1"/>
  <c r="BR117" i="1"/>
  <c r="BT117" i="1"/>
  <c r="BU117" i="1"/>
  <c r="BQ118" i="1"/>
  <c r="BS118" i="1" s="1"/>
  <c r="BR118" i="1"/>
  <c r="BT118" i="1"/>
  <c r="BU118" i="1"/>
  <c r="BQ119" i="1"/>
  <c r="BR119" i="1"/>
  <c r="BS119" i="1"/>
  <c r="BT119" i="1"/>
  <c r="BU119" i="1"/>
  <c r="BQ120" i="1"/>
  <c r="BR120" i="1"/>
  <c r="BS120" i="1"/>
  <c r="BT120" i="1"/>
  <c r="BU120" i="1"/>
  <c r="BQ121" i="1"/>
  <c r="BR121" i="1"/>
  <c r="BS121" i="1"/>
  <c r="BT121" i="1"/>
  <c r="BU121" i="1"/>
  <c r="BQ122" i="1"/>
  <c r="BR122" i="1"/>
  <c r="BS122" i="1"/>
  <c r="BT122" i="1"/>
  <c r="BU122" i="1"/>
  <c r="BQ123" i="1"/>
  <c r="BR123" i="1"/>
  <c r="BS123" i="1"/>
  <c r="BT123" i="1"/>
  <c r="BU123" i="1"/>
  <c r="BQ124" i="1"/>
  <c r="BR124" i="1"/>
  <c r="BS124" i="1"/>
  <c r="BT124" i="1"/>
  <c r="BU124" i="1"/>
  <c r="BQ125" i="1"/>
  <c r="BS125" i="1" s="1"/>
  <c r="BR125" i="1"/>
  <c r="BT125" i="1"/>
  <c r="BU125" i="1"/>
  <c r="BQ126" i="1"/>
  <c r="BR126" i="1"/>
  <c r="BS126" i="1"/>
  <c r="BT126" i="1"/>
  <c r="BU126" i="1"/>
  <c r="BQ127" i="1"/>
  <c r="BR127" i="1"/>
  <c r="BS127" i="1"/>
  <c r="BT127" i="1"/>
  <c r="BU127" i="1"/>
  <c r="BQ128" i="1"/>
  <c r="BS128" i="1" s="1"/>
  <c r="BR128" i="1"/>
  <c r="BT128" i="1"/>
  <c r="BU128" i="1"/>
  <c r="BQ129" i="1"/>
  <c r="BS129" i="1" s="1"/>
  <c r="BR129" i="1"/>
  <c r="BT129" i="1"/>
  <c r="BU129" i="1"/>
  <c r="BQ130" i="1"/>
  <c r="BS130" i="1" s="1"/>
  <c r="BR130" i="1"/>
  <c r="BT130" i="1"/>
  <c r="BU130" i="1"/>
  <c r="BQ131" i="1"/>
  <c r="BS131" i="1" s="1"/>
  <c r="BR131" i="1"/>
  <c r="BT131" i="1"/>
  <c r="BU131" i="1"/>
  <c r="BQ132" i="1"/>
  <c r="BS132" i="1" s="1"/>
  <c r="BR132" i="1"/>
  <c r="BT132" i="1"/>
  <c r="BU132" i="1"/>
  <c r="BQ133" i="1"/>
  <c r="BS133" i="1" s="1"/>
  <c r="BR133" i="1"/>
  <c r="BT133" i="1"/>
  <c r="BU133" i="1"/>
  <c r="BQ134" i="1"/>
  <c r="BS134" i="1" s="1"/>
  <c r="BR134" i="1"/>
  <c r="BT134" i="1"/>
  <c r="BU134" i="1"/>
  <c r="BQ135" i="1"/>
  <c r="BR135" i="1"/>
  <c r="BS135" i="1"/>
  <c r="BT135" i="1"/>
  <c r="BU135" i="1"/>
  <c r="BQ136" i="1"/>
  <c r="BR136" i="1"/>
  <c r="BS136" i="1"/>
  <c r="BT136" i="1"/>
  <c r="BU136" i="1"/>
  <c r="BQ137" i="1"/>
  <c r="BR137" i="1"/>
  <c r="BS137" i="1"/>
  <c r="BT137" i="1"/>
  <c r="BU137" i="1"/>
  <c r="BQ138" i="1"/>
  <c r="BR138" i="1"/>
  <c r="BS138" i="1"/>
  <c r="BT138" i="1"/>
  <c r="BU138" i="1"/>
  <c r="BQ139" i="1"/>
  <c r="BR139" i="1"/>
  <c r="BS139" i="1"/>
  <c r="BT139" i="1"/>
  <c r="BU139" i="1"/>
  <c r="BQ140" i="1"/>
  <c r="BR140" i="1"/>
  <c r="BS140" i="1"/>
  <c r="BT140" i="1"/>
  <c r="BU140" i="1"/>
  <c r="BQ141" i="1"/>
  <c r="BS141" i="1" s="1"/>
  <c r="BR141" i="1"/>
  <c r="BT141" i="1"/>
  <c r="BU141" i="1"/>
  <c r="BQ142" i="1"/>
  <c r="BR142" i="1"/>
  <c r="BS142" i="1"/>
  <c r="BT142" i="1"/>
  <c r="BU142" i="1"/>
  <c r="BQ143" i="1"/>
  <c r="BR143" i="1"/>
  <c r="BS143" i="1"/>
  <c r="BT143" i="1"/>
  <c r="BU143" i="1"/>
  <c r="BQ144" i="1"/>
  <c r="BS144" i="1" s="1"/>
  <c r="BR144" i="1"/>
  <c r="BT144" i="1"/>
  <c r="BU144" i="1"/>
  <c r="BQ145" i="1"/>
  <c r="BS145" i="1" s="1"/>
  <c r="BR145" i="1"/>
  <c r="BT145" i="1"/>
  <c r="BU145" i="1"/>
  <c r="BQ146" i="1"/>
  <c r="BS146" i="1" s="1"/>
  <c r="BR146" i="1"/>
  <c r="BT146" i="1"/>
  <c r="BU146" i="1"/>
  <c r="BQ147" i="1"/>
  <c r="BS147" i="1" s="1"/>
  <c r="BR147" i="1"/>
  <c r="BT147" i="1"/>
  <c r="BU147" i="1"/>
  <c r="BQ148" i="1"/>
  <c r="BS148" i="1" s="1"/>
  <c r="BR148" i="1"/>
  <c r="BT148" i="1"/>
  <c r="BU148" i="1"/>
  <c r="BQ149" i="1"/>
  <c r="BS149" i="1" s="1"/>
  <c r="BR149" i="1"/>
  <c r="BT149" i="1"/>
  <c r="BU149" i="1"/>
  <c r="BQ150" i="1"/>
  <c r="BS150" i="1" s="1"/>
  <c r="BR150" i="1"/>
  <c r="BT150" i="1"/>
  <c r="BU150" i="1"/>
  <c r="BQ151" i="1"/>
  <c r="BR151" i="1"/>
  <c r="BS151" i="1"/>
  <c r="BT151" i="1"/>
  <c r="BU151" i="1"/>
  <c r="BQ152" i="1"/>
  <c r="BR152" i="1"/>
  <c r="BS152" i="1"/>
  <c r="BT152" i="1"/>
  <c r="BU152" i="1"/>
  <c r="BQ153" i="1"/>
  <c r="BR153" i="1"/>
  <c r="BS153" i="1"/>
  <c r="BT153" i="1"/>
  <c r="BU153" i="1"/>
  <c r="BQ154" i="1"/>
  <c r="BR154" i="1"/>
  <c r="BS154" i="1"/>
  <c r="BT154" i="1"/>
  <c r="BU154" i="1"/>
  <c r="BQ155" i="1"/>
  <c r="BR155" i="1"/>
  <c r="BS155" i="1"/>
  <c r="BT155" i="1"/>
  <c r="BU155" i="1"/>
  <c r="BQ156" i="1"/>
  <c r="BR156" i="1"/>
  <c r="BS156" i="1"/>
  <c r="BT156" i="1"/>
  <c r="BU156" i="1"/>
  <c r="BQ157" i="1"/>
  <c r="BS157" i="1" s="1"/>
  <c r="BR157" i="1"/>
  <c r="BT157" i="1"/>
  <c r="BU157" i="1"/>
  <c r="BQ158" i="1"/>
  <c r="BR158" i="1"/>
  <c r="BS158" i="1"/>
  <c r="BT158" i="1"/>
  <c r="BU158" i="1"/>
  <c r="BQ159" i="1"/>
  <c r="BR159" i="1"/>
  <c r="BS159" i="1"/>
  <c r="BT159" i="1"/>
  <c r="BU159" i="1"/>
  <c r="BQ160" i="1"/>
  <c r="BS160" i="1" s="1"/>
  <c r="BR160" i="1"/>
  <c r="BT160" i="1"/>
  <c r="BU160" i="1"/>
  <c r="BQ161" i="1"/>
  <c r="BS161" i="1" s="1"/>
  <c r="BR161" i="1"/>
  <c r="BT161" i="1"/>
  <c r="BU161" i="1"/>
  <c r="BQ162" i="1"/>
  <c r="BS162" i="1" s="1"/>
  <c r="BR162" i="1"/>
  <c r="BT162" i="1"/>
  <c r="BU162" i="1"/>
  <c r="BQ163" i="1"/>
  <c r="BS163" i="1" s="1"/>
  <c r="BR163" i="1"/>
  <c r="BT163" i="1"/>
  <c r="BU163" i="1"/>
  <c r="BQ164" i="1"/>
  <c r="BS164" i="1" s="1"/>
  <c r="BR164" i="1"/>
  <c r="BT164" i="1"/>
  <c r="BU164" i="1"/>
  <c r="BQ165" i="1"/>
  <c r="BS165" i="1" s="1"/>
  <c r="BR165" i="1"/>
  <c r="BT165" i="1"/>
  <c r="BU165" i="1"/>
  <c r="BQ166" i="1"/>
  <c r="BS166" i="1" s="1"/>
  <c r="BR166" i="1"/>
  <c r="BT166" i="1"/>
  <c r="BU166" i="1"/>
  <c r="BQ167" i="1"/>
  <c r="BR167" i="1"/>
  <c r="BS167" i="1"/>
  <c r="BT167" i="1"/>
  <c r="BU167" i="1"/>
  <c r="BQ168" i="1"/>
  <c r="BR168" i="1"/>
  <c r="BS168" i="1"/>
  <c r="BT168" i="1"/>
  <c r="BU168" i="1"/>
  <c r="BQ169" i="1"/>
  <c r="BR169" i="1"/>
  <c r="BS169" i="1"/>
  <c r="BT169" i="1"/>
  <c r="BU169" i="1"/>
  <c r="BQ170" i="1"/>
  <c r="BR170" i="1"/>
  <c r="BS170" i="1"/>
  <c r="BT170" i="1"/>
  <c r="BU170" i="1"/>
  <c r="BQ171" i="1"/>
  <c r="BR171" i="1"/>
  <c r="BS171" i="1"/>
  <c r="BT171" i="1"/>
  <c r="BU171" i="1"/>
  <c r="BQ172" i="1"/>
  <c r="BR172" i="1"/>
  <c r="BS172" i="1"/>
  <c r="BT172" i="1"/>
  <c r="BU172" i="1"/>
  <c r="BQ173" i="1"/>
  <c r="BS173" i="1" s="1"/>
  <c r="BR173" i="1"/>
  <c r="BT173" i="1"/>
  <c r="BU173" i="1"/>
  <c r="BQ174" i="1"/>
  <c r="BR174" i="1"/>
  <c r="BS174" i="1"/>
  <c r="BT174" i="1"/>
  <c r="BU174" i="1"/>
  <c r="BQ175" i="1"/>
  <c r="BR175" i="1"/>
  <c r="BS175" i="1"/>
  <c r="BT175" i="1"/>
  <c r="BU175" i="1"/>
  <c r="BQ176" i="1"/>
  <c r="BS176" i="1" s="1"/>
  <c r="BR176" i="1"/>
  <c r="BT176" i="1"/>
  <c r="BU176" i="1"/>
  <c r="BQ177" i="1"/>
  <c r="BS177" i="1" s="1"/>
  <c r="BR177" i="1"/>
  <c r="BT177" i="1"/>
  <c r="BU177" i="1"/>
  <c r="BQ178" i="1"/>
  <c r="BS178" i="1" s="1"/>
  <c r="BR178" i="1"/>
  <c r="BT178" i="1"/>
  <c r="BU178" i="1"/>
  <c r="BQ179" i="1"/>
  <c r="BS179" i="1" s="1"/>
  <c r="BR179" i="1"/>
  <c r="BT179" i="1"/>
  <c r="BU179" i="1"/>
  <c r="BQ180" i="1"/>
  <c r="BS180" i="1" s="1"/>
  <c r="BR180" i="1"/>
  <c r="BT180" i="1"/>
  <c r="BU180" i="1"/>
  <c r="BQ181" i="1"/>
  <c r="BS181" i="1" s="1"/>
  <c r="BR181" i="1"/>
  <c r="BT181" i="1"/>
  <c r="BU181" i="1"/>
  <c r="BQ182" i="1"/>
  <c r="BS182" i="1" s="1"/>
  <c r="BR182" i="1"/>
  <c r="BT182" i="1"/>
  <c r="BU182" i="1"/>
  <c r="BQ183" i="1"/>
  <c r="BR183" i="1"/>
  <c r="BS183" i="1"/>
  <c r="BT183" i="1"/>
  <c r="BU183" i="1"/>
  <c r="BQ184" i="1"/>
  <c r="BR184" i="1"/>
  <c r="BS184" i="1"/>
  <c r="BT184" i="1"/>
  <c r="BU184" i="1"/>
  <c r="BQ185" i="1"/>
  <c r="BR185" i="1"/>
  <c r="BS185" i="1"/>
  <c r="BT185" i="1"/>
  <c r="BU185" i="1"/>
  <c r="BQ186" i="1"/>
  <c r="BR186" i="1"/>
  <c r="BS186" i="1"/>
  <c r="BT186" i="1"/>
  <c r="BU186" i="1"/>
  <c r="BQ187" i="1"/>
  <c r="BR187" i="1"/>
  <c r="BS187" i="1"/>
  <c r="BT187" i="1"/>
  <c r="BU187" i="1"/>
  <c r="BQ188" i="1"/>
  <c r="BR188" i="1"/>
  <c r="BS188" i="1"/>
  <c r="BT188" i="1"/>
  <c r="BU188" i="1"/>
  <c r="BQ189" i="1"/>
  <c r="BS189" i="1" s="1"/>
  <c r="BR189" i="1"/>
  <c r="BT189" i="1"/>
  <c r="BU189" i="1"/>
  <c r="BQ190" i="1"/>
  <c r="BR190" i="1"/>
  <c r="BS190" i="1"/>
  <c r="BT190" i="1"/>
  <c r="BU190" i="1"/>
  <c r="BQ191" i="1"/>
  <c r="BR191" i="1"/>
  <c r="BS191" i="1"/>
  <c r="BT191" i="1"/>
  <c r="BU191" i="1"/>
  <c r="BQ192" i="1"/>
  <c r="BS192" i="1" s="1"/>
  <c r="BR192" i="1"/>
  <c r="BT192" i="1"/>
  <c r="BU192" i="1"/>
  <c r="BQ193" i="1"/>
  <c r="BS193" i="1" s="1"/>
  <c r="BR193" i="1"/>
  <c r="BT193" i="1"/>
  <c r="BU193" i="1"/>
  <c r="BQ194" i="1"/>
  <c r="BS194" i="1" s="1"/>
  <c r="BR194" i="1"/>
  <c r="BT194" i="1"/>
  <c r="BU194" i="1"/>
  <c r="BQ195" i="1"/>
  <c r="BS195" i="1" s="1"/>
  <c r="BR195" i="1"/>
  <c r="BT195" i="1"/>
  <c r="BU195" i="1"/>
  <c r="BQ196" i="1"/>
  <c r="BS196" i="1" s="1"/>
  <c r="BR196" i="1"/>
  <c r="BT196" i="1"/>
  <c r="BU196" i="1"/>
  <c r="BQ197" i="1"/>
  <c r="BS197" i="1" s="1"/>
  <c r="BR197" i="1"/>
  <c r="BT197" i="1"/>
  <c r="BU197" i="1"/>
  <c r="BQ198" i="1"/>
  <c r="BS198" i="1" s="1"/>
  <c r="BR198" i="1"/>
  <c r="BT198" i="1"/>
  <c r="BU198" i="1"/>
  <c r="BQ199" i="1"/>
  <c r="BR199" i="1"/>
  <c r="BS199" i="1"/>
  <c r="BT199" i="1"/>
  <c r="BU199" i="1"/>
  <c r="BQ200" i="1"/>
  <c r="BR200" i="1"/>
  <c r="BS200" i="1"/>
  <c r="BT200" i="1"/>
  <c r="BU200" i="1"/>
  <c r="BQ201" i="1"/>
  <c r="BR201" i="1"/>
  <c r="BS201" i="1"/>
  <c r="BT201" i="1"/>
  <c r="BU201" i="1"/>
  <c r="BQ202" i="1"/>
  <c r="BR202" i="1"/>
  <c r="BS202" i="1"/>
  <c r="BT202" i="1"/>
  <c r="BU202" i="1"/>
  <c r="BQ203" i="1"/>
  <c r="BR203" i="1"/>
  <c r="BS203" i="1"/>
  <c r="BT203" i="1"/>
  <c r="BU203" i="1"/>
  <c r="BQ204" i="1"/>
  <c r="BR204" i="1"/>
  <c r="BS204" i="1"/>
  <c r="BT204" i="1"/>
  <c r="BU204" i="1"/>
  <c r="BQ205" i="1"/>
  <c r="BS205" i="1" s="1"/>
  <c r="BR205" i="1"/>
  <c r="BT205" i="1"/>
  <c r="BU205" i="1"/>
  <c r="BQ206" i="1"/>
  <c r="BR206" i="1"/>
  <c r="BS206" i="1"/>
  <c r="BT206" i="1"/>
  <c r="BU206" i="1"/>
  <c r="BQ207" i="1"/>
  <c r="BR207" i="1"/>
  <c r="BS207" i="1"/>
  <c r="BT207" i="1"/>
  <c r="BU207" i="1"/>
  <c r="BQ208" i="1"/>
  <c r="BS208" i="1" s="1"/>
  <c r="BR208" i="1"/>
  <c r="BT208" i="1"/>
  <c r="BU208" i="1"/>
  <c r="BQ209" i="1"/>
  <c r="BS209" i="1" s="1"/>
  <c r="BR209" i="1"/>
  <c r="BT209" i="1"/>
  <c r="BU209" i="1"/>
  <c r="BQ210" i="1"/>
  <c r="BS210" i="1" s="1"/>
  <c r="BR210" i="1"/>
  <c r="BT210" i="1"/>
  <c r="BU210" i="1"/>
  <c r="BQ211" i="1"/>
  <c r="BS211" i="1" s="1"/>
  <c r="BR211" i="1"/>
  <c r="BT211" i="1"/>
  <c r="BU211" i="1"/>
  <c r="BQ212" i="1"/>
  <c r="BS212" i="1" s="1"/>
  <c r="BR212" i="1"/>
  <c r="BT212" i="1"/>
  <c r="BU212" i="1"/>
  <c r="BQ213" i="1"/>
  <c r="BS213" i="1" s="1"/>
  <c r="BR213" i="1"/>
  <c r="BT213" i="1"/>
  <c r="BU213" i="1"/>
  <c r="BQ214" i="1"/>
  <c r="BS214" i="1" s="1"/>
  <c r="BR214" i="1"/>
  <c r="BT214" i="1"/>
  <c r="BU214" i="1"/>
  <c r="BQ215" i="1"/>
  <c r="BR215" i="1"/>
  <c r="BS215" i="1"/>
  <c r="BT215" i="1"/>
  <c r="BU215" i="1"/>
  <c r="BQ216" i="1"/>
  <c r="BR216" i="1"/>
  <c r="BS216" i="1"/>
  <c r="BT216" i="1"/>
  <c r="BU216" i="1"/>
  <c r="BQ217" i="1"/>
  <c r="BR217" i="1"/>
  <c r="BS217" i="1"/>
  <c r="BT217" i="1"/>
  <c r="BU217" i="1"/>
  <c r="BQ218" i="1"/>
  <c r="BR218" i="1"/>
  <c r="BS218" i="1"/>
  <c r="BT218" i="1"/>
  <c r="BU218" i="1"/>
  <c r="BQ219" i="1"/>
  <c r="BR219" i="1"/>
  <c r="BS219" i="1"/>
  <c r="BT219" i="1"/>
  <c r="BU219" i="1"/>
  <c r="BQ220" i="1"/>
  <c r="BR220" i="1"/>
  <c r="BS220" i="1"/>
  <c r="BT220" i="1"/>
  <c r="BU220" i="1"/>
  <c r="BQ221" i="1"/>
  <c r="BS221" i="1" s="1"/>
  <c r="BR221" i="1"/>
  <c r="BT221" i="1"/>
  <c r="BU221" i="1"/>
  <c r="BQ222" i="1"/>
  <c r="BR222" i="1"/>
  <c r="BS222" i="1"/>
  <c r="BT222" i="1"/>
  <c r="BU222" i="1"/>
  <c r="BQ223" i="1"/>
  <c r="BR223" i="1"/>
  <c r="BS223" i="1"/>
  <c r="BT223" i="1"/>
  <c r="BU223" i="1"/>
  <c r="BQ224" i="1"/>
  <c r="BS224" i="1" s="1"/>
  <c r="BR224" i="1"/>
  <c r="BT224" i="1"/>
  <c r="BU224" i="1"/>
  <c r="BQ225" i="1"/>
  <c r="BS225" i="1" s="1"/>
  <c r="BR225" i="1"/>
  <c r="BT225" i="1"/>
  <c r="BU225" i="1"/>
  <c r="BQ226" i="1"/>
  <c r="BS226" i="1" s="1"/>
  <c r="BR226" i="1"/>
  <c r="BT226" i="1"/>
  <c r="BU226" i="1"/>
  <c r="BQ227" i="1"/>
  <c r="BS227" i="1" s="1"/>
  <c r="BR227" i="1"/>
  <c r="BT227" i="1"/>
  <c r="BU227" i="1"/>
  <c r="BQ228" i="1"/>
  <c r="BS228" i="1" s="1"/>
  <c r="BR228" i="1"/>
  <c r="BT228" i="1"/>
  <c r="BU228" i="1"/>
  <c r="BQ229" i="1"/>
  <c r="BS229" i="1" s="1"/>
  <c r="BR229" i="1"/>
  <c r="BT229" i="1"/>
  <c r="BU229" i="1"/>
  <c r="BQ230" i="1"/>
  <c r="BS230" i="1" s="1"/>
  <c r="BR230" i="1"/>
  <c r="BT230" i="1"/>
  <c r="BU230" i="1"/>
  <c r="BQ231" i="1"/>
  <c r="BR231" i="1"/>
  <c r="BS231" i="1"/>
  <c r="BT231" i="1"/>
  <c r="BU231" i="1"/>
  <c r="BQ232" i="1"/>
  <c r="BR232" i="1"/>
  <c r="BS232" i="1"/>
  <c r="BT232" i="1"/>
  <c r="BU232" i="1"/>
  <c r="BQ233" i="1"/>
  <c r="BR233" i="1"/>
  <c r="BS233" i="1"/>
  <c r="BT233" i="1"/>
  <c r="BU233" i="1"/>
  <c r="BQ234" i="1"/>
  <c r="BR234" i="1"/>
  <c r="BS234" i="1"/>
  <c r="BT234" i="1"/>
  <c r="BU234" i="1"/>
  <c r="BQ235" i="1"/>
  <c r="BR235" i="1"/>
  <c r="BS235" i="1"/>
  <c r="BT235" i="1"/>
  <c r="BU235" i="1"/>
  <c r="BQ236" i="1"/>
  <c r="BR236" i="1"/>
  <c r="BS236" i="1"/>
  <c r="BT236" i="1"/>
  <c r="BU236" i="1"/>
  <c r="BQ237" i="1"/>
  <c r="BS237" i="1" s="1"/>
  <c r="BR237" i="1"/>
  <c r="BT237" i="1"/>
  <c r="BU237" i="1"/>
  <c r="BQ238" i="1"/>
  <c r="BR238" i="1"/>
  <c r="BS238" i="1"/>
  <c r="BT238" i="1"/>
  <c r="BU238" i="1"/>
  <c r="BQ239" i="1"/>
  <c r="BR239" i="1"/>
  <c r="BS239" i="1"/>
  <c r="BT239" i="1"/>
  <c r="BU239" i="1"/>
  <c r="BQ240" i="1"/>
  <c r="BS240" i="1" s="1"/>
  <c r="BR240" i="1"/>
  <c r="BT240" i="1"/>
  <c r="BU240" i="1"/>
  <c r="BQ241" i="1"/>
  <c r="BS241" i="1" s="1"/>
  <c r="BR241" i="1"/>
  <c r="BT241" i="1"/>
  <c r="BU241" i="1"/>
  <c r="BQ242" i="1"/>
  <c r="BS242" i="1" s="1"/>
  <c r="BR242" i="1"/>
  <c r="BT242" i="1"/>
  <c r="BU242" i="1"/>
  <c r="BQ243" i="1"/>
  <c r="BS243" i="1" s="1"/>
  <c r="BR243" i="1"/>
  <c r="BT243" i="1"/>
  <c r="BU243" i="1"/>
  <c r="BQ244" i="1"/>
  <c r="BS244" i="1" s="1"/>
  <c r="BR244" i="1"/>
  <c r="BT244" i="1"/>
  <c r="BU244" i="1"/>
  <c r="BQ245" i="1"/>
  <c r="BS245" i="1" s="1"/>
  <c r="BR245" i="1"/>
  <c r="BT245" i="1"/>
  <c r="BU245" i="1"/>
  <c r="BQ246" i="1"/>
  <c r="BS246" i="1" s="1"/>
  <c r="BR246" i="1"/>
  <c r="BT246" i="1"/>
  <c r="BU246" i="1"/>
  <c r="BQ247" i="1"/>
  <c r="BR247" i="1"/>
  <c r="BS247" i="1"/>
  <c r="BT247" i="1"/>
  <c r="BU247" i="1"/>
  <c r="BQ248" i="1"/>
  <c r="BR248" i="1"/>
  <c r="BS248" i="1"/>
  <c r="BT248" i="1"/>
  <c r="BU248" i="1"/>
  <c r="BQ249" i="1"/>
  <c r="BR249" i="1"/>
  <c r="BS249" i="1"/>
  <c r="BT249" i="1"/>
  <c r="BU249" i="1"/>
  <c r="BQ250" i="1"/>
  <c r="BR250" i="1"/>
  <c r="BS250" i="1"/>
  <c r="BT250" i="1"/>
  <c r="BU250" i="1"/>
  <c r="BQ251" i="1"/>
  <c r="BR251" i="1"/>
  <c r="BS251" i="1"/>
  <c r="BT251" i="1"/>
  <c r="BU251" i="1"/>
  <c r="BQ252" i="1"/>
  <c r="BR252" i="1"/>
  <c r="BS252" i="1"/>
  <c r="BT252" i="1"/>
  <c r="BU252" i="1"/>
  <c r="BQ253" i="1"/>
  <c r="BS253" i="1" s="1"/>
  <c r="BR253" i="1"/>
  <c r="BT253" i="1"/>
  <c r="BU253" i="1"/>
  <c r="BQ254" i="1"/>
  <c r="BR254" i="1"/>
  <c r="BS254" i="1"/>
  <c r="BT254" i="1"/>
  <c r="BU254" i="1"/>
  <c r="BQ255" i="1"/>
  <c r="BR255" i="1"/>
  <c r="BS255" i="1"/>
  <c r="BT255" i="1"/>
  <c r="BU255" i="1"/>
  <c r="BQ256" i="1"/>
  <c r="BS256" i="1" s="1"/>
  <c r="BR256" i="1"/>
  <c r="BT256" i="1"/>
  <c r="BU256" i="1"/>
  <c r="BQ257" i="1"/>
  <c r="BS257" i="1" s="1"/>
  <c r="BR257" i="1"/>
  <c r="BT257" i="1"/>
  <c r="BU257" i="1"/>
  <c r="BQ258" i="1"/>
  <c r="BS258" i="1" s="1"/>
  <c r="BR258" i="1"/>
  <c r="BT258" i="1"/>
  <c r="BU258" i="1"/>
  <c r="BQ259" i="1"/>
  <c r="BS259" i="1" s="1"/>
  <c r="BR259" i="1"/>
  <c r="BT259" i="1"/>
  <c r="BU259" i="1"/>
  <c r="BQ260" i="1"/>
  <c r="BS260" i="1" s="1"/>
  <c r="BR260" i="1"/>
  <c r="BT260" i="1"/>
  <c r="BU260" i="1"/>
  <c r="BQ261" i="1"/>
  <c r="BS261" i="1" s="1"/>
  <c r="BR261" i="1"/>
  <c r="BT261" i="1"/>
  <c r="BU261" i="1"/>
  <c r="BQ262" i="1"/>
  <c r="BS262" i="1" s="1"/>
  <c r="BR262" i="1"/>
  <c r="BT262" i="1"/>
  <c r="BU262" i="1"/>
  <c r="BQ263" i="1"/>
  <c r="BR263" i="1"/>
  <c r="BS263" i="1"/>
  <c r="BT263" i="1"/>
  <c r="BU263" i="1"/>
  <c r="BQ264" i="1"/>
  <c r="BR264" i="1"/>
  <c r="BS264" i="1"/>
  <c r="BT264" i="1"/>
  <c r="BU264" i="1"/>
  <c r="BQ265" i="1"/>
  <c r="BR265" i="1"/>
  <c r="BS265" i="1"/>
  <c r="BT265" i="1"/>
  <c r="BU265" i="1"/>
  <c r="BQ266" i="1"/>
  <c r="BR266" i="1"/>
  <c r="BS266" i="1"/>
  <c r="BT266" i="1"/>
  <c r="BU266" i="1"/>
  <c r="BQ267" i="1"/>
  <c r="BR267" i="1"/>
  <c r="BS267" i="1"/>
  <c r="BT267" i="1"/>
  <c r="BU267" i="1"/>
  <c r="BQ268" i="1"/>
  <c r="BR268" i="1"/>
  <c r="BS268" i="1"/>
  <c r="BT268" i="1"/>
  <c r="BU268" i="1"/>
  <c r="BQ269" i="1"/>
  <c r="BS269" i="1" s="1"/>
  <c r="BR269" i="1"/>
  <c r="BT269" i="1"/>
  <c r="BU269" i="1"/>
  <c r="BQ270" i="1"/>
  <c r="BR270" i="1"/>
  <c r="BS270" i="1"/>
  <c r="BT270" i="1"/>
  <c r="BU270" i="1"/>
  <c r="BQ271" i="1"/>
  <c r="BR271" i="1"/>
  <c r="BS271" i="1"/>
  <c r="BT271" i="1"/>
  <c r="BU271" i="1"/>
  <c r="BQ272" i="1"/>
  <c r="BS272" i="1" s="1"/>
  <c r="BR272" i="1"/>
  <c r="BT272" i="1"/>
  <c r="BU272" i="1"/>
  <c r="BQ273" i="1"/>
  <c r="BS273" i="1" s="1"/>
  <c r="BR273" i="1"/>
  <c r="BT273" i="1"/>
  <c r="BU273" i="1"/>
  <c r="BQ274" i="1"/>
  <c r="BS274" i="1" s="1"/>
  <c r="BR274" i="1"/>
  <c r="BT274" i="1"/>
  <c r="BU274" i="1"/>
  <c r="BQ275" i="1"/>
  <c r="BS275" i="1" s="1"/>
  <c r="BR275" i="1"/>
  <c r="BT275" i="1"/>
  <c r="BU275" i="1"/>
  <c r="BQ276" i="1"/>
  <c r="BS276" i="1" s="1"/>
  <c r="BR276" i="1"/>
  <c r="BT276" i="1"/>
  <c r="BU276" i="1"/>
  <c r="BQ277" i="1"/>
  <c r="BS277" i="1" s="1"/>
  <c r="BR277" i="1"/>
  <c r="BT277" i="1"/>
  <c r="BU277" i="1"/>
  <c r="BQ278" i="1"/>
  <c r="BS278" i="1" s="1"/>
  <c r="BR278" i="1"/>
  <c r="BT278" i="1"/>
  <c r="BU278" i="1"/>
  <c r="BQ279" i="1"/>
  <c r="BR279" i="1"/>
  <c r="BS279" i="1"/>
  <c r="BT279" i="1"/>
  <c r="BU279" i="1"/>
  <c r="BQ280" i="1"/>
  <c r="BR280" i="1"/>
  <c r="BS280" i="1"/>
  <c r="BT280" i="1"/>
  <c r="BU280" i="1"/>
  <c r="BQ281" i="1"/>
  <c r="BR281" i="1"/>
  <c r="BS281" i="1"/>
  <c r="BT281" i="1"/>
  <c r="BU281" i="1"/>
  <c r="BQ282" i="1"/>
  <c r="BR282" i="1"/>
  <c r="BS282" i="1"/>
  <c r="BT282" i="1"/>
  <c r="BU282" i="1"/>
  <c r="BQ283" i="1"/>
  <c r="BR283" i="1"/>
  <c r="BS283" i="1"/>
  <c r="BT283" i="1"/>
  <c r="BU283" i="1"/>
  <c r="BQ284" i="1"/>
  <c r="BR284" i="1"/>
  <c r="BS284" i="1"/>
  <c r="BT284" i="1"/>
  <c r="BU284" i="1"/>
  <c r="BQ285" i="1"/>
  <c r="BS285" i="1" s="1"/>
  <c r="BR285" i="1"/>
  <c r="BT285" i="1"/>
  <c r="BU285" i="1"/>
  <c r="BQ286" i="1"/>
  <c r="BR286" i="1"/>
  <c r="BS286" i="1"/>
  <c r="BT286" i="1"/>
  <c r="BU286" i="1"/>
  <c r="BQ287" i="1"/>
  <c r="BR287" i="1"/>
  <c r="BS287" i="1"/>
  <c r="BT287" i="1"/>
  <c r="BU287" i="1"/>
  <c r="BQ288" i="1"/>
  <c r="BS288" i="1" s="1"/>
  <c r="BR288" i="1"/>
  <c r="BT288" i="1"/>
  <c r="BU288" i="1"/>
  <c r="BQ289" i="1"/>
  <c r="BS289" i="1" s="1"/>
  <c r="BR289" i="1"/>
  <c r="BT289" i="1"/>
  <c r="BU289" i="1"/>
  <c r="BQ290" i="1"/>
  <c r="BS290" i="1" s="1"/>
  <c r="BR290" i="1"/>
  <c r="BT290" i="1"/>
  <c r="BU290" i="1"/>
  <c r="BQ291" i="1"/>
  <c r="BS291" i="1" s="1"/>
  <c r="BR291" i="1"/>
  <c r="BT291" i="1"/>
  <c r="BU291" i="1"/>
  <c r="BQ292" i="1"/>
  <c r="BS292" i="1" s="1"/>
  <c r="BR292" i="1"/>
  <c r="BT292" i="1"/>
  <c r="BU292" i="1"/>
  <c r="BQ293" i="1"/>
  <c r="BS293" i="1" s="1"/>
  <c r="BR293" i="1"/>
  <c r="BT293" i="1"/>
  <c r="BU293" i="1"/>
  <c r="BQ294" i="1"/>
  <c r="BS294" i="1" s="1"/>
  <c r="BR294" i="1"/>
  <c r="BT294" i="1"/>
  <c r="BU294" i="1"/>
  <c r="BQ295" i="1"/>
  <c r="BR295" i="1"/>
  <c r="BS295" i="1"/>
  <c r="BT295" i="1"/>
  <c r="BU295" i="1"/>
  <c r="BQ296" i="1"/>
  <c r="BR296" i="1"/>
  <c r="BS296" i="1"/>
  <c r="BT296" i="1"/>
  <c r="BU296" i="1"/>
  <c r="BQ297" i="1"/>
  <c r="BR297" i="1"/>
  <c r="BS297" i="1"/>
  <c r="BT297" i="1"/>
  <c r="BU297" i="1"/>
  <c r="BQ298" i="1"/>
  <c r="BR298" i="1"/>
  <c r="BS298" i="1"/>
  <c r="BT298" i="1"/>
  <c r="BU298" i="1"/>
  <c r="BQ299" i="1"/>
  <c r="BR299" i="1"/>
  <c r="BS299" i="1"/>
  <c r="BT299" i="1"/>
  <c r="BU299" i="1"/>
  <c r="BQ300" i="1"/>
  <c r="BR300" i="1"/>
  <c r="BS300" i="1"/>
  <c r="BT300" i="1"/>
  <c r="BU300" i="1"/>
  <c r="BQ301" i="1"/>
  <c r="BS301" i="1" s="1"/>
  <c r="BR301" i="1"/>
  <c r="BT301" i="1"/>
  <c r="BU301" i="1"/>
  <c r="BQ302" i="1"/>
  <c r="BR302" i="1"/>
  <c r="BS302" i="1"/>
  <c r="BT302" i="1"/>
  <c r="BU302" i="1"/>
  <c r="BQ303" i="1"/>
  <c r="BR303" i="1"/>
  <c r="BS303" i="1"/>
  <c r="BT303" i="1"/>
  <c r="BU303" i="1"/>
  <c r="BQ304" i="1"/>
  <c r="BS304" i="1" s="1"/>
  <c r="BR304" i="1"/>
  <c r="BT304" i="1"/>
  <c r="BU304" i="1"/>
  <c r="BQ305" i="1"/>
  <c r="BS305" i="1" s="1"/>
  <c r="BR305" i="1"/>
  <c r="BT305" i="1"/>
  <c r="BU305" i="1"/>
  <c r="BQ306" i="1"/>
  <c r="BS306" i="1" s="1"/>
  <c r="BR306" i="1"/>
  <c r="BT306" i="1"/>
  <c r="BU306" i="1"/>
  <c r="BQ307" i="1"/>
  <c r="BS307" i="1" s="1"/>
  <c r="BR307" i="1"/>
  <c r="BT307" i="1"/>
  <c r="BU307" i="1"/>
  <c r="BQ308" i="1"/>
  <c r="BS308" i="1" s="1"/>
  <c r="BR308" i="1"/>
  <c r="BT308" i="1"/>
  <c r="BU308" i="1"/>
  <c r="BQ309" i="1"/>
  <c r="BS309" i="1" s="1"/>
  <c r="BR309" i="1"/>
  <c r="BT309" i="1"/>
  <c r="BU309" i="1"/>
  <c r="BQ310" i="1"/>
  <c r="BS310" i="1" s="1"/>
  <c r="BR310" i="1"/>
  <c r="BT310" i="1"/>
  <c r="BU310" i="1"/>
  <c r="BQ311" i="1"/>
  <c r="BR311" i="1"/>
  <c r="BS311" i="1"/>
  <c r="BT311" i="1"/>
  <c r="BU311" i="1"/>
  <c r="BQ312" i="1"/>
  <c r="BR312" i="1"/>
  <c r="BS312" i="1"/>
  <c r="BT312" i="1"/>
  <c r="BU312" i="1"/>
  <c r="BQ313" i="1"/>
  <c r="BR313" i="1"/>
  <c r="BS313" i="1"/>
  <c r="BT313" i="1"/>
  <c r="BU313" i="1"/>
  <c r="BQ314" i="1"/>
  <c r="BR314" i="1"/>
  <c r="BS314" i="1"/>
  <c r="BT314" i="1"/>
  <c r="BU314" i="1"/>
  <c r="BQ315" i="1"/>
  <c r="BR315" i="1"/>
  <c r="BS315" i="1"/>
  <c r="BT315" i="1"/>
  <c r="BU315" i="1"/>
  <c r="BQ316" i="1"/>
  <c r="BR316" i="1"/>
  <c r="BS316" i="1"/>
  <c r="BT316" i="1"/>
  <c r="BU316" i="1"/>
  <c r="BQ317" i="1"/>
  <c r="BS317" i="1" s="1"/>
  <c r="BR317" i="1"/>
  <c r="BT317" i="1"/>
  <c r="BU317" i="1"/>
  <c r="BQ318" i="1"/>
  <c r="BR318" i="1"/>
  <c r="BS318" i="1"/>
  <c r="BT318" i="1"/>
  <c r="BU318" i="1"/>
  <c r="BQ319" i="1"/>
  <c r="BR319" i="1"/>
  <c r="BS319" i="1"/>
  <c r="BT319" i="1"/>
  <c r="BU319" i="1"/>
  <c r="BQ320" i="1"/>
  <c r="BS320" i="1" s="1"/>
  <c r="BR320" i="1"/>
  <c r="BT320" i="1"/>
  <c r="BU320" i="1"/>
  <c r="BQ321" i="1"/>
  <c r="BS321" i="1" s="1"/>
  <c r="BR321" i="1"/>
  <c r="BT321" i="1"/>
  <c r="BU321" i="1"/>
  <c r="BQ322" i="1"/>
  <c r="BS322" i="1" s="1"/>
  <c r="BR322" i="1"/>
  <c r="BT322" i="1"/>
  <c r="BU322" i="1"/>
  <c r="BQ323" i="1"/>
  <c r="BS323" i="1" s="1"/>
  <c r="BR323" i="1"/>
  <c r="BT323" i="1"/>
  <c r="BU323" i="1"/>
  <c r="BQ324" i="1"/>
  <c r="BS324" i="1" s="1"/>
  <c r="BR324" i="1"/>
  <c r="BT324" i="1"/>
  <c r="BU324" i="1"/>
  <c r="BQ325" i="1"/>
  <c r="BS325" i="1" s="1"/>
  <c r="BR325" i="1"/>
  <c r="BT325" i="1"/>
  <c r="BU325" i="1"/>
  <c r="BQ326" i="1"/>
  <c r="BS326" i="1" s="1"/>
  <c r="BR326" i="1"/>
  <c r="BT326" i="1"/>
  <c r="BU326" i="1"/>
  <c r="BQ327" i="1"/>
  <c r="BR327" i="1"/>
  <c r="BS327" i="1"/>
  <c r="BT327" i="1"/>
  <c r="BU327" i="1"/>
  <c r="BQ328" i="1"/>
  <c r="BR328" i="1"/>
  <c r="BS328" i="1"/>
  <c r="BT328" i="1"/>
  <c r="BU328" i="1"/>
  <c r="BQ329" i="1"/>
  <c r="BR329" i="1"/>
  <c r="BS329" i="1"/>
  <c r="BT329" i="1"/>
  <c r="BU329" i="1"/>
  <c r="BQ330" i="1"/>
  <c r="BR330" i="1"/>
  <c r="BS330" i="1"/>
  <c r="BT330" i="1"/>
  <c r="BU330" i="1"/>
  <c r="BQ331" i="1"/>
  <c r="BR331" i="1"/>
  <c r="BS331" i="1"/>
  <c r="BT331" i="1"/>
  <c r="BU331" i="1"/>
  <c r="BQ332" i="1"/>
  <c r="BR332" i="1"/>
  <c r="BS332" i="1"/>
  <c r="BT332" i="1"/>
  <c r="BU332" i="1"/>
  <c r="BQ333" i="1"/>
  <c r="BS333" i="1" s="1"/>
  <c r="BR333" i="1"/>
  <c r="BT333" i="1"/>
  <c r="BU333" i="1"/>
  <c r="BQ334" i="1"/>
  <c r="BR334" i="1"/>
  <c r="BS334" i="1"/>
  <c r="BT334" i="1"/>
  <c r="BU334" i="1"/>
  <c r="BQ335" i="1"/>
  <c r="BR335" i="1"/>
  <c r="BS335" i="1"/>
  <c r="BT335" i="1"/>
  <c r="BU335" i="1"/>
  <c r="BQ336" i="1"/>
  <c r="BS336" i="1" s="1"/>
  <c r="BR336" i="1"/>
  <c r="BT336" i="1"/>
  <c r="BU336" i="1"/>
  <c r="BQ337" i="1"/>
  <c r="BS337" i="1" s="1"/>
  <c r="BR337" i="1"/>
  <c r="BT337" i="1"/>
  <c r="BU337" i="1"/>
  <c r="BQ338" i="1"/>
  <c r="BS338" i="1" s="1"/>
  <c r="BR338" i="1"/>
  <c r="BT338" i="1"/>
  <c r="BU338" i="1"/>
  <c r="BQ339" i="1"/>
  <c r="BS339" i="1" s="1"/>
  <c r="BR339" i="1"/>
  <c r="BT339" i="1"/>
  <c r="BU339" i="1"/>
  <c r="BQ340" i="1"/>
  <c r="BS340" i="1" s="1"/>
  <c r="BR340" i="1"/>
  <c r="BT340" i="1"/>
  <c r="BU340" i="1"/>
  <c r="BQ341" i="1"/>
  <c r="BS341" i="1" s="1"/>
  <c r="BR341" i="1"/>
  <c r="BT341" i="1"/>
  <c r="BU341" i="1"/>
  <c r="BQ342" i="1"/>
  <c r="BS342" i="1" s="1"/>
  <c r="BR342" i="1"/>
  <c r="BT342" i="1"/>
  <c r="BU342" i="1"/>
  <c r="BQ343" i="1"/>
  <c r="BR343" i="1"/>
  <c r="BS343" i="1"/>
  <c r="BT343" i="1"/>
  <c r="BU343" i="1"/>
  <c r="BQ344" i="1"/>
  <c r="BR344" i="1"/>
  <c r="BS344" i="1"/>
  <c r="BT344" i="1"/>
  <c r="BU344" i="1"/>
  <c r="BQ345" i="1"/>
  <c r="BR345" i="1"/>
  <c r="BS345" i="1"/>
  <c r="BT345" i="1"/>
  <c r="BU345" i="1"/>
  <c r="BQ346" i="1"/>
  <c r="BR346" i="1"/>
  <c r="BS346" i="1"/>
  <c r="BT346" i="1"/>
  <c r="BU346" i="1"/>
  <c r="BQ347" i="1"/>
  <c r="BR347" i="1"/>
  <c r="BS347" i="1"/>
  <c r="BT347" i="1"/>
  <c r="BU347" i="1"/>
  <c r="BQ348" i="1"/>
  <c r="BR348" i="1"/>
  <c r="BS348" i="1"/>
  <c r="BT348" i="1"/>
  <c r="BU348" i="1"/>
  <c r="BQ349" i="1"/>
  <c r="BS349" i="1" s="1"/>
  <c r="BR349" i="1"/>
  <c r="BT349" i="1"/>
  <c r="BU349" i="1"/>
  <c r="BQ350" i="1"/>
  <c r="BR350" i="1"/>
  <c r="BS350" i="1"/>
  <c r="BT350" i="1"/>
  <c r="BU350" i="1"/>
  <c r="BQ351" i="1"/>
  <c r="BR351" i="1"/>
  <c r="BS351" i="1"/>
  <c r="BT351" i="1"/>
  <c r="BU351" i="1"/>
  <c r="BQ352" i="1"/>
  <c r="BS352" i="1" s="1"/>
  <c r="BR352" i="1"/>
  <c r="BT352" i="1"/>
  <c r="BU352" i="1"/>
  <c r="BQ353" i="1"/>
  <c r="BS353" i="1" s="1"/>
  <c r="BR353" i="1"/>
  <c r="BT353" i="1"/>
  <c r="BU353" i="1"/>
  <c r="BQ354" i="1"/>
  <c r="BS354" i="1" s="1"/>
  <c r="BR354" i="1"/>
  <c r="BT354" i="1"/>
  <c r="BU354" i="1"/>
  <c r="BQ355" i="1"/>
  <c r="BS355" i="1" s="1"/>
  <c r="BR355" i="1"/>
  <c r="BT355" i="1"/>
  <c r="BU355" i="1"/>
  <c r="BQ356" i="1"/>
  <c r="BS356" i="1" s="1"/>
  <c r="BR356" i="1"/>
  <c r="BT356" i="1"/>
  <c r="BU356" i="1"/>
  <c r="BQ357" i="1"/>
  <c r="BS357" i="1" s="1"/>
  <c r="BR357" i="1"/>
  <c r="BT357" i="1"/>
  <c r="BU357" i="1"/>
  <c r="BQ358" i="1"/>
  <c r="BS358" i="1" s="1"/>
  <c r="BR358" i="1"/>
  <c r="BT358" i="1"/>
  <c r="BU358" i="1"/>
  <c r="BQ359" i="1"/>
  <c r="BR359" i="1"/>
  <c r="BS359" i="1"/>
  <c r="BT359" i="1"/>
  <c r="BU359" i="1"/>
  <c r="BQ360" i="1"/>
  <c r="BR360" i="1"/>
  <c r="BS360" i="1"/>
  <c r="BT360" i="1"/>
  <c r="BU360" i="1"/>
  <c r="BQ361" i="1"/>
  <c r="BR361" i="1"/>
  <c r="BS361" i="1"/>
  <c r="BT361" i="1"/>
  <c r="BU361" i="1"/>
  <c r="BQ362" i="1"/>
  <c r="BR362" i="1"/>
  <c r="BS362" i="1"/>
  <c r="BT362" i="1"/>
  <c r="BU362" i="1"/>
  <c r="BQ363" i="1"/>
  <c r="BR363" i="1"/>
  <c r="BS363" i="1"/>
  <c r="BT363" i="1"/>
  <c r="BU363" i="1"/>
  <c r="BQ364" i="1"/>
  <c r="BR364" i="1"/>
  <c r="BS364" i="1"/>
  <c r="BT364" i="1"/>
  <c r="BU364" i="1"/>
  <c r="BQ365" i="1"/>
  <c r="BS365" i="1" s="1"/>
  <c r="BR365" i="1"/>
  <c r="BT365" i="1"/>
  <c r="BU365" i="1"/>
  <c r="BQ366" i="1"/>
  <c r="BR366" i="1"/>
  <c r="BS366" i="1"/>
  <c r="BT366" i="1"/>
  <c r="BU366" i="1"/>
  <c r="BQ367" i="1"/>
  <c r="BR367" i="1"/>
  <c r="BS367" i="1"/>
  <c r="BT367" i="1"/>
  <c r="BU367" i="1"/>
  <c r="BQ368" i="1"/>
  <c r="BS368" i="1" s="1"/>
  <c r="BR368" i="1"/>
  <c r="BT368" i="1"/>
  <c r="BU368" i="1"/>
  <c r="BQ369" i="1"/>
  <c r="BS369" i="1" s="1"/>
  <c r="BR369" i="1"/>
  <c r="BT369" i="1"/>
  <c r="BU369" i="1"/>
  <c r="BQ370" i="1"/>
  <c r="BS370" i="1" s="1"/>
  <c r="BR370" i="1"/>
  <c r="BT370" i="1"/>
  <c r="BU370" i="1"/>
  <c r="BQ371" i="1"/>
  <c r="BS371" i="1" s="1"/>
  <c r="BR371" i="1"/>
  <c r="BT371" i="1"/>
  <c r="BU371" i="1"/>
  <c r="BQ372" i="1"/>
  <c r="BS372" i="1" s="1"/>
  <c r="BR372" i="1"/>
  <c r="BT372" i="1"/>
  <c r="BU372" i="1"/>
  <c r="BQ373" i="1"/>
  <c r="BS373" i="1" s="1"/>
  <c r="BR373" i="1"/>
  <c r="BT373" i="1"/>
  <c r="BU373" i="1"/>
  <c r="BQ374" i="1"/>
  <c r="BS374" i="1" s="1"/>
  <c r="BR374" i="1"/>
  <c r="BT374" i="1"/>
  <c r="BU374" i="1"/>
  <c r="BQ375" i="1"/>
  <c r="BR375" i="1"/>
  <c r="BS375" i="1"/>
  <c r="BT375" i="1"/>
  <c r="BU375" i="1"/>
  <c r="BQ376" i="1"/>
  <c r="BR376" i="1"/>
  <c r="BS376" i="1"/>
  <c r="BT376" i="1"/>
  <c r="BU376" i="1"/>
  <c r="BQ377" i="1"/>
  <c r="BR377" i="1"/>
  <c r="BS377" i="1"/>
  <c r="BT377" i="1"/>
  <c r="BU377" i="1"/>
  <c r="BQ378" i="1"/>
  <c r="BR378" i="1"/>
  <c r="BS378" i="1"/>
  <c r="BT378" i="1"/>
  <c r="BU378" i="1"/>
  <c r="BQ379" i="1"/>
  <c r="BR379" i="1"/>
  <c r="BS379" i="1"/>
  <c r="BT379" i="1"/>
  <c r="BU379" i="1"/>
  <c r="BQ380" i="1"/>
  <c r="BR380" i="1"/>
  <c r="BS380" i="1"/>
  <c r="BT380" i="1"/>
  <c r="BU380" i="1"/>
  <c r="BQ381" i="1"/>
  <c r="BS381" i="1" s="1"/>
  <c r="BR381" i="1"/>
  <c r="BT381" i="1"/>
  <c r="BU381" i="1"/>
  <c r="BQ382" i="1"/>
  <c r="BR382" i="1"/>
  <c r="BS382" i="1"/>
  <c r="BT382" i="1"/>
  <c r="BU382" i="1"/>
  <c r="BQ383" i="1"/>
  <c r="BR383" i="1"/>
  <c r="BS383" i="1"/>
  <c r="BT383" i="1"/>
  <c r="BU383" i="1"/>
  <c r="BQ384" i="1"/>
  <c r="BS384" i="1" s="1"/>
  <c r="BR384" i="1"/>
  <c r="BT384" i="1"/>
  <c r="BU384" i="1"/>
  <c r="BQ385" i="1"/>
  <c r="BS385" i="1" s="1"/>
  <c r="BR385" i="1"/>
  <c r="BT385" i="1"/>
  <c r="BU385" i="1"/>
  <c r="BQ386" i="1"/>
  <c r="BS386" i="1" s="1"/>
  <c r="BR386" i="1"/>
  <c r="BT386" i="1"/>
  <c r="BU386" i="1"/>
  <c r="BQ387" i="1"/>
  <c r="BS387" i="1" s="1"/>
  <c r="BR387" i="1"/>
  <c r="BT387" i="1"/>
  <c r="BU387" i="1"/>
  <c r="BQ388" i="1"/>
  <c r="BS388" i="1" s="1"/>
  <c r="BR388" i="1"/>
  <c r="BT388" i="1"/>
  <c r="BU388" i="1"/>
  <c r="BQ389" i="1"/>
  <c r="BS389" i="1" s="1"/>
  <c r="BR389" i="1"/>
  <c r="BT389" i="1"/>
  <c r="BU389" i="1"/>
  <c r="BQ390" i="1"/>
  <c r="BS390" i="1" s="1"/>
  <c r="BR390" i="1"/>
  <c r="BT390" i="1"/>
  <c r="BU390" i="1"/>
  <c r="BQ391" i="1"/>
  <c r="BR391" i="1"/>
  <c r="BS391" i="1"/>
  <c r="BT391" i="1"/>
  <c r="BU391" i="1"/>
  <c r="BQ392" i="1"/>
  <c r="BR392" i="1"/>
  <c r="BS392" i="1"/>
  <c r="BT392" i="1"/>
  <c r="BU392" i="1"/>
  <c r="BQ393" i="1"/>
  <c r="BR393" i="1"/>
  <c r="BS393" i="1"/>
  <c r="BT393" i="1"/>
  <c r="BU393" i="1"/>
  <c r="BQ394" i="1"/>
  <c r="BR394" i="1"/>
  <c r="BS394" i="1"/>
  <c r="BT394" i="1"/>
  <c r="BU394" i="1"/>
  <c r="BQ395" i="1"/>
  <c r="BR395" i="1"/>
  <c r="BS395" i="1"/>
  <c r="BT395" i="1"/>
  <c r="BU395" i="1"/>
  <c r="BQ396" i="1"/>
  <c r="BR396" i="1"/>
  <c r="BS396" i="1"/>
  <c r="BT396" i="1"/>
  <c r="BU396" i="1"/>
  <c r="BQ397" i="1"/>
  <c r="BS397" i="1" s="1"/>
  <c r="BR397" i="1"/>
  <c r="BT397" i="1"/>
  <c r="BU397" i="1"/>
  <c r="BQ398" i="1"/>
  <c r="BR398" i="1"/>
  <c r="BS398" i="1"/>
  <c r="BT398" i="1"/>
  <c r="BU398" i="1"/>
  <c r="BQ399" i="1"/>
  <c r="BR399" i="1"/>
  <c r="BS399" i="1"/>
  <c r="BT399" i="1"/>
  <c r="BU399" i="1"/>
  <c r="BQ400" i="1"/>
  <c r="BS400" i="1" s="1"/>
  <c r="BR400" i="1"/>
  <c r="BT400" i="1"/>
  <c r="BU400" i="1"/>
  <c r="BQ401" i="1"/>
  <c r="BS401" i="1" s="1"/>
  <c r="BR401" i="1"/>
  <c r="BT401" i="1"/>
  <c r="BU401" i="1"/>
  <c r="BQ402" i="1"/>
  <c r="BS402" i="1" s="1"/>
  <c r="BR402" i="1"/>
  <c r="BT402" i="1"/>
  <c r="BU402" i="1"/>
  <c r="BQ403" i="1"/>
  <c r="BS403" i="1" s="1"/>
  <c r="BR403" i="1"/>
  <c r="BT403" i="1"/>
  <c r="BU403" i="1"/>
  <c r="BQ404" i="1"/>
  <c r="BS404" i="1" s="1"/>
  <c r="BR404" i="1"/>
  <c r="BT404" i="1"/>
  <c r="BU404" i="1"/>
  <c r="BQ405" i="1"/>
  <c r="BS405" i="1" s="1"/>
  <c r="BR405" i="1"/>
  <c r="BT405" i="1"/>
  <c r="BU405" i="1"/>
  <c r="BQ406" i="1"/>
  <c r="BS406" i="1" s="1"/>
  <c r="BR406" i="1"/>
  <c r="BT406" i="1"/>
  <c r="BU406" i="1"/>
  <c r="BQ407" i="1"/>
  <c r="BR407" i="1"/>
  <c r="BS407" i="1"/>
  <c r="BT407" i="1"/>
  <c r="BU407" i="1"/>
  <c r="BQ408" i="1"/>
  <c r="BR408" i="1"/>
  <c r="BS408" i="1"/>
  <c r="BT408" i="1"/>
  <c r="BU408" i="1"/>
  <c r="BQ409" i="1"/>
  <c r="BR409" i="1"/>
  <c r="BS409" i="1"/>
  <c r="BT409" i="1"/>
  <c r="BU409" i="1"/>
  <c r="BQ410" i="1"/>
  <c r="BR410" i="1"/>
  <c r="BS410" i="1"/>
  <c r="BT410" i="1"/>
  <c r="BU410" i="1"/>
  <c r="BQ411" i="1"/>
  <c r="BR411" i="1"/>
  <c r="BS411" i="1"/>
  <c r="BT411" i="1"/>
  <c r="BU411" i="1"/>
  <c r="BQ412" i="1"/>
  <c r="BR412" i="1"/>
  <c r="BS412" i="1"/>
  <c r="BT412" i="1"/>
  <c r="BU412" i="1"/>
  <c r="BQ413" i="1"/>
  <c r="BS413" i="1" s="1"/>
  <c r="BR413" i="1"/>
  <c r="BT413" i="1"/>
  <c r="BU413" i="1"/>
  <c r="BQ414" i="1"/>
  <c r="BR414" i="1"/>
  <c r="BS414" i="1"/>
  <c r="BT414" i="1"/>
  <c r="BU414" i="1"/>
  <c r="BQ415" i="1"/>
  <c r="BR415" i="1"/>
  <c r="BS415" i="1"/>
  <c r="BT415" i="1"/>
  <c r="BU415" i="1"/>
  <c r="BQ416" i="1"/>
  <c r="BS416" i="1" s="1"/>
  <c r="BR416" i="1"/>
  <c r="BT416" i="1"/>
  <c r="BU416" i="1"/>
  <c r="BQ417" i="1"/>
  <c r="BS417" i="1" s="1"/>
  <c r="BR417" i="1"/>
  <c r="BT417" i="1"/>
  <c r="BU417" i="1"/>
  <c r="BQ418" i="1"/>
  <c r="BS418" i="1" s="1"/>
  <c r="BR418" i="1"/>
  <c r="BT418" i="1"/>
  <c r="BU418" i="1"/>
  <c r="BQ419" i="1"/>
  <c r="BS419" i="1" s="1"/>
  <c r="BR419" i="1"/>
  <c r="BT419" i="1"/>
  <c r="BU419" i="1"/>
  <c r="BQ420" i="1"/>
  <c r="BS420" i="1" s="1"/>
  <c r="BR420" i="1"/>
  <c r="BT420" i="1"/>
  <c r="BU420" i="1"/>
  <c r="BQ421" i="1"/>
  <c r="BS421" i="1" s="1"/>
  <c r="BR421" i="1"/>
  <c r="BT421" i="1"/>
  <c r="BU421" i="1"/>
  <c r="BQ422" i="1"/>
  <c r="BS422" i="1" s="1"/>
  <c r="BR422" i="1"/>
  <c r="BT422" i="1"/>
  <c r="BU422" i="1"/>
  <c r="BQ423" i="1"/>
  <c r="BR423" i="1"/>
  <c r="BS423" i="1"/>
  <c r="BT423" i="1"/>
  <c r="BU423" i="1"/>
  <c r="BQ424" i="1"/>
  <c r="BR424" i="1"/>
  <c r="BS424" i="1"/>
  <c r="BT424" i="1"/>
  <c r="BU424" i="1"/>
  <c r="BQ425" i="1"/>
  <c r="BR425" i="1"/>
  <c r="BS425" i="1"/>
  <c r="BT425" i="1"/>
  <c r="BU425" i="1"/>
  <c r="BQ426" i="1"/>
  <c r="BR426" i="1"/>
  <c r="BS426" i="1"/>
  <c r="BT426" i="1"/>
  <c r="BU426" i="1"/>
  <c r="BQ427" i="1"/>
  <c r="BR427" i="1"/>
  <c r="BS427" i="1"/>
  <c r="BT427" i="1"/>
  <c r="BU427" i="1"/>
  <c r="BQ428" i="1"/>
  <c r="BR428" i="1"/>
  <c r="BS428" i="1"/>
  <c r="BT428" i="1"/>
  <c r="BU428" i="1"/>
  <c r="BQ429" i="1"/>
  <c r="BS429" i="1" s="1"/>
  <c r="BR429" i="1"/>
  <c r="BT429" i="1"/>
  <c r="BU429" i="1"/>
  <c r="BQ430" i="1"/>
  <c r="BR430" i="1"/>
  <c r="BS430" i="1"/>
  <c r="BT430" i="1"/>
  <c r="BU430" i="1"/>
  <c r="BQ431" i="1"/>
  <c r="BR431" i="1"/>
  <c r="BS431" i="1"/>
  <c r="BT431" i="1"/>
  <c r="BU431" i="1"/>
  <c r="BQ432" i="1"/>
  <c r="BS432" i="1" s="1"/>
  <c r="BR432" i="1"/>
  <c r="BT432" i="1"/>
  <c r="BU432" i="1"/>
  <c r="BQ433" i="1"/>
  <c r="BS433" i="1" s="1"/>
  <c r="BR433" i="1"/>
  <c r="BT433" i="1"/>
  <c r="BU433" i="1"/>
  <c r="BQ434" i="1"/>
  <c r="BS434" i="1" s="1"/>
  <c r="BR434" i="1"/>
  <c r="BT434" i="1"/>
  <c r="BU434" i="1"/>
  <c r="BQ435" i="1"/>
  <c r="BS435" i="1" s="1"/>
  <c r="BR435" i="1"/>
  <c r="BT435" i="1"/>
  <c r="BU435" i="1"/>
  <c r="BQ436" i="1"/>
  <c r="BS436" i="1" s="1"/>
  <c r="BR436" i="1"/>
  <c r="BT436" i="1"/>
  <c r="BU436" i="1"/>
  <c r="BQ437" i="1"/>
  <c r="BS437" i="1" s="1"/>
  <c r="BR437" i="1"/>
  <c r="BT437" i="1"/>
  <c r="BU437" i="1"/>
  <c r="BQ438" i="1"/>
  <c r="BS438" i="1" s="1"/>
  <c r="BR438" i="1"/>
  <c r="BT438" i="1"/>
  <c r="BU438" i="1"/>
  <c r="BQ439" i="1"/>
  <c r="BR439" i="1"/>
  <c r="BS439" i="1"/>
  <c r="BT439" i="1"/>
  <c r="BU439" i="1"/>
  <c r="BQ440" i="1"/>
  <c r="BR440" i="1"/>
  <c r="BS440" i="1"/>
  <c r="BT440" i="1"/>
  <c r="BU440" i="1"/>
  <c r="BQ441" i="1"/>
  <c r="BR441" i="1"/>
  <c r="BS441" i="1"/>
  <c r="BT441" i="1"/>
  <c r="BU441" i="1"/>
  <c r="BQ442" i="1"/>
  <c r="BR442" i="1"/>
  <c r="BS442" i="1"/>
  <c r="BT442" i="1"/>
  <c r="BU442" i="1"/>
  <c r="BQ443" i="1"/>
  <c r="BR443" i="1"/>
  <c r="BS443" i="1"/>
  <c r="BT443" i="1"/>
  <c r="BU443" i="1"/>
  <c r="BQ444" i="1"/>
  <c r="BR444" i="1"/>
  <c r="BS444" i="1"/>
  <c r="BT444" i="1"/>
  <c r="BU444" i="1"/>
  <c r="BQ445" i="1"/>
  <c r="BS445" i="1" s="1"/>
  <c r="BR445" i="1"/>
  <c r="BT445" i="1"/>
  <c r="BU445" i="1"/>
  <c r="BQ446" i="1"/>
  <c r="BR446" i="1"/>
  <c r="BS446" i="1"/>
  <c r="BT446" i="1"/>
  <c r="BU446" i="1"/>
  <c r="BQ447" i="1"/>
  <c r="BR447" i="1"/>
  <c r="BS447" i="1"/>
  <c r="BT447" i="1"/>
  <c r="BU447" i="1"/>
  <c r="BQ448" i="1"/>
  <c r="BS448" i="1" s="1"/>
  <c r="BR448" i="1"/>
  <c r="BT448" i="1"/>
  <c r="BU448" i="1"/>
  <c r="BQ449" i="1"/>
  <c r="BS449" i="1" s="1"/>
  <c r="BR449" i="1"/>
  <c r="BT449" i="1"/>
  <c r="BU449" i="1"/>
  <c r="BQ450" i="1"/>
  <c r="BS450" i="1" s="1"/>
  <c r="BR450" i="1"/>
  <c r="BT450" i="1"/>
  <c r="BU450" i="1"/>
  <c r="BQ451" i="1"/>
  <c r="BS451" i="1" s="1"/>
  <c r="BR451" i="1"/>
  <c r="BT451" i="1"/>
  <c r="BU451" i="1"/>
  <c r="BQ452" i="1"/>
  <c r="BS452" i="1" s="1"/>
  <c r="BR452" i="1"/>
  <c r="BT452" i="1"/>
  <c r="BU452" i="1"/>
  <c r="BQ453" i="1"/>
  <c r="BS453" i="1" s="1"/>
  <c r="BR453" i="1"/>
  <c r="BT453" i="1"/>
  <c r="BU453" i="1"/>
  <c r="BQ454" i="1"/>
  <c r="BS454" i="1" s="1"/>
  <c r="BR454" i="1"/>
  <c r="BT454" i="1"/>
  <c r="BU454" i="1"/>
  <c r="BQ455" i="1"/>
  <c r="BR455" i="1"/>
  <c r="BS455" i="1"/>
  <c r="BT455" i="1"/>
  <c r="BU455" i="1"/>
  <c r="BQ456" i="1"/>
  <c r="BR456" i="1"/>
  <c r="BS456" i="1"/>
  <c r="BT456" i="1"/>
  <c r="BU456" i="1"/>
  <c r="BQ457" i="1"/>
  <c r="BR457" i="1"/>
  <c r="BS457" i="1"/>
  <c r="BT457" i="1"/>
  <c r="BU457" i="1"/>
  <c r="BQ458" i="1"/>
  <c r="BR458" i="1"/>
  <c r="BS458" i="1"/>
  <c r="BT458" i="1"/>
  <c r="BU458" i="1"/>
  <c r="BQ459" i="1"/>
  <c r="BR459" i="1"/>
  <c r="BS459" i="1"/>
  <c r="BT459" i="1"/>
  <c r="BU459" i="1"/>
  <c r="BQ460" i="1"/>
  <c r="BR460" i="1"/>
  <c r="BS460" i="1"/>
  <c r="BT460" i="1"/>
  <c r="BU460" i="1"/>
  <c r="BQ461" i="1"/>
  <c r="BS461" i="1" s="1"/>
  <c r="BR461" i="1"/>
  <c r="BT461" i="1"/>
  <c r="BU461" i="1"/>
  <c r="BQ462" i="1"/>
  <c r="BR462" i="1"/>
  <c r="BS462" i="1"/>
  <c r="BT462" i="1"/>
  <c r="BU462" i="1"/>
  <c r="BQ463" i="1"/>
  <c r="BR463" i="1"/>
  <c r="BS463" i="1"/>
  <c r="BT463" i="1"/>
  <c r="BU463" i="1"/>
  <c r="BQ464" i="1"/>
  <c r="BS464" i="1" s="1"/>
  <c r="BR464" i="1"/>
  <c r="BT464" i="1"/>
  <c r="BU464" i="1"/>
  <c r="BQ465" i="1"/>
  <c r="BS465" i="1" s="1"/>
  <c r="BR465" i="1"/>
  <c r="BT465" i="1"/>
  <c r="BU465" i="1"/>
  <c r="BQ466" i="1"/>
  <c r="BS466" i="1" s="1"/>
  <c r="BR466" i="1"/>
  <c r="BT466" i="1"/>
  <c r="BU466" i="1"/>
  <c r="BQ467" i="1"/>
  <c r="BS467" i="1" s="1"/>
  <c r="BR467" i="1"/>
  <c r="BT467" i="1"/>
  <c r="BU467" i="1"/>
  <c r="BQ468" i="1"/>
  <c r="BS468" i="1" s="1"/>
  <c r="BR468" i="1"/>
  <c r="BT468" i="1"/>
  <c r="BU468" i="1"/>
  <c r="BQ469" i="1"/>
  <c r="BS469" i="1" s="1"/>
  <c r="BR469" i="1"/>
  <c r="BT469" i="1"/>
  <c r="BU469" i="1"/>
  <c r="BQ470" i="1"/>
  <c r="BS470" i="1" s="1"/>
  <c r="BR470" i="1"/>
  <c r="BT470" i="1"/>
  <c r="BU470" i="1"/>
  <c r="BQ471" i="1"/>
  <c r="BR471" i="1"/>
  <c r="BS471" i="1"/>
  <c r="BT471" i="1"/>
  <c r="BU471" i="1"/>
  <c r="BQ472" i="1"/>
  <c r="BR472" i="1"/>
  <c r="BS472" i="1"/>
  <c r="BT472" i="1"/>
  <c r="BU472" i="1"/>
  <c r="BQ473" i="1"/>
  <c r="BR473" i="1"/>
  <c r="BS473" i="1"/>
  <c r="BT473" i="1"/>
  <c r="BU473" i="1"/>
  <c r="BQ474" i="1"/>
  <c r="BR474" i="1"/>
  <c r="BS474" i="1"/>
  <c r="BT474" i="1"/>
  <c r="BU474" i="1"/>
  <c r="BQ475" i="1"/>
  <c r="BR475" i="1"/>
  <c r="BS475" i="1"/>
  <c r="BT475" i="1"/>
  <c r="BU475" i="1"/>
  <c r="BQ476" i="1"/>
  <c r="BR476" i="1"/>
  <c r="BS476" i="1"/>
  <c r="BT476" i="1"/>
  <c r="BU476" i="1"/>
  <c r="BQ477" i="1"/>
  <c r="BS477" i="1" s="1"/>
  <c r="BR477" i="1"/>
  <c r="BT477" i="1"/>
  <c r="BU477" i="1"/>
  <c r="BQ478" i="1"/>
  <c r="BR478" i="1"/>
  <c r="BS478" i="1"/>
  <c r="BT478" i="1"/>
  <c r="BU478" i="1"/>
  <c r="BQ479" i="1"/>
  <c r="BR479" i="1"/>
  <c r="BS479" i="1"/>
  <c r="BT479" i="1"/>
  <c r="BU479" i="1"/>
  <c r="BQ480" i="1"/>
  <c r="BS480" i="1" s="1"/>
  <c r="BR480" i="1"/>
  <c r="BT480" i="1"/>
  <c r="BU480" i="1"/>
  <c r="BQ481" i="1"/>
  <c r="BS481" i="1" s="1"/>
  <c r="BR481" i="1"/>
  <c r="BT481" i="1"/>
  <c r="BU481" i="1"/>
  <c r="BQ482" i="1"/>
  <c r="BS482" i="1" s="1"/>
  <c r="BR482" i="1"/>
  <c r="BT482" i="1"/>
  <c r="BU482" i="1"/>
  <c r="BQ483" i="1"/>
  <c r="BS483" i="1" s="1"/>
  <c r="BR483" i="1"/>
  <c r="BT483" i="1"/>
  <c r="BU483" i="1"/>
  <c r="BQ484" i="1"/>
  <c r="BS484" i="1" s="1"/>
  <c r="BR484" i="1"/>
  <c r="BT484" i="1"/>
  <c r="BU484" i="1"/>
  <c r="BQ485" i="1"/>
  <c r="BS485" i="1" s="1"/>
  <c r="BR485" i="1"/>
  <c r="BT485" i="1"/>
  <c r="BU485" i="1"/>
  <c r="BQ486" i="1"/>
  <c r="BS486" i="1" s="1"/>
  <c r="BR486" i="1"/>
  <c r="BT486" i="1"/>
  <c r="BU486" i="1"/>
  <c r="BQ487" i="1"/>
  <c r="BR487" i="1"/>
  <c r="BS487" i="1"/>
  <c r="BT487" i="1"/>
  <c r="BU487" i="1"/>
  <c r="BQ488" i="1"/>
  <c r="BR488" i="1"/>
  <c r="BS488" i="1"/>
  <c r="BT488" i="1"/>
  <c r="BU488" i="1"/>
  <c r="BQ489" i="1"/>
  <c r="BR489" i="1"/>
  <c r="BS489" i="1"/>
  <c r="BT489" i="1"/>
  <c r="BU489" i="1"/>
  <c r="BQ490" i="1"/>
  <c r="BR490" i="1"/>
  <c r="BS490" i="1"/>
  <c r="BT490" i="1"/>
  <c r="BU490" i="1"/>
  <c r="BQ491" i="1"/>
  <c r="BR491" i="1"/>
  <c r="BS491" i="1"/>
  <c r="BT491" i="1"/>
  <c r="BU491" i="1"/>
  <c r="BQ492" i="1"/>
  <c r="BR492" i="1"/>
  <c r="BS492" i="1"/>
  <c r="BT492" i="1"/>
  <c r="BU492" i="1"/>
  <c r="BQ493" i="1"/>
  <c r="BS493" i="1" s="1"/>
  <c r="BR493" i="1"/>
  <c r="BT493" i="1"/>
  <c r="BU493" i="1"/>
  <c r="BQ494" i="1"/>
  <c r="BR494" i="1"/>
  <c r="BS494" i="1"/>
  <c r="BT494" i="1"/>
  <c r="BU494" i="1"/>
  <c r="BQ495" i="1"/>
  <c r="BR495" i="1"/>
  <c r="BS495" i="1"/>
  <c r="BT495" i="1"/>
  <c r="BU495" i="1"/>
  <c r="BQ496" i="1"/>
  <c r="BS496" i="1" s="1"/>
  <c r="BR496" i="1"/>
  <c r="BT496" i="1"/>
  <c r="BU496" i="1"/>
  <c r="BQ497" i="1"/>
  <c r="BS497" i="1" s="1"/>
  <c r="BR497" i="1"/>
  <c r="BT497" i="1"/>
  <c r="BU497" i="1"/>
  <c r="BQ498" i="1"/>
  <c r="BS498" i="1" s="1"/>
  <c r="BR498" i="1"/>
  <c r="BT498" i="1"/>
  <c r="BU498" i="1"/>
  <c r="BQ499" i="1"/>
  <c r="BS499" i="1" s="1"/>
  <c r="BR499" i="1"/>
  <c r="BT499" i="1"/>
  <c r="BU499" i="1"/>
  <c r="BQ500" i="1"/>
  <c r="BS500" i="1" s="1"/>
  <c r="BR500" i="1"/>
  <c r="BT500" i="1"/>
  <c r="BU500" i="1"/>
  <c r="BQ501" i="1"/>
  <c r="BS501" i="1" s="1"/>
  <c r="BR501" i="1"/>
  <c r="BT501" i="1"/>
  <c r="BU501" i="1"/>
  <c r="BQ502" i="1"/>
  <c r="BS502" i="1" s="1"/>
  <c r="BR502" i="1"/>
  <c r="BT502" i="1"/>
  <c r="BU502" i="1"/>
  <c r="BQ503" i="1"/>
  <c r="BR503" i="1"/>
  <c r="BS503" i="1"/>
  <c r="BT503" i="1"/>
  <c r="BU503" i="1"/>
  <c r="BQ504" i="1"/>
  <c r="BR504" i="1"/>
  <c r="BS504" i="1"/>
  <c r="BT504" i="1"/>
  <c r="BU504" i="1"/>
  <c r="BQ505" i="1"/>
  <c r="BR505" i="1"/>
  <c r="BS505" i="1"/>
  <c r="BT505" i="1"/>
  <c r="BU505" i="1"/>
  <c r="BQ506" i="1"/>
  <c r="BR506" i="1"/>
  <c r="BS506" i="1"/>
  <c r="BT506" i="1"/>
  <c r="BU506" i="1"/>
  <c r="BQ507" i="1"/>
  <c r="BR507" i="1"/>
  <c r="BS507" i="1"/>
  <c r="BT507" i="1"/>
  <c r="BU507" i="1"/>
  <c r="BQ508" i="1"/>
  <c r="BR508" i="1"/>
  <c r="BS508" i="1"/>
  <c r="BT508" i="1"/>
  <c r="BU508" i="1"/>
  <c r="BQ509" i="1"/>
  <c r="BS509" i="1" s="1"/>
  <c r="BR509" i="1"/>
  <c r="BT509" i="1"/>
  <c r="BU509" i="1"/>
  <c r="BQ510" i="1"/>
  <c r="BR510" i="1"/>
  <c r="BS510" i="1"/>
  <c r="BT510" i="1"/>
  <c r="BU510" i="1"/>
  <c r="BQ511" i="1"/>
  <c r="BR511" i="1"/>
  <c r="BS511" i="1"/>
  <c r="BT511" i="1"/>
  <c r="BU511" i="1"/>
  <c r="BQ512" i="1"/>
  <c r="BS512" i="1" s="1"/>
  <c r="BR512" i="1"/>
  <c r="BT512" i="1"/>
  <c r="BU512" i="1"/>
  <c r="BQ513" i="1"/>
  <c r="BS513" i="1" s="1"/>
  <c r="BR513" i="1"/>
  <c r="BT513" i="1"/>
  <c r="BU513" i="1"/>
  <c r="BQ514" i="1"/>
  <c r="BS514" i="1" s="1"/>
  <c r="BR514" i="1"/>
  <c r="BT514" i="1"/>
  <c r="BU514" i="1"/>
  <c r="BQ515" i="1"/>
  <c r="BS515" i="1" s="1"/>
  <c r="BR515" i="1"/>
  <c r="BT515" i="1"/>
  <c r="BU515" i="1"/>
  <c r="BQ516" i="1"/>
  <c r="BS516" i="1" s="1"/>
  <c r="BR516" i="1"/>
  <c r="BT516" i="1"/>
  <c r="BU516" i="1"/>
  <c r="BQ517" i="1"/>
  <c r="BS517" i="1" s="1"/>
  <c r="BR517" i="1"/>
  <c r="BT517" i="1"/>
  <c r="BU517" i="1"/>
  <c r="BQ518" i="1"/>
  <c r="BS518" i="1" s="1"/>
  <c r="BR518" i="1"/>
  <c r="BT518" i="1"/>
  <c r="BU518" i="1"/>
  <c r="BQ519" i="1"/>
  <c r="BR519" i="1"/>
  <c r="BS519" i="1"/>
  <c r="BT519" i="1"/>
  <c r="BU519" i="1"/>
  <c r="BQ520" i="1"/>
  <c r="BR520" i="1"/>
  <c r="BS520" i="1"/>
  <c r="BT520" i="1"/>
  <c r="BU520" i="1"/>
  <c r="BQ521" i="1"/>
  <c r="BR521" i="1"/>
  <c r="BS521" i="1"/>
  <c r="BT521" i="1"/>
  <c r="BU521" i="1"/>
  <c r="BQ522" i="1"/>
  <c r="BR522" i="1"/>
  <c r="BS522" i="1"/>
  <c r="BT522" i="1"/>
  <c r="BU522" i="1"/>
  <c r="BQ523" i="1"/>
  <c r="BR523" i="1"/>
  <c r="BS523" i="1"/>
  <c r="BT523" i="1"/>
  <c r="BU523" i="1"/>
  <c r="BQ524" i="1"/>
  <c r="BR524" i="1"/>
  <c r="BS524" i="1"/>
  <c r="BT524" i="1"/>
  <c r="BU524" i="1"/>
  <c r="BQ525" i="1"/>
  <c r="BS525" i="1" s="1"/>
  <c r="BR525" i="1"/>
  <c r="BT525" i="1"/>
  <c r="BU525" i="1"/>
  <c r="BQ526" i="1"/>
  <c r="BR526" i="1"/>
  <c r="BS526" i="1"/>
  <c r="BT526" i="1"/>
  <c r="BU526" i="1"/>
  <c r="BQ527" i="1"/>
  <c r="BR527" i="1"/>
  <c r="BS527" i="1"/>
  <c r="BT527" i="1"/>
  <c r="BU527" i="1"/>
  <c r="BQ528" i="1"/>
  <c r="BS528" i="1" s="1"/>
  <c r="BR528" i="1"/>
  <c r="BT528" i="1"/>
  <c r="BU528" i="1"/>
  <c r="BQ529" i="1"/>
  <c r="BS529" i="1" s="1"/>
  <c r="BR529" i="1"/>
  <c r="BT529" i="1"/>
  <c r="BU529" i="1"/>
  <c r="BQ530" i="1"/>
  <c r="BS530" i="1" s="1"/>
  <c r="BR530" i="1"/>
  <c r="BT530" i="1"/>
  <c r="BU530" i="1"/>
  <c r="BQ531" i="1"/>
  <c r="BS531" i="1" s="1"/>
  <c r="BR531" i="1"/>
  <c r="BT531" i="1"/>
  <c r="BU531" i="1"/>
  <c r="BQ532" i="1"/>
  <c r="BS532" i="1" s="1"/>
  <c r="BR532" i="1"/>
  <c r="BT532" i="1"/>
  <c r="BU532" i="1"/>
  <c r="BQ533" i="1"/>
  <c r="BS533" i="1" s="1"/>
  <c r="BR533" i="1"/>
  <c r="BT533" i="1"/>
  <c r="BU533" i="1"/>
  <c r="BQ534" i="1"/>
  <c r="BS534" i="1" s="1"/>
  <c r="BR534" i="1"/>
  <c r="BT534" i="1"/>
  <c r="BU534" i="1"/>
  <c r="BQ535" i="1"/>
  <c r="BR535" i="1"/>
  <c r="BS535" i="1"/>
  <c r="BT535" i="1"/>
  <c r="BU535" i="1"/>
  <c r="BQ536" i="1"/>
  <c r="BR536" i="1"/>
  <c r="BS536" i="1"/>
  <c r="BT536" i="1"/>
  <c r="BU536" i="1"/>
  <c r="BQ537" i="1"/>
  <c r="BR537" i="1"/>
  <c r="BS537" i="1"/>
  <c r="BT537" i="1"/>
  <c r="BU537" i="1"/>
  <c r="BQ538" i="1"/>
  <c r="BR538" i="1"/>
  <c r="BS538" i="1"/>
  <c r="BT538" i="1"/>
  <c r="BU538" i="1"/>
  <c r="BQ539" i="1"/>
  <c r="BR539" i="1"/>
  <c r="BS539" i="1"/>
  <c r="BT539" i="1"/>
  <c r="BU539" i="1"/>
  <c r="BQ540" i="1"/>
  <c r="BR540" i="1"/>
  <c r="BS540" i="1"/>
  <c r="BT540" i="1"/>
  <c r="BU540" i="1"/>
  <c r="BQ541" i="1"/>
  <c r="BS541" i="1" s="1"/>
  <c r="BR541" i="1"/>
  <c r="BT541" i="1"/>
  <c r="BU541" i="1"/>
  <c r="BQ542" i="1"/>
  <c r="BR542" i="1"/>
  <c r="BS542" i="1"/>
  <c r="BT542" i="1"/>
  <c r="BU542" i="1"/>
  <c r="BQ543" i="1"/>
  <c r="BR543" i="1"/>
  <c r="BS543" i="1"/>
  <c r="BT543" i="1"/>
  <c r="BU543" i="1"/>
  <c r="BQ544" i="1"/>
  <c r="BS544" i="1" s="1"/>
  <c r="BR544" i="1"/>
  <c r="BT544" i="1"/>
  <c r="BU544" i="1"/>
  <c r="BQ545" i="1"/>
  <c r="BS545" i="1" s="1"/>
  <c r="BR545" i="1"/>
  <c r="BT545" i="1"/>
  <c r="BU545" i="1"/>
  <c r="BQ546" i="1"/>
  <c r="BS546" i="1" s="1"/>
  <c r="BR546" i="1"/>
  <c r="BT546" i="1"/>
  <c r="BU546" i="1"/>
  <c r="BQ547" i="1"/>
  <c r="BS547" i="1" s="1"/>
  <c r="BR547" i="1"/>
  <c r="BT547" i="1"/>
  <c r="BU547" i="1"/>
  <c r="BQ548" i="1"/>
  <c r="BS548" i="1" s="1"/>
  <c r="BR548" i="1"/>
  <c r="BT548" i="1"/>
  <c r="BU548" i="1"/>
  <c r="BQ549" i="1"/>
  <c r="BS549" i="1" s="1"/>
  <c r="BR549" i="1"/>
  <c r="BT549" i="1"/>
  <c r="BU549" i="1"/>
  <c r="BQ550" i="1"/>
  <c r="BS550" i="1" s="1"/>
  <c r="BR550" i="1"/>
  <c r="BT550" i="1"/>
  <c r="BU550" i="1"/>
  <c r="BQ551" i="1"/>
  <c r="BR551" i="1"/>
  <c r="BS551" i="1"/>
  <c r="BT551" i="1"/>
  <c r="BU551" i="1"/>
  <c r="BQ552" i="1"/>
  <c r="BR552" i="1"/>
  <c r="BS552" i="1"/>
  <c r="BT552" i="1"/>
  <c r="BU552" i="1"/>
  <c r="BQ553" i="1"/>
  <c r="BR553" i="1"/>
  <c r="BS553" i="1"/>
  <c r="BT553" i="1"/>
  <c r="BU553" i="1"/>
  <c r="BQ554" i="1"/>
  <c r="BR554" i="1"/>
  <c r="BS554" i="1"/>
  <c r="BT554" i="1"/>
  <c r="BU554" i="1"/>
  <c r="BQ555" i="1"/>
  <c r="BR555" i="1"/>
  <c r="BS555" i="1"/>
  <c r="BT555" i="1"/>
  <c r="BU555" i="1"/>
  <c r="BQ556" i="1"/>
  <c r="BR556" i="1"/>
  <c r="BS556" i="1"/>
  <c r="BT556" i="1"/>
  <c r="BU556" i="1"/>
  <c r="BQ557" i="1"/>
  <c r="BS557" i="1" s="1"/>
  <c r="BR557" i="1"/>
  <c r="BT557" i="1"/>
  <c r="BU557" i="1"/>
  <c r="BQ558" i="1"/>
  <c r="BR558" i="1"/>
  <c r="BS558" i="1"/>
  <c r="BT558" i="1"/>
  <c r="BU558" i="1"/>
  <c r="BQ559" i="1"/>
  <c r="BR559" i="1"/>
  <c r="BS559" i="1"/>
  <c r="BT559" i="1"/>
  <c r="BU559" i="1"/>
  <c r="BQ560" i="1"/>
  <c r="BS560" i="1" s="1"/>
  <c r="BR560" i="1"/>
  <c r="BT560" i="1"/>
  <c r="BU560" i="1"/>
  <c r="BQ561" i="1"/>
  <c r="BS561" i="1" s="1"/>
  <c r="BR561" i="1"/>
  <c r="BT561" i="1"/>
  <c r="BU561" i="1"/>
  <c r="BQ562" i="1"/>
  <c r="BS562" i="1" s="1"/>
  <c r="BR562" i="1"/>
  <c r="BT562" i="1"/>
  <c r="BU562" i="1"/>
  <c r="BQ563" i="1"/>
  <c r="BS563" i="1" s="1"/>
  <c r="BR563" i="1"/>
  <c r="BT563" i="1"/>
  <c r="BU563" i="1"/>
  <c r="BQ564" i="1"/>
  <c r="BS564" i="1" s="1"/>
  <c r="BR564" i="1"/>
  <c r="BT564" i="1"/>
  <c r="BU564" i="1"/>
  <c r="BQ565" i="1"/>
  <c r="BS565" i="1" s="1"/>
  <c r="BR565" i="1"/>
  <c r="BT565" i="1"/>
  <c r="BU565" i="1"/>
  <c r="BQ566" i="1"/>
  <c r="BS566" i="1" s="1"/>
  <c r="BR566" i="1"/>
  <c r="BT566" i="1"/>
  <c r="BU566" i="1"/>
  <c r="BQ567" i="1"/>
  <c r="BR567" i="1"/>
  <c r="BS567" i="1"/>
  <c r="BT567" i="1"/>
  <c r="BU567" i="1"/>
  <c r="BQ568" i="1"/>
  <c r="BR568" i="1"/>
  <c r="BS568" i="1"/>
  <c r="BT568" i="1"/>
  <c r="BU568" i="1"/>
  <c r="BQ569" i="1"/>
  <c r="BR569" i="1"/>
  <c r="BS569" i="1"/>
  <c r="BT569" i="1"/>
  <c r="BU569" i="1"/>
  <c r="BQ570" i="1"/>
  <c r="BR570" i="1"/>
  <c r="BS570" i="1"/>
  <c r="BT570" i="1"/>
  <c r="BU570" i="1"/>
  <c r="BQ571" i="1"/>
  <c r="BR571" i="1"/>
  <c r="BS571" i="1"/>
  <c r="BT571" i="1"/>
  <c r="BU571" i="1"/>
  <c r="BQ572" i="1"/>
  <c r="BR572" i="1"/>
  <c r="BS572" i="1"/>
  <c r="BT572" i="1"/>
  <c r="BU572" i="1"/>
  <c r="BQ573" i="1"/>
  <c r="BS573" i="1" s="1"/>
  <c r="BR573" i="1"/>
  <c r="BT573" i="1"/>
  <c r="BU573" i="1"/>
  <c r="BQ574" i="1"/>
  <c r="BR574" i="1"/>
  <c r="BS574" i="1"/>
  <c r="BT574" i="1"/>
  <c r="BU574" i="1"/>
  <c r="BQ575" i="1"/>
  <c r="BR575" i="1"/>
  <c r="BS575" i="1"/>
  <c r="BT575" i="1"/>
  <c r="BU575" i="1"/>
  <c r="BQ576" i="1"/>
  <c r="BS576" i="1" s="1"/>
  <c r="BR576" i="1"/>
  <c r="BT576" i="1"/>
  <c r="BU576" i="1"/>
  <c r="BQ577" i="1"/>
  <c r="BS577" i="1" s="1"/>
  <c r="BR577" i="1"/>
  <c r="BT577" i="1"/>
  <c r="BU577" i="1"/>
  <c r="BQ578" i="1"/>
  <c r="BS578" i="1" s="1"/>
  <c r="BR578" i="1"/>
  <c r="BT578" i="1"/>
  <c r="BU578" i="1"/>
  <c r="BQ579" i="1"/>
  <c r="BS579" i="1" s="1"/>
  <c r="BR579" i="1"/>
  <c r="BT579" i="1"/>
  <c r="BU579" i="1"/>
  <c r="BQ580" i="1"/>
  <c r="BS580" i="1" s="1"/>
  <c r="BR580" i="1"/>
  <c r="BT580" i="1"/>
  <c r="BU580" i="1"/>
  <c r="BQ581" i="1"/>
  <c r="BS581" i="1" s="1"/>
  <c r="BR581" i="1"/>
  <c r="BT581" i="1"/>
  <c r="BU581" i="1"/>
  <c r="BQ582" i="1"/>
  <c r="BS582" i="1" s="1"/>
  <c r="BR582" i="1"/>
  <c r="BT582" i="1"/>
  <c r="BU582" i="1"/>
  <c r="BQ583" i="1"/>
  <c r="BR583" i="1"/>
  <c r="BS583" i="1"/>
  <c r="BT583" i="1"/>
  <c r="BU583" i="1"/>
  <c r="BQ584" i="1"/>
  <c r="BR584" i="1"/>
  <c r="BS584" i="1"/>
  <c r="BT584" i="1"/>
  <c r="BU584" i="1"/>
  <c r="BQ585" i="1"/>
  <c r="BR585" i="1"/>
  <c r="BS585" i="1"/>
  <c r="BT585" i="1"/>
  <c r="BU585" i="1"/>
  <c r="BQ586" i="1"/>
  <c r="BR586" i="1"/>
  <c r="BS586" i="1"/>
  <c r="BT586" i="1"/>
  <c r="BU586" i="1"/>
  <c r="BQ587" i="1"/>
  <c r="BR587" i="1"/>
  <c r="BS587" i="1"/>
  <c r="BT587" i="1"/>
  <c r="BU587" i="1"/>
  <c r="BQ588" i="1"/>
  <c r="BR588" i="1"/>
  <c r="BS588" i="1"/>
  <c r="BT588" i="1"/>
  <c r="BU588" i="1"/>
  <c r="BQ589" i="1"/>
  <c r="BS589" i="1" s="1"/>
  <c r="BR589" i="1"/>
  <c r="BT589" i="1"/>
  <c r="BU589" i="1"/>
  <c r="BQ590" i="1"/>
  <c r="BR590" i="1"/>
  <c r="BS590" i="1"/>
  <c r="BT590" i="1"/>
  <c r="BU590" i="1"/>
  <c r="BQ591" i="1"/>
  <c r="BR591" i="1"/>
  <c r="BS591" i="1"/>
  <c r="BT591" i="1"/>
  <c r="BU591" i="1"/>
  <c r="BQ592" i="1"/>
  <c r="BS592" i="1" s="1"/>
  <c r="BR592" i="1"/>
  <c r="BT592" i="1"/>
  <c r="BU592" i="1"/>
  <c r="BQ593" i="1"/>
  <c r="BS593" i="1" s="1"/>
  <c r="BR593" i="1"/>
  <c r="BT593" i="1"/>
  <c r="BU593" i="1"/>
  <c r="BQ594" i="1"/>
  <c r="BS594" i="1" s="1"/>
  <c r="BR594" i="1"/>
  <c r="BT594" i="1"/>
  <c r="BU594" i="1"/>
  <c r="BQ595" i="1"/>
  <c r="BS595" i="1" s="1"/>
  <c r="BR595" i="1"/>
  <c r="BT595" i="1"/>
  <c r="BU595" i="1"/>
  <c r="BQ596" i="1"/>
  <c r="BS596" i="1" s="1"/>
  <c r="BR596" i="1"/>
  <c r="BT596" i="1"/>
  <c r="BU596" i="1"/>
  <c r="BQ597" i="1"/>
  <c r="BS597" i="1" s="1"/>
  <c r="BR597" i="1"/>
  <c r="BT597" i="1"/>
  <c r="BU597" i="1"/>
  <c r="BQ598" i="1"/>
  <c r="BS598" i="1" s="1"/>
  <c r="BR598" i="1"/>
  <c r="BT598" i="1"/>
  <c r="BU598" i="1"/>
  <c r="BQ599" i="1"/>
  <c r="BR599" i="1"/>
  <c r="BS599" i="1"/>
  <c r="BT599" i="1"/>
  <c r="BU599" i="1"/>
  <c r="BQ600" i="1"/>
  <c r="BR600" i="1"/>
  <c r="BS600" i="1"/>
  <c r="BT600" i="1"/>
  <c r="BU600" i="1"/>
  <c r="BQ601" i="1"/>
  <c r="BR601" i="1"/>
  <c r="BS601" i="1"/>
  <c r="BU601" i="1"/>
  <c r="BQ602" i="1"/>
  <c r="BR602" i="1"/>
  <c r="BT602" i="1"/>
  <c r="BU602" i="1"/>
  <c r="BQ603" i="1"/>
  <c r="BR603" i="1"/>
  <c r="BT603" i="1"/>
  <c r="BU603" i="1"/>
  <c r="BQ604" i="1"/>
  <c r="BR604" i="1"/>
  <c r="BU604" i="1"/>
  <c r="BQ605" i="1"/>
  <c r="BR605" i="1"/>
  <c r="BU605" i="1"/>
  <c r="BQ606" i="1"/>
  <c r="BR606" i="1"/>
  <c r="BU606" i="1"/>
  <c r="BQ607" i="1"/>
  <c r="BR607" i="1"/>
  <c r="BT607" i="1"/>
  <c r="BU607" i="1"/>
  <c r="BQ608" i="1"/>
  <c r="BR608" i="1"/>
  <c r="BT608" i="1"/>
  <c r="BU608" i="1"/>
  <c r="BQ609" i="1"/>
  <c r="BR609" i="1"/>
  <c r="BT609" i="1"/>
  <c r="BU609" i="1"/>
  <c r="BQ610" i="1"/>
  <c r="BR610" i="1"/>
  <c r="BT610" i="1"/>
  <c r="BU610" i="1"/>
  <c r="BQ611" i="1"/>
  <c r="BR611" i="1"/>
  <c r="BT611" i="1"/>
  <c r="BU611" i="1"/>
  <c r="BQ612" i="1"/>
  <c r="BR612" i="1"/>
  <c r="BU612" i="1"/>
  <c r="BQ613" i="1"/>
  <c r="BR613" i="1"/>
  <c r="BU613" i="1"/>
  <c r="BQ614" i="1"/>
  <c r="BR614" i="1"/>
  <c r="BU614" i="1"/>
  <c r="BQ615" i="1"/>
  <c r="BR615" i="1"/>
  <c r="BT615" i="1"/>
  <c r="BU615" i="1"/>
  <c r="BQ616" i="1"/>
  <c r="BR616" i="1"/>
  <c r="BT616" i="1"/>
  <c r="BU616" i="1"/>
  <c r="BQ617" i="1"/>
  <c r="BR617" i="1"/>
  <c r="BT617" i="1"/>
  <c r="BU617" i="1"/>
  <c r="BQ618" i="1"/>
  <c r="BR618" i="1"/>
  <c r="BU618" i="1"/>
  <c r="BQ619" i="1"/>
  <c r="BR619" i="1"/>
  <c r="BT619" i="1"/>
  <c r="BU619" i="1"/>
  <c r="BQ620" i="1"/>
  <c r="BR620" i="1"/>
  <c r="BU620" i="1"/>
  <c r="BQ621" i="1"/>
  <c r="BR621" i="1"/>
  <c r="BT621" i="1"/>
  <c r="BU621" i="1"/>
  <c r="BQ622" i="1"/>
  <c r="BR622" i="1"/>
  <c r="BT622" i="1"/>
  <c r="BU622" i="1"/>
  <c r="BQ623" i="1"/>
  <c r="BR623" i="1"/>
  <c r="BT623" i="1"/>
  <c r="BU623" i="1"/>
  <c r="BQ624" i="1"/>
  <c r="BR624" i="1"/>
  <c r="BU624" i="1"/>
  <c r="BQ625" i="1"/>
  <c r="BR625" i="1"/>
  <c r="BT625" i="1"/>
  <c r="BU625" i="1"/>
  <c r="BQ626" i="1"/>
  <c r="BR626" i="1"/>
  <c r="BU626" i="1"/>
  <c r="BQ627" i="1"/>
  <c r="BR627" i="1"/>
  <c r="BU627" i="1"/>
  <c r="BQ628" i="1"/>
  <c r="BR628" i="1"/>
  <c r="BU628" i="1"/>
  <c r="BQ629" i="1"/>
  <c r="BR629" i="1"/>
  <c r="BT629" i="1"/>
  <c r="BU629" i="1"/>
  <c r="BQ630" i="1"/>
  <c r="BR630" i="1"/>
  <c r="BT630" i="1"/>
  <c r="BU630" i="1"/>
  <c r="BQ631" i="1"/>
  <c r="BR631" i="1"/>
  <c r="BT631" i="1"/>
  <c r="BU631" i="1"/>
  <c r="BQ632" i="1"/>
  <c r="BR632" i="1"/>
  <c r="BT632" i="1"/>
  <c r="BU632" i="1"/>
  <c r="BQ633" i="1"/>
  <c r="BR633" i="1"/>
  <c r="BU633" i="1"/>
  <c r="BQ634" i="1"/>
  <c r="BR634" i="1"/>
  <c r="BU634" i="1"/>
  <c r="BQ635" i="1"/>
  <c r="BR635" i="1"/>
  <c r="BU635" i="1"/>
  <c r="BQ636" i="1"/>
  <c r="BR636" i="1"/>
  <c r="BU636" i="1"/>
  <c r="BQ637" i="1"/>
  <c r="BR637" i="1"/>
  <c r="BU637" i="1"/>
  <c r="BQ638" i="1"/>
  <c r="BR638" i="1"/>
  <c r="BU638" i="1"/>
  <c r="BQ639" i="1"/>
  <c r="BR639" i="1"/>
  <c r="BU639" i="1"/>
  <c r="BQ640" i="1"/>
  <c r="BR640" i="1"/>
  <c r="BU640" i="1"/>
  <c r="BQ641" i="1"/>
  <c r="BR641" i="1"/>
  <c r="BT641" i="1"/>
  <c r="BU641" i="1"/>
  <c r="BQ642" i="1"/>
  <c r="BR642" i="1"/>
  <c r="BU642" i="1"/>
  <c r="BQ643" i="1"/>
  <c r="BR643" i="1"/>
  <c r="BT643" i="1"/>
  <c r="BU643" i="1"/>
  <c r="BQ644" i="1"/>
  <c r="BR644" i="1"/>
  <c r="BT644" i="1"/>
  <c r="BU644" i="1"/>
  <c r="BQ645" i="1"/>
  <c r="BR645" i="1"/>
  <c r="BU645" i="1"/>
  <c r="BQ646" i="1"/>
  <c r="BR646" i="1"/>
  <c r="BU646" i="1"/>
  <c r="BQ647" i="1"/>
  <c r="BR647" i="1"/>
  <c r="BU647" i="1"/>
  <c r="BQ648" i="1"/>
  <c r="BR648" i="1"/>
  <c r="BU648" i="1"/>
  <c r="BQ649" i="1"/>
  <c r="BR649" i="1"/>
  <c r="BU649" i="1"/>
  <c r="BQ650" i="1"/>
  <c r="BR650" i="1"/>
  <c r="BU650" i="1"/>
  <c r="BQ651" i="1"/>
  <c r="BR651" i="1"/>
  <c r="BT651" i="1"/>
  <c r="BU651" i="1"/>
  <c r="BQ652" i="1"/>
  <c r="BR652" i="1"/>
  <c r="BU652" i="1"/>
  <c r="BQ653" i="1"/>
  <c r="BR653" i="1"/>
  <c r="BU653" i="1"/>
  <c r="BQ654" i="1"/>
  <c r="BR654" i="1"/>
  <c r="BU654" i="1"/>
  <c r="BQ655" i="1"/>
  <c r="BR655" i="1"/>
  <c r="BT655" i="1"/>
  <c r="BU655" i="1"/>
  <c r="BQ656" i="1"/>
  <c r="BR656" i="1"/>
  <c r="BU656" i="1"/>
  <c r="BQ657" i="1"/>
  <c r="BR657" i="1"/>
  <c r="BU657" i="1"/>
  <c r="BQ658" i="1"/>
  <c r="BR658" i="1"/>
  <c r="BU658" i="1"/>
  <c r="BQ659" i="1"/>
  <c r="BR659" i="1"/>
  <c r="BU659" i="1"/>
  <c r="BQ660" i="1"/>
  <c r="BR660" i="1"/>
  <c r="BU660" i="1"/>
  <c r="BQ661" i="1"/>
  <c r="BR661" i="1"/>
  <c r="BT661" i="1"/>
  <c r="BU661" i="1"/>
  <c r="BQ662" i="1"/>
  <c r="BR662" i="1"/>
  <c r="BU662" i="1"/>
  <c r="BQ663" i="1"/>
  <c r="BR663" i="1"/>
  <c r="BU663" i="1"/>
  <c r="BQ664" i="1"/>
  <c r="BR664" i="1"/>
  <c r="BT664" i="1"/>
  <c r="BU664" i="1"/>
  <c r="BQ665" i="1"/>
  <c r="BR665" i="1"/>
  <c r="BU665" i="1"/>
  <c r="BQ666" i="1"/>
  <c r="BR666" i="1"/>
  <c r="BT666" i="1"/>
  <c r="BU666" i="1"/>
  <c r="BQ667" i="1"/>
  <c r="BR667" i="1"/>
  <c r="BU667" i="1"/>
  <c r="BQ668" i="1"/>
  <c r="BR668" i="1"/>
  <c r="BU668" i="1"/>
  <c r="BQ669" i="1"/>
  <c r="BR669" i="1"/>
  <c r="BT669" i="1"/>
  <c r="BU669" i="1"/>
  <c r="BQ670" i="1"/>
  <c r="BR670" i="1"/>
  <c r="BU670" i="1"/>
  <c r="BQ671" i="1"/>
  <c r="BR671" i="1"/>
  <c r="BU671" i="1"/>
  <c r="BQ672" i="1"/>
  <c r="BR672" i="1"/>
  <c r="BT672" i="1"/>
  <c r="BU672" i="1"/>
  <c r="BQ673" i="1"/>
  <c r="BR673" i="1"/>
  <c r="BU673" i="1"/>
  <c r="BQ674" i="1"/>
  <c r="BR674" i="1"/>
  <c r="BU674" i="1"/>
  <c r="BQ675" i="1"/>
  <c r="BR675" i="1"/>
  <c r="BU675" i="1"/>
  <c r="BQ676" i="1"/>
  <c r="BR676" i="1"/>
  <c r="BU676" i="1"/>
  <c r="BQ677" i="1"/>
  <c r="BR677" i="1"/>
  <c r="BT677" i="1"/>
  <c r="BU677" i="1"/>
  <c r="BQ678" i="1"/>
  <c r="BR678" i="1"/>
  <c r="BU678" i="1"/>
  <c r="BQ679" i="1"/>
  <c r="BR679" i="1"/>
  <c r="BU679" i="1"/>
  <c r="BQ680" i="1"/>
  <c r="BR680" i="1"/>
  <c r="BU680" i="1"/>
  <c r="BQ681" i="1"/>
  <c r="BR681" i="1"/>
  <c r="BT681" i="1"/>
  <c r="BU681" i="1"/>
  <c r="BQ682" i="1"/>
  <c r="BR682" i="1"/>
  <c r="BU682" i="1"/>
  <c r="BQ683" i="1"/>
  <c r="BR683" i="1"/>
  <c r="BU683" i="1"/>
  <c r="BQ684" i="1"/>
  <c r="BR684" i="1"/>
  <c r="BT684" i="1"/>
  <c r="BU684" i="1"/>
  <c r="BQ685" i="1"/>
  <c r="BR685" i="1"/>
  <c r="BU685" i="1"/>
  <c r="BQ686" i="1"/>
  <c r="BR686" i="1"/>
  <c r="BU686" i="1"/>
  <c r="BQ687" i="1"/>
  <c r="BR687" i="1"/>
  <c r="BU687" i="1"/>
  <c r="BQ688" i="1"/>
  <c r="BR688" i="1"/>
  <c r="BU688" i="1"/>
  <c r="BQ689" i="1"/>
  <c r="BR689" i="1"/>
  <c r="BU689" i="1"/>
  <c r="BQ690" i="1"/>
  <c r="BR690" i="1"/>
  <c r="BU690" i="1"/>
  <c r="BQ691" i="1"/>
  <c r="BR691" i="1"/>
  <c r="BT691" i="1"/>
  <c r="BU691" i="1"/>
  <c r="BQ692" i="1"/>
  <c r="BR692" i="1"/>
  <c r="BT692" i="1"/>
  <c r="BU692" i="1"/>
  <c r="BQ693" i="1"/>
  <c r="BR693" i="1"/>
  <c r="BU693" i="1"/>
  <c r="BQ694" i="1"/>
  <c r="BR694" i="1"/>
  <c r="BT694" i="1"/>
  <c r="BU694" i="1"/>
  <c r="BQ695" i="1"/>
  <c r="BR695" i="1"/>
  <c r="BU695" i="1"/>
  <c r="BQ696" i="1"/>
  <c r="BR696" i="1"/>
  <c r="BU696" i="1"/>
  <c r="BQ697" i="1"/>
  <c r="BR697" i="1"/>
  <c r="BU697" i="1"/>
  <c r="BQ698" i="1"/>
  <c r="BR698" i="1"/>
  <c r="BU698" i="1"/>
  <c r="BQ699" i="1"/>
  <c r="BR699" i="1"/>
  <c r="BU699" i="1"/>
  <c r="BQ700" i="1"/>
  <c r="BR700" i="1"/>
  <c r="BU700" i="1"/>
  <c r="BQ701" i="1"/>
  <c r="BR701" i="1"/>
  <c r="BU701" i="1"/>
  <c r="BQ702" i="1"/>
  <c r="BR702" i="1"/>
  <c r="BU702" i="1"/>
  <c r="BQ703" i="1"/>
  <c r="BR703" i="1"/>
  <c r="BU703" i="1"/>
  <c r="BQ704" i="1"/>
  <c r="BR704" i="1"/>
  <c r="BU704" i="1"/>
  <c r="BQ705" i="1"/>
  <c r="BR705" i="1"/>
  <c r="BU705" i="1"/>
  <c r="BQ706" i="1"/>
  <c r="BR706" i="1"/>
  <c r="BU706" i="1"/>
  <c r="BQ707" i="1"/>
  <c r="BR707" i="1"/>
  <c r="BU707" i="1"/>
  <c r="BQ708" i="1"/>
  <c r="BR708" i="1"/>
  <c r="BU708" i="1"/>
  <c r="BQ709" i="1"/>
  <c r="BR709" i="1"/>
  <c r="BT709" i="1"/>
  <c r="BU709" i="1"/>
  <c r="BQ710" i="1"/>
  <c r="BR710" i="1"/>
  <c r="BU710" i="1"/>
  <c r="BQ711" i="1"/>
  <c r="BR711" i="1"/>
  <c r="BU711" i="1"/>
  <c r="BQ712" i="1"/>
  <c r="BR712" i="1"/>
  <c r="BU712" i="1"/>
  <c r="BQ713" i="1"/>
  <c r="BR713" i="1"/>
  <c r="BU713" i="1"/>
  <c r="BQ714" i="1"/>
  <c r="BR714" i="1"/>
  <c r="BU714" i="1"/>
  <c r="BQ715" i="1"/>
  <c r="BR715" i="1"/>
  <c r="BU715" i="1"/>
  <c r="BQ716" i="1"/>
  <c r="BR716" i="1"/>
  <c r="BU716" i="1"/>
  <c r="BQ717" i="1"/>
  <c r="BR717" i="1"/>
  <c r="BU717" i="1"/>
  <c r="BQ718" i="1"/>
  <c r="BR718" i="1"/>
  <c r="BU718" i="1"/>
  <c r="BQ719" i="1"/>
  <c r="BR719" i="1"/>
  <c r="BU719" i="1"/>
  <c r="BQ720" i="1"/>
  <c r="BR720" i="1"/>
  <c r="BU720" i="1"/>
  <c r="BQ721" i="1"/>
  <c r="BR721" i="1"/>
  <c r="BT721" i="1"/>
  <c r="BU721" i="1"/>
  <c r="BQ722" i="1"/>
  <c r="BR722" i="1"/>
  <c r="BU722" i="1"/>
  <c r="BQ723" i="1"/>
  <c r="BR723" i="1"/>
  <c r="BU723" i="1"/>
  <c r="BQ724" i="1"/>
  <c r="BR724" i="1"/>
  <c r="BU724" i="1"/>
  <c r="BQ725" i="1"/>
  <c r="BR725" i="1"/>
  <c r="BU725" i="1"/>
  <c r="BQ726" i="1"/>
  <c r="BR726" i="1"/>
  <c r="BU726" i="1"/>
  <c r="BQ727" i="1"/>
  <c r="BR727" i="1"/>
  <c r="BU727" i="1"/>
  <c r="BQ728" i="1"/>
  <c r="BR728" i="1"/>
  <c r="BT728" i="1"/>
  <c r="BU728" i="1"/>
  <c r="BQ729" i="1"/>
  <c r="BR729" i="1"/>
  <c r="BU729" i="1"/>
  <c r="BQ730" i="1"/>
  <c r="BR730" i="1"/>
  <c r="BU730" i="1"/>
  <c r="BQ731" i="1"/>
  <c r="BR731" i="1"/>
  <c r="BU731" i="1"/>
  <c r="BQ732" i="1"/>
  <c r="BR732" i="1"/>
  <c r="BU732" i="1"/>
  <c r="BQ733" i="1"/>
  <c r="BR733" i="1"/>
  <c r="BU733" i="1"/>
  <c r="BQ734" i="1"/>
  <c r="BR734" i="1"/>
  <c r="BT734" i="1"/>
  <c r="BU734" i="1"/>
  <c r="BQ735" i="1"/>
  <c r="BR735" i="1"/>
  <c r="BU735" i="1"/>
  <c r="BQ736" i="1"/>
  <c r="BR736" i="1"/>
  <c r="BU736" i="1"/>
  <c r="BQ737" i="1"/>
  <c r="BR737" i="1"/>
  <c r="BU737" i="1"/>
  <c r="BQ738" i="1"/>
  <c r="BR738" i="1"/>
  <c r="BU738" i="1"/>
  <c r="BQ739" i="1"/>
  <c r="BR739" i="1"/>
  <c r="BU739" i="1"/>
  <c r="BQ740" i="1"/>
  <c r="BR740" i="1"/>
  <c r="BU740" i="1"/>
  <c r="BQ741" i="1"/>
  <c r="BR741" i="1"/>
  <c r="BU741" i="1"/>
  <c r="BQ742" i="1"/>
  <c r="BR742" i="1"/>
  <c r="BU742" i="1"/>
  <c r="BQ743" i="1"/>
  <c r="BR743" i="1"/>
  <c r="BU743" i="1"/>
  <c r="BQ744" i="1"/>
  <c r="BR744" i="1"/>
  <c r="BT744" i="1"/>
  <c r="BU744" i="1"/>
  <c r="BQ745" i="1"/>
  <c r="BR745" i="1"/>
  <c r="BU745" i="1"/>
  <c r="BQ746" i="1"/>
  <c r="BR746" i="1"/>
  <c r="BU746" i="1"/>
  <c r="BQ747" i="1"/>
  <c r="BR747" i="1"/>
  <c r="BU747" i="1"/>
  <c r="BQ748" i="1"/>
  <c r="BR748" i="1"/>
  <c r="BU748" i="1"/>
  <c r="BQ749" i="1"/>
  <c r="BR749" i="1"/>
  <c r="BT749" i="1"/>
  <c r="BU749" i="1"/>
  <c r="BQ750" i="1"/>
  <c r="BR750" i="1"/>
  <c r="BT750" i="1"/>
  <c r="BU750" i="1"/>
  <c r="BQ751" i="1"/>
  <c r="BR751" i="1"/>
  <c r="BU751" i="1"/>
  <c r="BQ752" i="1"/>
  <c r="BR752" i="1"/>
  <c r="BU752" i="1"/>
  <c r="BQ753" i="1"/>
  <c r="BR753" i="1"/>
  <c r="BU753" i="1"/>
  <c r="BQ754" i="1"/>
  <c r="BR754" i="1"/>
  <c r="BU754" i="1"/>
  <c r="BQ755" i="1"/>
  <c r="BR755" i="1"/>
  <c r="BT755" i="1"/>
  <c r="BU755" i="1"/>
  <c r="BQ756" i="1"/>
  <c r="BR756" i="1"/>
  <c r="BT756" i="1"/>
  <c r="BU756" i="1"/>
  <c r="BQ757" i="1"/>
  <c r="BR757" i="1"/>
  <c r="BU757" i="1"/>
  <c r="BQ758" i="1"/>
  <c r="BR758" i="1"/>
  <c r="BU758" i="1"/>
  <c r="BQ759" i="1"/>
  <c r="BR759" i="1"/>
  <c r="BU759" i="1"/>
  <c r="BQ760" i="1"/>
  <c r="BR760" i="1"/>
  <c r="BT760" i="1"/>
  <c r="BU760" i="1"/>
  <c r="BQ761" i="1"/>
  <c r="BR761" i="1"/>
  <c r="BT761" i="1"/>
  <c r="BU761" i="1"/>
  <c r="BQ762" i="1"/>
  <c r="BR762" i="1"/>
  <c r="BU762" i="1"/>
  <c r="BQ763" i="1"/>
  <c r="BR763" i="1"/>
  <c r="BT763" i="1"/>
  <c r="BU763" i="1"/>
  <c r="BQ764" i="1"/>
  <c r="BR764" i="1"/>
  <c r="BT764" i="1"/>
  <c r="BU764" i="1"/>
  <c r="BQ765" i="1"/>
  <c r="BR765" i="1"/>
  <c r="BU765" i="1"/>
  <c r="BQ766" i="1"/>
  <c r="BR766" i="1"/>
  <c r="BU766" i="1"/>
  <c r="BQ767" i="1"/>
  <c r="BR767" i="1"/>
  <c r="BU767" i="1"/>
  <c r="BQ768" i="1"/>
  <c r="BR768" i="1"/>
  <c r="BT768" i="1"/>
  <c r="BU768" i="1"/>
  <c r="BQ769" i="1"/>
  <c r="BR769" i="1"/>
  <c r="BU769" i="1"/>
  <c r="BQ770" i="1"/>
  <c r="BR770" i="1"/>
  <c r="BU770" i="1"/>
  <c r="BQ771" i="1"/>
  <c r="BR771" i="1"/>
  <c r="BT771" i="1"/>
  <c r="BU771" i="1"/>
  <c r="BQ772" i="1"/>
  <c r="BR772" i="1"/>
  <c r="BU772" i="1"/>
  <c r="BQ773" i="1"/>
  <c r="BR773" i="1"/>
  <c r="BT773" i="1"/>
  <c r="BU773" i="1"/>
  <c r="BQ774" i="1"/>
  <c r="BR774" i="1"/>
  <c r="BU774" i="1"/>
  <c r="BQ775" i="1"/>
  <c r="BR775" i="1"/>
  <c r="BT775" i="1"/>
  <c r="BU775" i="1"/>
  <c r="BQ776" i="1"/>
  <c r="BR776" i="1"/>
  <c r="BU776" i="1"/>
  <c r="BQ777" i="1"/>
  <c r="BR777" i="1"/>
  <c r="BU777" i="1"/>
  <c r="BQ778" i="1"/>
  <c r="BR778" i="1"/>
  <c r="BU778" i="1"/>
  <c r="BQ779" i="1"/>
  <c r="BR779" i="1"/>
  <c r="BU779" i="1"/>
  <c r="BQ780" i="1"/>
  <c r="BR780" i="1"/>
  <c r="BU780" i="1"/>
  <c r="BQ781" i="1"/>
  <c r="BR781" i="1"/>
  <c r="BU781" i="1"/>
  <c r="BQ782" i="1"/>
  <c r="BR782" i="1"/>
  <c r="BU782" i="1"/>
  <c r="BQ783" i="1"/>
  <c r="BR783" i="1"/>
  <c r="BU783" i="1"/>
  <c r="BQ784" i="1"/>
  <c r="BR784" i="1"/>
  <c r="BT784" i="1"/>
  <c r="BU784" i="1"/>
  <c r="BQ785" i="1"/>
  <c r="BR785" i="1"/>
  <c r="BU785" i="1"/>
  <c r="BQ786" i="1"/>
  <c r="BR786" i="1"/>
  <c r="BT786" i="1"/>
  <c r="BU786" i="1"/>
  <c r="BQ787" i="1"/>
  <c r="BR787" i="1"/>
  <c r="BU787" i="1"/>
  <c r="BQ788" i="1"/>
  <c r="BR788" i="1"/>
  <c r="BT788" i="1"/>
  <c r="BU788" i="1"/>
  <c r="BQ789" i="1"/>
  <c r="BR789" i="1"/>
  <c r="BU789" i="1"/>
  <c r="BQ790" i="1"/>
  <c r="BR790" i="1"/>
  <c r="BT790" i="1"/>
  <c r="BU790" i="1"/>
  <c r="BQ791" i="1"/>
  <c r="BR791" i="1"/>
  <c r="BU791" i="1"/>
  <c r="BQ792" i="1"/>
  <c r="BR792" i="1"/>
  <c r="BT792" i="1"/>
  <c r="BU792" i="1"/>
  <c r="BQ793" i="1"/>
  <c r="BR793" i="1"/>
  <c r="BU793" i="1"/>
  <c r="BQ794" i="1"/>
  <c r="BR794" i="1"/>
  <c r="BT794" i="1"/>
  <c r="BU794" i="1"/>
  <c r="BQ795" i="1"/>
  <c r="BR795" i="1"/>
  <c r="BT795" i="1"/>
  <c r="BU795" i="1"/>
  <c r="BQ796" i="1"/>
  <c r="BR796" i="1"/>
  <c r="BT796" i="1"/>
  <c r="BU796" i="1"/>
  <c r="BQ797" i="1"/>
  <c r="BR797" i="1"/>
  <c r="BU797" i="1"/>
  <c r="BQ798" i="1"/>
  <c r="BR798" i="1"/>
  <c r="BT798" i="1"/>
  <c r="BU798" i="1"/>
  <c r="BQ799" i="1"/>
  <c r="BR799" i="1"/>
  <c r="BU799" i="1"/>
  <c r="BQ800" i="1"/>
  <c r="BR800" i="1"/>
  <c r="BT800" i="1"/>
  <c r="BU800" i="1"/>
  <c r="BQ801" i="1"/>
  <c r="BR801" i="1"/>
  <c r="BU801" i="1"/>
  <c r="BQ802" i="1"/>
  <c r="BR802" i="1"/>
  <c r="BU802" i="1"/>
  <c r="BQ803" i="1"/>
  <c r="BR803" i="1"/>
  <c r="BT803" i="1"/>
  <c r="BU803" i="1"/>
  <c r="BQ804" i="1"/>
  <c r="BR804" i="1"/>
  <c r="BU804" i="1"/>
  <c r="BQ805" i="1"/>
  <c r="BR805" i="1"/>
  <c r="BT805" i="1"/>
  <c r="BU805" i="1"/>
  <c r="BQ806" i="1"/>
  <c r="BR806" i="1"/>
  <c r="BU806" i="1"/>
  <c r="BQ807" i="1"/>
  <c r="BR807" i="1"/>
  <c r="BT807" i="1"/>
  <c r="BU807" i="1"/>
  <c r="BQ808" i="1"/>
  <c r="BR808" i="1"/>
  <c r="BT808" i="1"/>
  <c r="BU808" i="1"/>
  <c r="BQ809" i="1"/>
  <c r="BR809" i="1"/>
  <c r="BU809" i="1"/>
  <c r="BQ810" i="1"/>
  <c r="BR810" i="1"/>
  <c r="BU810" i="1"/>
  <c r="BQ811" i="1"/>
  <c r="BR811" i="1"/>
  <c r="BU811" i="1"/>
  <c r="BQ812" i="1"/>
  <c r="BR812" i="1"/>
  <c r="BU812" i="1"/>
  <c r="BQ813" i="1"/>
  <c r="BR813" i="1"/>
  <c r="BT813" i="1"/>
  <c r="BU813" i="1"/>
  <c r="BQ814" i="1"/>
  <c r="BR814" i="1"/>
  <c r="BT814" i="1"/>
  <c r="BU814" i="1"/>
  <c r="BQ815" i="1"/>
  <c r="BR815" i="1"/>
  <c r="BU815" i="1"/>
  <c r="BQ816" i="1"/>
  <c r="BR816" i="1"/>
  <c r="BU816" i="1"/>
  <c r="BQ817" i="1"/>
  <c r="BR817" i="1"/>
  <c r="BU817" i="1"/>
  <c r="BQ818" i="1"/>
  <c r="BR818" i="1"/>
  <c r="BU818" i="1"/>
  <c r="BQ819" i="1"/>
  <c r="BR819" i="1"/>
  <c r="BU819" i="1"/>
  <c r="BQ820" i="1"/>
  <c r="BR820" i="1"/>
  <c r="BU820" i="1"/>
  <c r="BQ821" i="1"/>
  <c r="BR821" i="1"/>
  <c r="BU821" i="1"/>
  <c r="BQ822" i="1"/>
  <c r="BR822" i="1"/>
  <c r="BT822" i="1"/>
  <c r="BU822" i="1"/>
  <c r="BQ823" i="1"/>
  <c r="BR823" i="1"/>
  <c r="BU823" i="1"/>
  <c r="BQ824" i="1"/>
  <c r="BR824" i="1"/>
  <c r="BT824" i="1"/>
  <c r="BU824" i="1"/>
  <c r="BQ825" i="1"/>
  <c r="BR825" i="1"/>
  <c r="BT825" i="1"/>
  <c r="BU825" i="1"/>
  <c r="BQ826" i="1"/>
  <c r="BR826" i="1"/>
  <c r="BU826" i="1"/>
  <c r="BQ827" i="1"/>
  <c r="BR827" i="1"/>
  <c r="BU827" i="1"/>
  <c r="BQ828" i="1"/>
  <c r="BR828" i="1"/>
  <c r="BT828" i="1"/>
  <c r="BU828" i="1"/>
  <c r="BQ829" i="1"/>
  <c r="BR829" i="1"/>
  <c r="BU829" i="1"/>
  <c r="BQ830" i="1"/>
  <c r="BR830" i="1"/>
  <c r="BT830" i="1"/>
  <c r="BU830" i="1"/>
  <c r="BQ831" i="1"/>
  <c r="BR831" i="1"/>
  <c r="BT831" i="1"/>
  <c r="BU831" i="1"/>
  <c r="BQ832" i="1"/>
  <c r="BR832" i="1"/>
  <c r="BT832" i="1"/>
  <c r="BU832" i="1"/>
  <c r="BQ833" i="1"/>
  <c r="BR833" i="1"/>
  <c r="BU833" i="1"/>
  <c r="BQ834" i="1"/>
  <c r="BR834" i="1"/>
  <c r="BT834" i="1"/>
  <c r="BU834" i="1"/>
  <c r="BQ835" i="1"/>
  <c r="BR835" i="1"/>
  <c r="BU835" i="1"/>
  <c r="BQ836" i="1"/>
  <c r="BR836" i="1"/>
  <c r="BT836" i="1"/>
  <c r="BU836" i="1"/>
  <c r="BQ837" i="1"/>
  <c r="BR837" i="1"/>
  <c r="BU837" i="1"/>
  <c r="BQ838" i="1"/>
  <c r="BR838" i="1"/>
  <c r="BU838" i="1"/>
  <c r="BQ839" i="1"/>
  <c r="BR839" i="1"/>
  <c r="BU839" i="1"/>
  <c r="BQ840" i="1"/>
  <c r="BR840" i="1"/>
  <c r="BU840" i="1"/>
  <c r="BQ841" i="1"/>
  <c r="BR841" i="1"/>
  <c r="BU841" i="1"/>
  <c r="BQ842" i="1"/>
  <c r="BR842" i="1"/>
  <c r="BT842" i="1"/>
  <c r="BU842" i="1"/>
  <c r="BQ843" i="1"/>
  <c r="BR843" i="1"/>
  <c r="BT843" i="1"/>
  <c r="BU843" i="1"/>
  <c r="BQ844" i="1"/>
  <c r="BR844" i="1"/>
  <c r="BU844" i="1"/>
  <c r="BQ845" i="1"/>
  <c r="BR845" i="1"/>
  <c r="BU845" i="1"/>
  <c r="BQ846" i="1"/>
  <c r="BR846" i="1"/>
  <c r="BT846" i="1"/>
  <c r="BU846" i="1"/>
  <c r="BQ847" i="1"/>
  <c r="BR847" i="1"/>
  <c r="BT847" i="1"/>
  <c r="BU847" i="1"/>
  <c r="BQ848" i="1"/>
  <c r="BR848" i="1"/>
  <c r="BU848" i="1"/>
  <c r="BQ849" i="1"/>
  <c r="BR849" i="1"/>
  <c r="BU849" i="1"/>
  <c r="BQ850" i="1"/>
  <c r="BR850" i="1"/>
  <c r="BT850" i="1"/>
  <c r="BU850" i="1"/>
  <c r="BQ851" i="1"/>
  <c r="BR851" i="1"/>
  <c r="BU851" i="1"/>
  <c r="BQ852" i="1"/>
  <c r="BR852" i="1"/>
  <c r="BT852" i="1"/>
  <c r="BU852" i="1"/>
  <c r="BQ853" i="1"/>
  <c r="BR853" i="1"/>
  <c r="BT853" i="1"/>
  <c r="BU853" i="1"/>
  <c r="BQ854" i="1"/>
  <c r="BR854" i="1"/>
  <c r="BU854" i="1"/>
  <c r="BQ855" i="1"/>
  <c r="BR855" i="1"/>
  <c r="BU855" i="1"/>
  <c r="BQ856" i="1"/>
  <c r="BR856" i="1"/>
  <c r="BU856" i="1"/>
  <c r="BQ857" i="1"/>
  <c r="BR857" i="1"/>
  <c r="BT857" i="1"/>
  <c r="BU857" i="1"/>
  <c r="BQ858" i="1"/>
  <c r="BR858" i="1"/>
  <c r="BT858" i="1"/>
  <c r="BU858" i="1"/>
  <c r="BQ859" i="1"/>
  <c r="BR859" i="1"/>
  <c r="BU859" i="1"/>
  <c r="BQ860" i="1"/>
  <c r="BR860" i="1"/>
  <c r="BU860" i="1"/>
  <c r="BQ861" i="1"/>
  <c r="BR861" i="1"/>
  <c r="BU861" i="1"/>
  <c r="BQ862" i="1"/>
  <c r="BR862" i="1"/>
  <c r="BU862" i="1"/>
  <c r="BQ863" i="1"/>
  <c r="BR863" i="1"/>
  <c r="BU863" i="1"/>
  <c r="BQ864" i="1"/>
  <c r="BR864" i="1"/>
  <c r="BU864" i="1"/>
  <c r="BQ865" i="1"/>
  <c r="BR865" i="1"/>
  <c r="BU865" i="1"/>
  <c r="BQ866" i="1"/>
  <c r="BR866" i="1"/>
  <c r="BU866" i="1"/>
  <c r="BQ867" i="1"/>
  <c r="BR867" i="1"/>
  <c r="BU867" i="1"/>
  <c r="BQ868" i="1"/>
  <c r="BR868" i="1"/>
  <c r="BT868" i="1"/>
  <c r="BU868" i="1"/>
  <c r="BQ869" i="1"/>
  <c r="BR869" i="1"/>
  <c r="BT869" i="1"/>
  <c r="BU869" i="1"/>
  <c r="BQ870" i="1"/>
  <c r="BR870" i="1"/>
  <c r="BU870" i="1"/>
  <c r="BQ871" i="1"/>
  <c r="BR871" i="1"/>
  <c r="BU871" i="1"/>
</calcChain>
</file>

<file path=xl/sharedStrings.xml><?xml version="1.0" encoding="utf-8"?>
<sst xmlns="http://schemas.openxmlformats.org/spreadsheetml/2006/main" count="4609" uniqueCount="456">
  <si>
    <t/>
  </si>
  <si>
    <t>Ret</t>
  </si>
  <si>
    <t>B41</t>
  </si>
  <si>
    <t>210e</t>
  </si>
  <si>
    <t>1910e</t>
  </si>
  <si>
    <t>Ida</t>
  </si>
  <si>
    <t>204n</t>
  </si>
  <si>
    <t>1904n</t>
  </si>
  <si>
    <t>264n</t>
  </si>
  <si>
    <t>1964n</t>
  </si>
  <si>
    <t>346n</t>
  </si>
  <si>
    <t>1846n</t>
  </si>
  <si>
    <t>H13</t>
  </si>
  <si>
    <t>G31</t>
  </si>
  <si>
    <t>219e</t>
  </si>
  <si>
    <t>1819ey</t>
  </si>
  <si>
    <t>1819e</t>
  </si>
  <si>
    <t>1816y</t>
  </si>
  <si>
    <t>208c</t>
  </si>
  <si>
    <t>1808c</t>
  </si>
  <si>
    <t>206c</t>
  </si>
  <si>
    <t>1806c</t>
  </si>
  <si>
    <t>203n</t>
  </si>
  <si>
    <t>1803n</t>
  </si>
  <si>
    <t>203e</t>
  </si>
  <si>
    <t>1803e</t>
  </si>
  <si>
    <t>203c</t>
  </si>
  <si>
    <t>1803c</t>
  </si>
  <si>
    <t>G28</t>
  </si>
  <si>
    <t>302n</t>
  </si>
  <si>
    <t>1602n</t>
  </si>
  <si>
    <t>225c</t>
  </si>
  <si>
    <t>1645c</t>
  </si>
  <si>
    <t>209c</t>
  </si>
  <si>
    <t>1609c</t>
  </si>
  <si>
    <t>207c</t>
  </si>
  <si>
    <t>1607c</t>
  </si>
  <si>
    <t>207e</t>
  </si>
  <si>
    <t>1607e</t>
  </si>
  <si>
    <t>J07c</t>
  </si>
  <si>
    <t>1617c</t>
  </si>
  <si>
    <t>E12</t>
  </si>
  <si>
    <t>505c</t>
  </si>
  <si>
    <t>1505c</t>
  </si>
  <si>
    <t>506e</t>
  </si>
  <si>
    <t>1506e</t>
  </si>
  <si>
    <t>J18c</t>
  </si>
  <si>
    <t>1568c</t>
  </si>
  <si>
    <t>J07e</t>
  </si>
  <si>
    <t>1557ey</t>
  </si>
  <si>
    <t>1557e</t>
  </si>
  <si>
    <t>J07</t>
  </si>
  <si>
    <t>1557y</t>
  </si>
  <si>
    <t>J02</t>
  </si>
  <si>
    <t>320c</t>
  </si>
  <si>
    <t>1420c</t>
  </si>
  <si>
    <t>I26</t>
  </si>
  <si>
    <t>432n</t>
  </si>
  <si>
    <t>1432n</t>
  </si>
  <si>
    <t>431c</t>
  </si>
  <si>
    <t>1431c</t>
  </si>
  <si>
    <t>417e</t>
  </si>
  <si>
    <t>1417e</t>
  </si>
  <si>
    <t>C33c</t>
  </si>
  <si>
    <t>1333c</t>
  </si>
  <si>
    <t>B35</t>
  </si>
  <si>
    <t>C10e</t>
  </si>
  <si>
    <t>1310ey</t>
  </si>
  <si>
    <t>1321y</t>
  </si>
  <si>
    <t>1330y</t>
  </si>
  <si>
    <t>428e</t>
  </si>
  <si>
    <t>1328e</t>
  </si>
  <si>
    <t>422c</t>
  </si>
  <si>
    <t>1322c</t>
  </si>
  <si>
    <t>415e</t>
  </si>
  <si>
    <t>1315e</t>
  </si>
  <si>
    <t>414e</t>
  </si>
  <si>
    <t>1314e</t>
  </si>
  <si>
    <t>404c</t>
  </si>
  <si>
    <t>1304c</t>
  </si>
  <si>
    <t>D26</t>
  </si>
  <si>
    <t>D20</t>
  </si>
  <si>
    <t>D15</t>
  </si>
  <si>
    <t>D09</t>
  </si>
  <si>
    <t>D08</t>
  </si>
  <si>
    <t>D07c</t>
  </si>
  <si>
    <t>1207c</t>
  </si>
  <si>
    <t>D03c</t>
  </si>
  <si>
    <t>1203c</t>
  </si>
  <si>
    <t>D01</t>
  </si>
  <si>
    <t>445c</t>
  </si>
  <si>
    <t>1245c</t>
  </si>
  <si>
    <t>117c</t>
  </si>
  <si>
    <t>1237c</t>
  </si>
  <si>
    <t>406c</t>
  </si>
  <si>
    <t>1236c</t>
  </si>
  <si>
    <t>405c</t>
  </si>
  <si>
    <t>1235cy</t>
  </si>
  <si>
    <t>1235c</t>
  </si>
  <si>
    <t>107c</t>
  </si>
  <si>
    <t>1227cy</t>
  </si>
  <si>
    <t>1227c</t>
  </si>
  <si>
    <t>D17v</t>
  </si>
  <si>
    <t>1217v</t>
  </si>
  <si>
    <t>D17</t>
  </si>
  <si>
    <t>C26c</t>
  </si>
  <si>
    <t>1136c</t>
  </si>
  <si>
    <t>C37</t>
  </si>
  <si>
    <t>1137y</t>
  </si>
  <si>
    <t>B15</t>
  </si>
  <si>
    <t>C13</t>
  </si>
  <si>
    <t>C09</t>
  </si>
  <si>
    <t>C03c</t>
  </si>
  <si>
    <t>1103c</t>
  </si>
  <si>
    <t>C03</t>
  </si>
  <si>
    <t>C27</t>
  </si>
  <si>
    <t>C09c</t>
  </si>
  <si>
    <t>1109c</t>
  </si>
  <si>
    <t>B31N</t>
  </si>
  <si>
    <t>1131N</t>
  </si>
  <si>
    <t>C20</t>
  </si>
  <si>
    <t>C15</t>
  </si>
  <si>
    <t>C11</t>
  </si>
  <si>
    <t>421c</t>
  </si>
  <si>
    <t>1011c</t>
  </si>
  <si>
    <t>F27</t>
  </si>
  <si>
    <t>1057y</t>
  </si>
  <si>
    <t>F13c</t>
  </si>
  <si>
    <t>1043c</t>
  </si>
  <si>
    <t>F26</t>
  </si>
  <si>
    <t>F08</t>
  </si>
  <si>
    <t>F07</t>
  </si>
  <si>
    <t>F11</t>
  </si>
  <si>
    <t>F01c</t>
  </si>
  <si>
    <t>1031c</t>
  </si>
  <si>
    <t>B14</t>
  </si>
  <si>
    <t>C02</t>
  </si>
  <si>
    <t>F30N</t>
  </si>
  <si>
    <t>950N</t>
  </si>
  <si>
    <t>F25e</t>
  </si>
  <si>
    <t>945e</t>
  </si>
  <si>
    <t>F10c</t>
  </si>
  <si>
    <t>930c</t>
  </si>
  <si>
    <t>F03c</t>
  </si>
  <si>
    <t>923c</t>
  </si>
  <si>
    <t>F02</t>
  </si>
  <si>
    <t>B33</t>
  </si>
  <si>
    <t>B19</t>
  </si>
  <si>
    <t>B04</t>
  </si>
  <si>
    <t>B02N</t>
  </si>
  <si>
    <t>902N</t>
  </si>
  <si>
    <t>B02</t>
  </si>
  <si>
    <t>B37</t>
  </si>
  <si>
    <t>B07</t>
  </si>
  <si>
    <t>807y</t>
  </si>
  <si>
    <t>B36</t>
  </si>
  <si>
    <t>B32</t>
  </si>
  <si>
    <t>B26</t>
  </si>
  <si>
    <t>B25</t>
  </si>
  <si>
    <t>B13</t>
  </si>
  <si>
    <t>B10</t>
  </si>
  <si>
    <t>B29</t>
  </si>
  <si>
    <t>B28</t>
  </si>
  <si>
    <t>B24</t>
  </si>
  <si>
    <t>B20</t>
  </si>
  <si>
    <t>B17</t>
  </si>
  <si>
    <t>B01</t>
  </si>
  <si>
    <t>841y</t>
  </si>
  <si>
    <t>410e</t>
  </si>
  <si>
    <t>841e</t>
  </si>
  <si>
    <t>105c</t>
  </si>
  <si>
    <t>805c</t>
  </si>
  <si>
    <t>B30N</t>
  </si>
  <si>
    <t>830N</t>
  </si>
  <si>
    <t>B09</t>
  </si>
  <si>
    <t>B03</t>
  </si>
  <si>
    <t>B38</t>
  </si>
  <si>
    <t>408enc</t>
  </si>
  <si>
    <t>548enc</t>
  </si>
  <si>
    <t>408e</t>
  </si>
  <si>
    <t>548e</t>
  </si>
  <si>
    <t>109N</t>
  </si>
  <si>
    <t>549c</t>
  </si>
  <si>
    <t>115c</t>
  </si>
  <si>
    <t>545c</t>
  </si>
  <si>
    <t>J20</t>
  </si>
  <si>
    <t>J16</t>
  </si>
  <si>
    <t>J05</t>
  </si>
  <si>
    <t>J03</t>
  </si>
  <si>
    <t>J01c</t>
  </si>
  <si>
    <t>521c</t>
  </si>
  <si>
    <t>546e</t>
  </si>
  <si>
    <t>541N</t>
  </si>
  <si>
    <t>514c</t>
  </si>
  <si>
    <t>502cnc</t>
  </si>
  <si>
    <t>502c</t>
  </si>
  <si>
    <t>I39</t>
  </si>
  <si>
    <t>G34</t>
  </si>
  <si>
    <t>G27</t>
  </si>
  <si>
    <t>G39</t>
  </si>
  <si>
    <t>G13c</t>
  </si>
  <si>
    <t>473c</t>
  </si>
  <si>
    <t>G35</t>
  </si>
  <si>
    <t>G38</t>
  </si>
  <si>
    <t>G22</t>
  </si>
  <si>
    <t>440y</t>
  </si>
  <si>
    <t>262n</t>
  </si>
  <si>
    <t>462n</t>
  </si>
  <si>
    <t>G32</t>
  </si>
  <si>
    <t>G11</t>
  </si>
  <si>
    <t>G09</t>
  </si>
  <si>
    <t>G01c</t>
  </si>
  <si>
    <t>474c</t>
  </si>
  <si>
    <t>314c</t>
  </si>
  <si>
    <t>304c</t>
  </si>
  <si>
    <t>I11N</t>
  </si>
  <si>
    <t>381N</t>
  </si>
  <si>
    <t>I14N</t>
  </si>
  <si>
    <t>384N</t>
  </si>
  <si>
    <t>I13</t>
  </si>
  <si>
    <t>383y</t>
  </si>
  <si>
    <t>I10N</t>
  </si>
  <si>
    <t>380N</t>
  </si>
  <si>
    <t>I09e</t>
  </si>
  <si>
    <t>379e</t>
  </si>
  <si>
    <t>I09c</t>
  </si>
  <si>
    <t>379c</t>
  </si>
  <si>
    <t>I08N</t>
  </si>
  <si>
    <t>378N</t>
  </si>
  <si>
    <t>I08c</t>
  </si>
  <si>
    <t>378c</t>
  </si>
  <si>
    <t>I04e</t>
  </si>
  <si>
    <t>374e</t>
  </si>
  <si>
    <t>I04c</t>
  </si>
  <si>
    <t>374c</t>
  </si>
  <si>
    <t>I03c</t>
  </si>
  <si>
    <t>373c</t>
  </si>
  <si>
    <t>113e</t>
  </si>
  <si>
    <t>328e</t>
  </si>
  <si>
    <t>113c</t>
  </si>
  <si>
    <t>328c</t>
  </si>
  <si>
    <t>308c</t>
  </si>
  <si>
    <t>I25</t>
  </si>
  <si>
    <t>313enc</t>
  </si>
  <si>
    <t>313e</t>
  </si>
  <si>
    <t>307e</t>
  </si>
  <si>
    <t>G46</t>
  </si>
  <si>
    <t>G24</t>
  </si>
  <si>
    <t>217e</t>
  </si>
  <si>
    <t>J10</t>
  </si>
  <si>
    <t>D18</t>
  </si>
  <si>
    <t>F12</t>
  </si>
  <si>
    <t>F15</t>
  </si>
  <si>
    <t>D05</t>
  </si>
  <si>
    <t>213e</t>
  </si>
  <si>
    <t>963e</t>
  </si>
  <si>
    <t>D07</t>
  </si>
  <si>
    <t>D03</t>
  </si>
  <si>
    <t>B43</t>
  </si>
  <si>
    <t>I20</t>
  </si>
  <si>
    <t>D11</t>
  </si>
  <si>
    <t>F20</t>
  </si>
  <si>
    <t>I09</t>
  </si>
  <si>
    <t>J06</t>
  </si>
  <si>
    <t>C18</t>
  </si>
  <si>
    <t>B11</t>
  </si>
  <si>
    <t>F13</t>
  </si>
  <si>
    <t>H12</t>
  </si>
  <si>
    <t>F16</t>
  </si>
  <si>
    <t>F24</t>
  </si>
  <si>
    <t>I18</t>
  </si>
  <si>
    <t>C05</t>
  </si>
  <si>
    <t>B21</t>
  </si>
  <si>
    <t>I01</t>
  </si>
  <si>
    <t>I07</t>
  </si>
  <si>
    <t>F05</t>
  </si>
  <si>
    <t>F25</t>
  </si>
  <si>
    <t>J17</t>
  </si>
  <si>
    <t>F01</t>
  </si>
  <si>
    <t>D16</t>
  </si>
  <si>
    <t>J13</t>
  </si>
  <si>
    <t>I12</t>
  </si>
  <si>
    <t>B18</t>
  </si>
  <si>
    <t>F06</t>
  </si>
  <si>
    <t>C07</t>
  </si>
  <si>
    <t>B12</t>
  </si>
  <si>
    <t>G12</t>
  </si>
  <si>
    <t>G01</t>
  </si>
  <si>
    <t>I16</t>
  </si>
  <si>
    <t>C14</t>
  </si>
  <si>
    <t>D13</t>
  </si>
  <si>
    <t>E15c</t>
  </si>
  <si>
    <t>1615c</t>
  </si>
  <si>
    <t>I14</t>
  </si>
  <si>
    <t>B42</t>
  </si>
  <si>
    <t>F03</t>
  </si>
  <si>
    <t>E16</t>
  </si>
  <si>
    <t>C16</t>
  </si>
  <si>
    <t>G43</t>
  </si>
  <si>
    <t>E10</t>
  </si>
  <si>
    <t>E13</t>
  </si>
  <si>
    <t>C19</t>
  </si>
  <si>
    <t>I03</t>
  </si>
  <si>
    <t>J13c</t>
  </si>
  <si>
    <t>533c</t>
  </si>
  <si>
    <t>I17</t>
  </si>
  <si>
    <t>F29</t>
  </si>
  <si>
    <t>D14</t>
  </si>
  <si>
    <t>E01</t>
  </si>
  <si>
    <t>I24</t>
  </si>
  <si>
    <t>J08</t>
  </si>
  <si>
    <t>D10</t>
  </si>
  <si>
    <t>C01c</t>
  </si>
  <si>
    <t>1221c</t>
  </si>
  <si>
    <t>I05</t>
  </si>
  <si>
    <t>I22</t>
  </si>
  <si>
    <t>G08v</t>
  </si>
  <si>
    <t>238e</t>
  </si>
  <si>
    <t>C01</t>
  </si>
  <si>
    <t>D02</t>
  </si>
  <si>
    <t>506v</t>
  </si>
  <si>
    <t>G18</t>
  </si>
  <si>
    <t>J18</t>
  </si>
  <si>
    <t>B06</t>
  </si>
  <si>
    <t>I04</t>
  </si>
  <si>
    <t>C06</t>
  </si>
  <si>
    <t>H08</t>
  </si>
  <si>
    <t>H09</t>
  </si>
  <si>
    <t>B05</t>
  </si>
  <si>
    <t>H05</t>
  </si>
  <si>
    <t>F28</t>
  </si>
  <si>
    <t>I21</t>
  </si>
  <si>
    <t>210v</t>
  </si>
  <si>
    <t>1910v</t>
  </si>
  <si>
    <t>F10</t>
  </si>
  <si>
    <t>B22</t>
  </si>
  <si>
    <t>F18</t>
  </si>
  <si>
    <t>B08</t>
  </si>
  <si>
    <t>B27</t>
  </si>
  <si>
    <t>J19</t>
  </si>
  <si>
    <t>I10</t>
  </si>
  <si>
    <t>E08</t>
  </si>
  <si>
    <t>E02</t>
  </si>
  <si>
    <t>E05</t>
  </si>
  <si>
    <t>C28</t>
  </si>
  <si>
    <t>F09</t>
  </si>
  <si>
    <t>F14</t>
  </si>
  <si>
    <t>H24</t>
  </si>
  <si>
    <t>B16</t>
  </si>
  <si>
    <t>C25</t>
  </si>
  <si>
    <t>I35</t>
  </si>
  <si>
    <t>E17</t>
  </si>
  <si>
    <t>G07</t>
  </si>
  <si>
    <t>I02</t>
  </si>
  <si>
    <t>G15</t>
  </si>
  <si>
    <t>E14</t>
  </si>
  <si>
    <t>G08</t>
  </si>
  <si>
    <t>H03</t>
  </si>
  <si>
    <t>E18</t>
  </si>
  <si>
    <t>E03</t>
  </si>
  <si>
    <t>211c</t>
  </si>
  <si>
    <t>411c</t>
  </si>
  <si>
    <t>I08</t>
  </si>
  <si>
    <t>J22</t>
  </si>
  <si>
    <t>E07</t>
  </si>
  <si>
    <t>G04</t>
  </si>
  <si>
    <t>H07</t>
  </si>
  <si>
    <t>E04</t>
  </si>
  <si>
    <t>J11</t>
  </si>
  <si>
    <t>E09</t>
  </si>
  <si>
    <t>J04</t>
  </si>
  <si>
    <t>G14</t>
  </si>
  <si>
    <t>J01</t>
  </si>
  <si>
    <t>G16</t>
  </si>
  <si>
    <t>B18e</t>
  </si>
  <si>
    <t>818e</t>
  </si>
  <si>
    <t>301c</t>
  </si>
  <si>
    <t>1841c</t>
  </si>
  <si>
    <t>C02c</t>
  </si>
  <si>
    <t>1102c</t>
  </si>
  <si>
    <t>G23</t>
  </si>
  <si>
    <t>F33</t>
  </si>
  <si>
    <t>G13</t>
  </si>
  <si>
    <t>C17</t>
  </si>
  <si>
    <t>G02</t>
  </si>
  <si>
    <t>G05</t>
  </si>
  <si>
    <t>E11</t>
  </si>
  <si>
    <t>J15c</t>
  </si>
  <si>
    <t>535c</t>
  </si>
  <si>
    <t>J12</t>
  </si>
  <si>
    <t>201e</t>
  </si>
  <si>
    <t>1901e</t>
  </si>
  <si>
    <t>315e</t>
  </si>
  <si>
    <t>110c</t>
  </si>
  <si>
    <t>550c</t>
  </si>
  <si>
    <t>C22</t>
  </si>
  <si>
    <t>307c</t>
  </si>
  <si>
    <t>I11</t>
  </si>
  <si>
    <t>G37</t>
  </si>
  <si>
    <t>B45</t>
  </si>
  <si>
    <t>1110e</t>
  </si>
  <si>
    <t>C30e</t>
  </si>
  <si>
    <t>1340e</t>
  </si>
  <si>
    <t>F12c</t>
  </si>
  <si>
    <t>932c</t>
  </si>
  <si>
    <t>429c</t>
  </si>
  <si>
    <t>1329c</t>
  </si>
  <si>
    <t>B12c</t>
  </si>
  <si>
    <t>1122c</t>
  </si>
  <si>
    <t>507c</t>
  </si>
  <si>
    <t>401c</t>
  </si>
  <si>
    <t>1301c</t>
  </si>
  <si>
    <t>Tipo</t>
  </si>
  <si>
    <t>Sentido</t>
  </si>
  <si>
    <t>Código Usuario</t>
  </si>
  <si>
    <t>Código TS</t>
  </si>
  <si>
    <t>Unidad de Negocio</t>
  </si>
  <si>
    <t>PRENOC DOM2</t>
  </si>
  <si>
    <t>TDOM NOC</t>
  </si>
  <si>
    <t>TAR DOM</t>
  </si>
  <si>
    <t>MED DOM</t>
  </si>
  <si>
    <t>MAÑ DOM</t>
  </si>
  <si>
    <t>TDOM MAÑ</t>
  </si>
  <si>
    <t>NOC DOM</t>
  </si>
  <si>
    <t>PRENOC DOM1</t>
  </si>
  <si>
    <t>PRENOC SAB2</t>
  </si>
  <si>
    <t>TSAB NOC</t>
  </si>
  <si>
    <t>TARDE SAB</t>
  </si>
  <si>
    <t>PMD SAB</t>
  </si>
  <si>
    <t>MAÑ SAB</t>
  </si>
  <si>
    <t>PMA SAB</t>
  </si>
  <si>
    <t>TSAB MAÑ</t>
  </si>
  <si>
    <t>NOC SAB</t>
  </si>
  <si>
    <t>PRENOC SAB1</t>
  </si>
  <si>
    <t>PRENOC2</t>
  </si>
  <si>
    <t>FPNOC</t>
  </si>
  <si>
    <t>PTA2</t>
  </si>
  <si>
    <t>PTA1</t>
  </si>
  <si>
    <t>FPTA</t>
  </si>
  <si>
    <t>PMD</t>
  </si>
  <si>
    <t>FPMA</t>
  </si>
  <si>
    <t>TPMA</t>
  </si>
  <si>
    <t>PMA</t>
  </si>
  <si>
    <t>TNOC</t>
  </si>
  <si>
    <t>NOC</t>
  </si>
  <si>
    <t>PRENOC1</t>
  </si>
  <si>
    <t>Domingo</t>
  </si>
  <si>
    <t>Sábado</t>
  </si>
  <si>
    <t>Laboral</t>
  </si>
  <si>
    <t>TIPO_ZONA</t>
  </si>
  <si>
    <t>CAP_POR_BUS_PUNTA</t>
  </si>
  <si>
    <t>INDICE_PUNTA_VALLE</t>
  </si>
  <si>
    <t>FREC_VALLE</t>
  </si>
  <si>
    <t>FREC_PUNTA</t>
  </si>
  <si>
    <t>Capacidad [plazas/hora]</t>
  </si>
  <si>
    <t>Frecuencia [buses/hora]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</si>
</sst>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20" fontId="2" fillId="0" borderId="1" xfId="1" applyNumberFormat="1" applyBorder="1"/>
    <xf numFmtId="20" fontId="2" fillId="0" borderId="1" xfId="1" applyNumberFormat="1" applyBorder="1" applyAlignment="1">
      <alignment horizontal="left"/>
    </xf>
    <xf numFmtId="164" fontId="2" fillId="0" borderId="1" xfId="1" applyNumberFormat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64" fontId="2" fillId="0" borderId="1" xfId="1" applyNumberFormat="1" applyBorder="1" applyAlignment="1">
      <alignment horizontal="left"/>
    </xf>
    <xf numFmtId="0" fontId="3" fillId="2" borderId="1" xfId="1" applyFont="1" applyFill="1" applyBorder="1" applyAlignment="1">
      <alignment horizontal="left" textRotation="90"/>
    </xf>
    <xf numFmtId="2" fontId="3" fillId="2" borderId="1" xfId="1" applyNumberFormat="1" applyFont="1" applyFill="1" applyBorder="1" applyAlignment="1">
      <alignment horizontal="left" textRotation="90"/>
    </xf>
    <xf numFmtId="0" fontId="3" fillId="3" borderId="1" xfId="1" applyFont="1" applyFill="1" applyBorder="1" applyAlignment="1">
      <alignment horizontal="left" textRotation="90"/>
    </xf>
    <xf numFmtId="2" fontId="3" fillId="3" borderId="1" xfId="1" applyNumberFormat="1" applyFont="1" applyFill="1" applyBorder="1" applyAlignment="1">
      <alignment horizontal="left" textRotation="90"/>
    </xf>
    <xf numFmtId="0" fontId="3" fillId="3" borderId="2" xfId="1" applyFont="1" applyFill="1" applyBorder="1" applyAlignment="1">
      <alignment horizontal="left" textRotation="90"/>
    </xf>
    <xf numFmtId="0" fontId="3" fillId="4" borderId="1" xfId="2" applyFont="1" applyFill="1" applyBorder="1" applyAlignment="1">
      <alignment horizontal="center" textRotation="90"/>
    </xf>
    <xf numFmtId="2" fontId="3" fillId="4" borderId="1" xfId="2" applyNumberFormat="1" applyFont="1" applyFill="1" applyBorder="1" applyAlignment="1">
      <alignment horizontal="center" textRotation="90"/>
    </xf>
    <xf numFmtId="0" fontId="3" fillId="5" borderId="1" xfId="2" applyFont="1" applyFill="1" applyBorder="1" applyAlignment="1">
      <alignment horizontal="center" textRotation="90"/>
    </xf>
    <xf numFmtId="2" fontId="3" fillId="5" borderId="1" xfId="2" applyNumberFormat="1" applyFont="1" applyFill="1" applyBorder="1" applyAlignment="1">
      <alignment horizontal="center" textRotation="90"/>
    </xf>
    <xf numFmtId="0" fontId="4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/>
    </xf>
    <xf numFmtId="0" fontId="4" fillId="6" borderId="1" xfId="1" applyFont="1" applyFill="1" applyBorder="1" applyAlignment="1">
      <alignment horizontal="left"/>
    </xf>
  </cellXfs>
  <cellStyles count="3">
    <cellStyle name="Normal" xfId="0" builtinId="0"/>
    <cellStyle name="Normal 2" xfId="1"/>
    <cellStyle name="Normal 2 10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1-Consolidado-Parametros-2026-03-21%20-%20copia-LAPTOP-QHKLQPD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ccio"/>
      <sheetName val="Frec(21Mar al 31Dic)"/>
      <sheetName val="Cap(21Mar al 31Dic)"/>
      <sheetName val="CONSOLIDADO"/>
      <sheetName val="Dist(21Mar al 31Dic)"/>
      <sheetName val="Dist Int(21Mar al 31Dic)"/>
      <sheetName val="Vel(21Mar al 31Dic)"/>
      <sheetName val="Sal(21Mar al 31Dic)"/>
      <sheetName val="Frec(14Mar al 31Dic)"/>
      <sheetName val="Cap(14Mar al 31Dic)"/>
      <sheetName val="Dist(14Mar al 31Dic)"/>
      <sheetName val="Dist Int(14Mar al 31Dic)"/>
      <sheetName val="Vel(14Mar al 31Dic)"/>
      <sheetName val="Sal(14Mar al 31Dic)"/>
      <sheetName val="Frec(07Mar al 31Dic)"/>
      <sheetName val="Cap(07Mar al 31Dic)"/>
      <sheetName val="Dist(07Mar al 31Dic)"/>
      <sheetName val="Dist Int(07Mar al 31Dic)"/>
      <sheetName val="Vel(07Mar al 31Dic)"/>
      <sheetName val="Sal(07Mar al 31Dic)"/>
      <sheetName val="Frec(28Feb al 31Dic)"/>
      <sheetName val="Cap(28Feb al 31Dic)"/>
      <sheetName val="Dist(28Feb al 31Dic)"/>
      <sheetName val="Dist Int(28Feb al 31Dic)"/>
      <sheetName val="Vel(28Feb al 31Dic)"/>
      <sheetName val="Sal(28Feb al 31Dic)"/>
      <sheetName val="Frec(21Feb al 27Feb)"/>
      <sheetName val="Cap(21Feb al 27Feb)"/>
      <sheetName val="Dist(21Feb al 27Feb)"/>
      <sheetName val="Dist Int(21Feb al 27Feb)"/>
      <sheetName val="Vel(21Feb al 27Feb)"/>
      <sheetName val="Sal(21Feb al 27Feb)"/>
      <sheetName val="Frec(31Ene al 20Feb)"/>
      <sheetName val="Cap(31Ene al 20Feb)"/>
      <sheetName val="Dist(31Ene al 20Feb)"/>
      <sheetName val="Dist Int(31Ene al 20Feb)"/>
      <sheetName val="Vel(31Ene al 20Feb)"/>
      <sheetName val="Sal(31Ene al 20Feb)"/>
      <sheetName val="Frec(24Ene al 30Ene)"/>
      <sheetName val="Cap(24Ene al 30Ene)"/>
      <sheetName val="Dist(24Ene al 30Ene)"/>
      <sheetName val="Dist Int(24Ene al 30Ene)"/>
      <sheetName val="Vel(24Ene al 30Ene)"/>
      <sheetName val="Sal(24Ene al 30Ene)"/>
      <sheetName val="Frec(17Ene al 30Ene)"/>
      <sheetName val="Cap(17Ene al 30Ene)"/>
      <sheetName val="Dist(17Ene al 30Ene)"/>
      <sheetName val="Dist Int(17Ene al 30Ene)"/>
      <sheetName val="Vel(17Ene al 30Ene)"/>
      <sheetName val="Sal(17Ene al 30Ene)"/>
      <sheetName val="Frec(10Ene al 30Ene)"/>
      <sheetName val="Cap(10Ene al 30Ene)"/>
      <sheetName val="Dist(10Ene al 30Ene)"/>
      <sheetName val="Dist Int(10Ene al 30Ene)"/>
      <sheetName val="Vel(10Ene al 30Ene)"/>
      <sheetName val="Sal(10Ene al 30Ene)"/>
      <sheetName val="Frec(03Ene al 09Ene)"/>
      <sheetName val="Cap(03Ene al 09Ene)"/>
      <sheetName val="Dist(03Ene al 09Ene)"/>
      <sheetName val="Dist Int(03Ene al 09Ene)"/>
      <sheetName val="Vel(03Ene al 09Ene)"/>
      <sheetName val="Sal(03Ene al 09En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871"/>
  <sheetViews>
    <sheetView tabSelected="1" zoomScale="58" workbookViewId="0">
      <pane ySplit="5" topLeftCell="A6" activePane="bottomLeft" state="frozen"/>
      <selection pane="bottomLeft" activeCell="BS6" sqref="BS6"/>
    </sheetView>
  </sheetViews>
  <sheetFormatPr baseColWidth="10" defaultColWidth="8.88671875" defaultRowHeight="14.4" x14ac:dyDescent="0.3"/>
  <sheetData>
    <row r="1" spans="1:73" x14ac:dyDescent="0.3">
      <c r="A1" s="1"/>
      <c r="B1" s="1" t="s">
        <v>455</v>
      </c>
      <c r="C1" s="1"/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/>
      <c r="AJ1" s="1" t="s">
        <v>454</v>
      </c>
      <c r="AK1" s="1"/>
      <c r="AN1" s="1">
        <v>6</v>
      </c>
      <c r="AO1" s="1">
        <v>7</v>
      </c>
      <c r="AP1" s="1">
        <v>8</v>
      </c>
      <c r="AQ1" s="1">
        <v>9</v>
      </c>
      <c r="AR1" s="1">
        <v>10</v>
      </c>
      <c r="AS1" s="1">
        <v>11</v>
      </c>
      <c r="AT1" s="1">
        <v>12</v>
      </c>
      <c r="AU1" s="1">
        <v>13</v>
      </c>
      <c r="AV1" s="1">
        <v>14</v>
      </c>
      <c r="AW1" s="1">
        <v>15</v>
      </c>
      <c r="AX1" s="1">
        <v>16</v>
      </c>
      <c r="AY1" s="1">
        <v>17</v>
      </c>
      <c r="AZ1" s="1">
        <v>18</v>
      </c>
      <c r="BA1" s="1">
        <v>19</v>
      </c>
      <c r="BB1" s="1">
        <v>20</v>
      </c>
      <c r="BC1" s="1">
        <v>21</v>
      </c>
      <c r="BD1" s="1">
        <v>22</v>
      </c>
      <c r="BE1" s="1">
        <v>23</v>
      </c>
      <c r="BF1" s="1">
        <v>24</v>
      </c>
      <c r="BG1" s="1">
        <v>25</v>
      </c>
      <c r="BH1" s="1">
        <v>26</v>
      </c>
      <c r="BI1" s="1">
        <v>27</v>
      </c>
      <c r="BJ1" s="1">
        <v>28</v>
      </c>
      <c r="BK1" s="1">
        <v>29</v>
      </c>
      <c r="BL1" s="1">
        <v>30</v>
      </c>
      <c r="BM1" s="1">
        <v>31</v>
      </c>
      <c r="BN1" s="1">
        <v>32</v>
      </c>
      <c r="BO1" s="1">
        <v>33</v>
      </c>
      <c r="BP1" s="1">
        <v>34</v>
      </c>
      <c r="BQ1" t="s">
        <v>453</v>
      </c>
      <c r="BR1" t="s">
        <v>452</v>
      </c>
      <c r="BS1" t="s">
        <v>451</v>
      </c>
      <c r="BT1" t="s">
        <v>450</v>
      </c>
      <c r="BU1" t="s">
        <v>449</v>
      </c>
    </row>
    <row r="2" spans="1:73" ht="17.399999999999999" x14ac:dyDescent="0.3">
      <c r="A2" s="1"/>
      <c r="B2" s="1"/>
      <c r="C2" s="1"/>
      <c r="D2" s="1"/>
      <c r="E2" s="1"/>
      <c r="F2" s="19" t="s">
        <v>448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8" t="s">
        <v>447</v>
      </c>
      <c r="S2" s="18"/>
      <c r="T2" s="18"/>
      <c r="U2" s="18"/>
      <c r="V2" s="18"/>
      <c r="W2" s="18"/>
      <c r="X2" s="18"/>
      <c r="Y2" s="18"/>
      <c r="Z2" s="18"/>
      <c r="AA2" s="17" t="s">
        <v>446</v>
      </c>
      <c r="AB2" s="17"/>
      <c r="AC2" s="17"/>
      <c r="AD2" s="17"/>
      <c r="AE2" s="17"/>
      <c r="AF2" s="17"/>
      <c r="AG2" s="17"/>
      <c r="AH2" s="17"/>
      <c r="AI2" s="1"/>
      <c r="AJ2" s="1"/>
      <c r="AK2" s="1"/>
      <c r="AL2" s="1"/>
      <c r="AM2" s="1"/>
      <c r="AN2" s="19" t="s">
        <v>448</v>
      </c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8" t="s">
        <v>447</v>
      </c>
      <c r="BA2" s="18"/>
      <c r="BB2" s="18"/>
      <c r="BC2" s="18"/>
      <c r="BD2" s="18"/>
      <c r="BE2" s="18"/>
      <c r="BF2" s="18"/>
      <c r="BG2" s="18"/>
      <c r="BH2" s="18"/>
      <c r="BI2" s="17" t="s">
        <v>446</v>
      </c>
      <c r="BJ2" s="17"/>
      <c r="BK2" s="17"/>
      <c r="BL2" s="17"/>
      <c r="BM2" s="17"/>
      <c r="BN2" s="17"/>
      <c r="BO2" s="17"/>
      <c r="BP2" s="17"/>
      <c r="BQ2">
        <f>(I2+J2+N2+O2)/4</f>
        <v>0</v>
      </c>
      <c r="BR2">
        <f>(K2+L2+M2)/3</f>
        <v>0</v>
      </c>
      <c r="BS2">
        <v>0</v>
      </c>
      <c r="BT2">
        <v>0</v>
      </c>
      <c r="BU2" t="str">
        <f>IF(OR(A2=2, A2=12), "Central", IF(A2=3, "Semi-Central", "Periférica"))</f>
        <v>Periférica</v>
      </c>
    </row>
    <row r="3" spans="1:73" ht="79.2" x14ac:dyDescent="0.3">
      <c r="A3" s="1"/>
      <c r="B3" s="1"/>
      <c r="C3" s="1"/>
      <c r="D3" s="1"/>
      <c r="E3" s="1"/>
      <c r="F3" s="13" t="s">
        <v>445</v>
      </c>
      <c r="G3" s="13" t="s">
        <v>444</v>
      </c>
      <c r="H3" s="13" t="s">
        <v>443</v>
      </c>
      <c r="I3" s="16" t="s">
        <v>442</v>
      </c>
      <c r="J3" s="15" t="s">
        <v>441</v>
      </c>
      <c r="K3" s="14" t="s">
        <v>440</v>
      </c>
      <c r="L3" s="14" t="s">
        <v>439</v>
      </c>
      <c r="M3" s="13" t="s">
        <v>438</v>
      </c>
      <c r="N3" s="13" t="s">
        <v>437</v>
      </c>
      <c r="O3" s="13" t="s">
        <v>436</v>
      </c>
      <c r="P3" s="14" t="s">
        <v>435</v>
      </c>
      <c r="Q3" s="13" t="s">
        <v>434</v>
      </c>
      <c r="R3" s="10" t="s">
        <v>433</v>
      </c>
      <c r="S3" s="12" t="s">
        <v>432</v>
      </c>
      <c r="T3" s="10" t="s">
        <v>431</v>
      </c>
      <c r="U3" s="11" t="s">
        <v>430</v>
      </c>
      <c r="V3" s="10" t="s">
        <v>429</v>
      </c>
      <c r="W3" s="10" t="s">
        <v>428</v>
      </c>
      <c r="X3" s="10" t="s">
        <v>427</v>
      </c>
      <c r="Y3" s="10" t="s">
        <v>426</v>
      </c>
      <c r="Z3" s="10" t="s">
        <v>425</v>
      </c>
      <c r="AA3" s="8" t="s">
        <v>424</v>
      </c>
      <c r="AB3" s="8" t="s">
        <v>423</v>
      </c>
      <c r="AC3" s="8" t="s">
        <v>422</v>
      </c>
      <c r="AD3" s="9" t="s">
        <v>421</v>
      </c>
      <c r="AE3" s="8" t="s">
        <v>420</v>
      </c>
      <c r="AF3" s="8" t="s">
        <v>419</v>
      </c>
      <c r="AG3" s="8" t="s">
        <v>418</v>
      </c>
      <c r="AH3" s="8" t="s">
        <v>417</v>
      </c>
      <c r="AI3" s="1"/>
      <c r="AJ3" s="1"/>
      <c r="AK3" s="1"/>
      <c r="AL3" s="1"/>
      <c r="AM3" s="1"/>
      <c r="AN3" s="13" t="s">
        <v>445</v>
      </c>
      <c r="AO3" s="13" t="s">
        <v>444</v>
      </c>
      <c r="AP3" s="13" t="s">
        <v>443</v>
      </c>
      <c r="AQ3" s="16" t="s">
        <v>442</v>
      </c>
      <c r="AR3" s="15" t="s">
        <v>441</v>
      </c>
      <c r="AS3" s="14" t="s">
        <v>440</v>
      </c>
      <c r="AT3" s="14" t="s">
        <v>439</v>
      </c>
      <c r="AU3" s="13" t="s">
        <v>438</v>
      </c>
      <c r="AV3" s="13" t="s">
        <v>437</v>
      </c>
      <c r="AW3" s="13" t="s">
        <v>436</v>
      </c>
      <c r="AX3" s="14" t="s">
        <v>435</v>
      </c>
      <c r="AY3" s="13" t="s">
        <v>434</v>
      </c>
      <c r="AZ3" s="10" t="s">
        <v>433</v>
      </c>
      <c r="BA3" s="12" t="s">
        <v>432</v>
      </c>
      <c r="BB3" s="10" t="s">
        <v>431</v>
      </c>
      <c r="BC3" s="11" t="s">
        <v>430</v>
      </c>
      <c r="BD3" s="10" t="s">
        <v>429</v>
      </c>
      <c r="BE3" s="10" t="s">
        <v>428</v>
      </c>
      <c r="BF3" s="10" t="s">
        <v>427</v>
      </c>
      <c r="BG3" s="10" t="s">
        <v>426</v>
      </c>
      <c r="BH3" s="10" t="s">
        <v>425</v>
      </c>
      <c r="BI3" s="8" t="s">
        <v>424</v>
      </c>
      <c r="BJ3" s="8" t="s">
        <v>423</v>
      </c>
      <c r="BK3" s="8" t="s">
        <v>422</v>
      </c>
      <c r="BL3" s="9" t="s">
        <v>421</v>
      </c>
      <c r="BM3" s="8" t="s">
        <v>420</v>
      </c>
      <c r="BN3" s="8" t="s">
        <v>419</v>
      </c>
      <c r="BO3" s="8" t="s">
        <v>418</v>
      </c>
      <c r="BP3" s="8" t="s">
        <v>417</v>
      </c>
      <c r="BQ3">
        <v>0</v>
      </c>
      <c r="BR3">
        <v>0</v>
      </c>
      <c r="BS3">
        <v>0</v>
      </c>
      <c r="BT3">
        <v>0</v>
      </c>
      <c r="BU3" t="str">
        <f>IF(OR(A3=2, A3=12), "Central", IF(A3=3, "Semi-Central", "Periférica"))</f>
        <v>Periférica</v>
      </c>
    </row>
    <row r="4" spans="1:73" x14ac:dyDescent="0.3">
      <c r="A4" s="1"/>
      <c r="B4" s="1"/>
      <c r="C4" s="1"/>
      <c r="D4" s="1"/>
      <c r="E4" s="1"/>
      <c r="F4" s="2">
        <v>0</v>
      </c>
      <c r="G4" s="4">
        <v>4.1666666666666664E-2</v>
      </c>
      <c r="H4" s="4">
        <v>0.22916666666666499</v>
      </c>
      <c r="I4" s="4">
        <v>0.27083333333333098</v>
      </c>
      <c r="J4" s="4">
        <v>0.33333333333333298</v>
      </c>
      <c r="K4" s="4">
        <v>0.39583333333333298</v>
      </c>
      <c r="L4" s="4">
        <v>0.52083333333333304</v>
      </c>
      <c r="M4" s="4">
        <v>0.58333333333333304</v>
      </c>
      <c r="N4" s="4">
        <v>0.6875</v>
      </c>
      <c r="O4" s="4">
        <v>0.77083333333333304</v>
      </c>
      <c r="P4" s="4">
        <v>0.85416666666666596</v>
      </c>
      <c r="Q4" s="4">
        <v>0.91666666666666663</v>
      </c>
      <c r="R4" s="3">
        <v>0</v>
      </c>
      <c r="S4" s="7">
        <v>4.1666666666666664E-2</v>
      </c>
      <c r="T4" s="7">
        <v>0.22916666666666599</v>
      </c>
      <c r="U4" s="7">
        <v>0.27083333333333298</v>
      </c>
      <c r="V4" s="7">
        <v>0.375</v>
      </c>
      <c r="W4" s="7">
        <v>0.5</v>
      </c>
      <c r="X4" s="7">
        <v>0.625</v>
      </c>
      <c r="Y4" s="7">
        <v>0.8125</v>
      </c>
      <c r="Z4" s="4">
        <v>0.91666666666666663</v>
      </c>
      <c r="AA4" s="3">
        <v>0</v>
      </c>
      <c r="AB4" s="7">
        <v>4.1666666666666664E-2</v>
      </c>
      <c r="AC4" s="7">
        <v>0.22916666666666599</v>
      </c>
      <c r="AD4" s="7">
        <v>0.3125</v>
      </c>
      <c r="AE4" s="7">
        <v>0.54166666666666596</v>
      </c>
      <c r="AF4" s="7">
        <v>0.75</v>
      </c>
      <c r="AG4" s="7">
        <v>0.875</v>
      </c>
      <c r="AH4" s="4">
        <v>0.91666666666666663</v>
      </c>
      <c r="AI4" s="1"/>
      <c r="AJ4" s="1"/>
      <c r="AK4" s="1"/>
      <c r="AL4" s="1"/>
      <c r="AM4" s="1"/>
      <c r="AN4" s="2">
        <v>0</v>
      </c>
      <c r="AO4" s="4">
        <v>4.1666666666666664E-2</v>
      </c>
      <c r="AP4" s="4">
        <v>0.22916666666666499</v>
      </c>
      <c r="AQ4" s="4">
        <v>0.27083333333333098</v>
      </c>
      <c r="AR4" s="4">
        <v>0.33333333333333298</v>
      </c>
      <c r="AS4" s="4">
        <v>0.39583333333333298</v>
      </c>
      <c r="AT4" s="4">
        <v>0.52083333333333304</v>
      </c>
      <c r="AU4" s="4">
        <v>0.58333333333333304</v>
      </c>
      <c r="AV4" s="4">
        <v>0.6875</v>
      </c>
      <c r="AW4" s="4">
        <v>0.77083333333333304</v>
      </c>
      <c r="AX4" s="4">
        <v>0.85416666666666596</v>
      </c>
      <c r="AY4" s="4">
        <v>0.91666666666666663</v>
      </c>
      <c r="AZ4" s="3">
        <v>0</v>
      </c>
      <c r="BA4" s="7">
        <v>4.1666666666666664E-2</v>
      </c>
      <c r="BB4" s="7">
        <v>0.22916666666666599</v>
      </c>
      <c r="BC4" s="7">
        <v>0.27083333333333298</v>
      </c>
      <c r="BD4" s="7">
        <v>0.375</v>
      </c>
      <c r="BE4" s="7">
        <v>0.5</v>
      </c>
      <c r="BF4" s="7">
        <v>0.625</v>
      </c>
      <c r="BG4" s="7">
        <v>0.8125</v>
      </c>
      <c r="BH4" s="4">
        <v>0.91666666666666663</v>
      </c>
      <c r="BI4" s="3">
        <v>0</v>
      </c>
      <c r="BJ4" s="7">
        <v>4.1666666666666664E-2</v>
      </c>
      <c r="BK4" s="7">
        <v>0.22916666666666599</v>
      </c>
      <c r="BL4" s="7">
        <v>0.3125</v>
      </c>
      <c r="BM4" s="7">
        <v>0.54166666666666596</v>
      </c>
      <c r="BN4" s="7">
        <v>0.75</v>
      </c>
      <c r="BO4" s="7">
        <v>0.875</v>
      </c>
      <c r="BP4" s="4">
        <v>0.91666666666666663</v>
      </c>
      <c r="BQ4">
        <f>(I4+J4+N4+O4)/4</f>
        <v>0.51562499999999922</v>
      </c>
      <c r="BR4">
        <f>(K4+L4+M4)/3</f>
        <v>0.49999999999999972</v>
      </c>
      <c r="BS4">
        <f>BQ4/BR4</f>
        <v>1.0312499999999991</v>
      </c>
      <c r="BT4">
        <f>AQ4/I4</f>
        <v>1</v>
      </c>
      <c r="BU4" t="str">
        <f>IF(OR(A4=2, A4=12), "Central", IF(A4=3, "Semi-Central", "Periférica"))</f>
        <v>Periférica</v>
      </c>
    </row>
    <row r="5" spans="1:73" x14ac:dyDescent="0.3">
      <c r="A5" s="6" t="s">
        <v>416</v>
      </c>
      <c r="B5" s="6" t="s">
        <v>415</v>
      </c>
      <c r="C5" s="6" t="s">
        <v>414</v>
      </c>
      <c r="D5" s="5" t="s">
        <v>413</v>
      </c>
      <c r="E5" s="5" t="s">
        <v>412</v>
      </c>
      <c r="F5" s="2">
        <v>4.0972222222222222E-2</v>
      </c>
      <c r="G5" s="2">
        <v>0.22847222222222099</v>
      </c>
      <c r="H5" s="2">
        <v>0.27013888888888699</v>
      </c>
      <c r="I5" s="2">
        <v>0.33263888888888599</v>
      </c>
      <c r="J5" s="2">
        <v>0.39513888888888898</v>
      </c>
      <c r="K5" s="2">
        <v>0.52013888888888904</v>
      </c>
      <c r="L5" s="2">
        <v>0.58263888888888904</v>
      </c>
      <c r="M5" s="2">
        <v>0.686805555555556</v>
      </c>
      <c r="N5" s="2">
        <v>0.77013888888888904</v>
      </c>
      <c r="O5" s="2">
        <v>0.85347222222222197</v>
      </c>
      <c r="P5" s="4">
        <v>0.91597222222222219</v>
      </c>
      <c r="Q5" s="2">
        <v>0.999305555555556</v>
      </c>
      <c r="R5" s="3">
        <v>4.0972222222222222E-2</v>
      </c>
      <c r="S5" s="3">
        <v>0.22847222222222199</v>
      </c>
      <c r="T5" s="3">
        <v>0.27013888888888898</v>
      </c>
      <c r="U5" s="3">
        <v>0.374305555555556</v>
      </c>
      <c r="V5" s="3">
        <v>0.499305555555556</v>
      </c>
      <c r="W5" s="3">
        <v>0.624305555555556</v>
      </c>
      <c r="X5" s="3">
        <v>0.811805555555556</v>
      </c>
      <c r="Y5" s="3">
        <v>0.91597222222222219</v>
      </c>
      <c r="Z5" s="2">
        <v>0.999305555555556</v>
      </c>
      <c r="AA5" s="3">
        <v>4.0972222222222222E-2</v>
      </c>
      <c r="AB5" s="3">
        <v>0.22847222222222199</v>
      </c>
      <c r="AC5" s="3">
        <v>0.311805555555556</v>
      </c>
      <c r="AD5" s="3">
        <v>0.54097222222222197</v>
      </c>
      <c r="AE5" s="3">
        <v>0.749305555555556</v>
      </c>
      <c r="AF5" s="3">
        <v>0.874305555555556</v>
      </c>
      <c r="AG5" s="3">
        <v>0.91597222222222219</v>
      </c>
      <c r="AH5" s="2">
        <v>0.999305555555556</v>
      </c>
      <c r="AI5" s="6" t="s">
        <v>416</v>
      </c>
      <c r="AJ5" s="6" t="s">
        <v>415</v>
      </c>
      <c r="AK5" s="6" t="s">
        <v>414</v>
      </c>
      <c r="AL5" s="5" t="s">
        <v>413</v>
      </c>
      <c r="AM5" s="5" t="s">
        <v>412</v>
      </c>
      <c r="AN5" s="2">
        <v>4.0972222222222222E-2</v>
      </c>
      <c r="AO5" s="2">
        <v>0.22847222222222099</v>
      </c>
      <c r="AP5" s="2">
        <v>0.27013888888888699</v>
      </c>
      <c r="AQ5" s="2">
        <v>0.33263888888888599</v>
      </c>
      <c r="AR5" s="2">
        <v>0.39513888888888898</v>
      </c>
      <c r="AS5" s="2">
        <v>0.52013888888888904</v>
      </c>
      <c r="AT5" s="2">
        <v>0.58263888888888904</v>
      </c>
      <c r="AU5" s="2">
        <v>0.686805555555556</v>
      </c>
      <c r="AV5" s="2">
        <v>0.77013888888888904</v>
      </c>
      <c r="AW5" s="2">
        <v>0.85347222222222197</v>
      </c>
      <c r="AX5" s="4">
        <v>0.91597222222222219</v>
      </c>
      <c r="AY5" s="2">
        <v>0.999305555555556</v>
      </c>
      <c r="AZ5" s="3">
        <v>4.0972222222222222E-2</v>
      </c>
      <c r="BA5" s="3">
        <v>0.22847222222222199</v>
      </c>
      <c r="BB5" s="3">
        <v>0.27013888888888898</v>
      </c>
      <c r="BC5" s="3">
        <v>0.374305555555556</v>
      </c>
      <c r="BD5" s="3">
        <v>0.499305555555556</v>
      </c>
      <c r="BE5" s="3">
        <v>0.624305555555556</v>
      </c>
      <c r="BF5" s="3">
        <v>0.811805555555556</v>
      </c>
      <c r="BG5" s="3">
        <v>0.91597222222222219</v>
      </c>
      <c r="BH5" s="2">
        <v>0.999305555555556</v>
      </c>
      <c r="BI5" s="3">
        <v>4.0972222222222222E-2</v>
      </c>
      <c r="BJ5" s="3">
        <v>0.22847222222222199</v>
      </c>
      <c r="BK5" s="3">
        <v>0.311805555555556</v>
      </c>
      <c r="BL5" s="3">
        <v>0.54097222222222197</v>
      </c>
      <c r="BM5" s="3">
        <v>0.749305555555556</v>
      </c>
      <c r="BN5" s="3">
        <v>0.874305555555556</v>
      </c>
      <c r="BO5" s="3">
        <v>0.91597222222222219</v>
      </c>
      <c r="BP5" s="2">
        <v>0.999305555555556</v>
      </c>
      <c r="BQ5">
        <f>(I5+J5+N5+O5)/4</f>
        <v>0.58784722222222152</v>
      </c>
      <c r="BR5">
        <f>(K5+L5+M5)/3</f>
        <v>0.5965277777777781</v>
      </c>
      <c r="BS5">
        <f>BQ5/BR5</f>
        <v>0.98544819557624974</v>
      </c>
      <c r="BT5">
        <f>AQ5/I5</f>
        <v>1</v>
      </c>
      <c r="BU5" t="str">
        <f>IF(OR(A5=2, A5=12), "Central", IF(A5=3, "Semi-Central", "Periférica"))</f>
        <v>Periférica</v>
      </c>
    </row>
    <row r="6" spans="1:73" x14ac:dyDescent="0.3">
      <c r="A6" s="1">
        <v>9</v>
      </c>
      <c r="B6" s="1" t="s">
        <v>142</v>
      </c>
      <c r="C6" s="1" t="s">
        <v>141</v>
      </c>
      <c r="D6" t="s">
        <v>5</v>
      </c>
      <c r="F6">
        <v>0</v>
      </c>
      <c r="G6">
        <v>0.44444444444444442</v>
      </c>
      <c r="H6">
        <v>8</v>
      </c>
      <c r="I6">
        <v>8</v>
      </c>
      <c r="J6">
        <v>4.666666666666667</v>
      </c>
      <c r="K6">
        <v>0.33333333333333331</v>
      </c>
      <c r="L6">
        <v>0</v>
      </c>
      <c r="M6">
        <v>0</v>
      </c>
      <c r="N6">
        <v>3.5</v>
      </c>
      <c r="O6">
        <v>5</v>
      </c>
      <c r="P6">
        <v>2.666666666666667</v>
      </c>
      <c r="Q6">
        <v>0</v>
      </c>
      <c r="R6">
        <v>0</v>
      </c>
      <c r="S6">
        <v>0.44444444444444442</v>
      </c>
      <c r="T6">
        <v>4</v>
      </c>
      <c r="U6">
        <v>4</v>
      </c>
      <c r="V6">
        <v>1.333333333333333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s="1">
        <v>9</v>
      </c>
      <c r="AJ6" s="1" t="s">
        <v>142</v>
      </c>
      <c r="AK6" s="1" t="s">
        <v>141</v>
      </c>
      <c r="AL6" t="s">
        <v>5</v>
      </c>
      <c r="AN6">
        <v>0</v>
      </c>
      <c r="AO6">
        <v>40</v>
      </c>
      <c r="AP6">
        <v>720</v>
      </c>
      <c r="AQ6">
        <v>720</v>
      </c>
      <c r="AR6">
        <v>420</v>
      </c>
      <c r="AS6">
        <v>30</v>
      </c>
      <c r="AT6">
        <v>0</v>
      </c>
      <c r="AU6">
        <v>0</v>
      </c>
      <c r="AV6">
        <v>315</v>
      </c>
      <c r="AW6">
        <v>450</v>
      </c>
      <c r="AX6">
        <v>240</v>
      </c>
      <c r="AY6">
        <v>0</v>
      </c>
      <c r="AZ6">
        <v>0</v>
      </c>
      <c r="BA6">
        <v>40</v>
      </c>
      <c r="BB6">
        <v>360</v>
      </c>
      <c r="BC6">
        <v>360</v>
      </c>
      <c r="BD6">
        <v>120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f>(I6+J6+N6+O6)/4</f>
        <v>5.291666666666667</v>
      </c>
      <c r="BR6">
        <f>(K6+L6+M6)/3</f>
        <v>0.1111111111111111</v>
      </c>
      <c r="BS6">
        <f>BQ6/BR6</f>
        <v>47.625000000000007</v>
      </c>
      <c r="BT6">
        <f>AQ6/I6</f>
        <v>90</v>
      </c>
      <c r="BU6" t="str">
        <f>IF(OR(A6=2, A6=12), "Central", IF(A6=3, "Semi-Central", "Periférica"))</f>
        <v>Periférica</v>
      </c>
    </row>
    <row r="7" spans="1:73" x14ac:dyDescent="0.3">
      <c r="A7" s="1">
        <v>13</v>
      </c>
      <c r="B7" s="1" t="s">
        <v>406</v>
      </c>
      <c r="C7" s="1" t="s">
        <v>405</v>
      </c>
      <c r="D7" t="s">
        <v>5</v>
      </c>
      <c r="F7">
        <v>0</v>
      </c>
      <c r="G7">
        <v>0</v>
      </c>
      <c r="H7">
        <v>0</v>
      </c>
      <c r="I7">
        <v>7.333333333333333</v>
      </c>
      <c r="J7">
        <v>4.666666666666667</v>
      </c>
      <c r="K7">
        <v>0</v>
      </c>
      <c r="L7">
        <v>0</v>
      </c>
      <c r="M7">
        <v>0.4</v>
      </c>
      <c r="N7">
        <v>5</v>
      </c>
      <c r="O7">
        <v>3.5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s="1">
        <v>13</v>
      </c>
      <c r="AJ7" s="1" t="s">
        <v>406</v>
      </c>
      <c r="AK7" s="1" t="s">
        <v>405</v>
      </c>
      <c r="AL7" t="s">
        <v>5</v>
      </c>
      <c r="AN7">
        <v>0</v>
      </c>
      <c r="AO7">
        <v>0</v>
      </c>
      <c r="AP7">
        <v>0</v>
      </c>
      <c r="AQ7">
        <v>660</v>
      </c>
      <c r="AR7">
        <v>420</v>
      </c>
      <c r="AS7">
        <v>0</v>
      </c>
      <c r="AT7">
        <v>0</v>
      </c>
      <c r="AU7">
        <v>36</v>
      </c>
      <c r="AV7">
        <v>450</v>
      </c>
      <c r="AW7">
        <v>315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f>(I7+J7+N7+O7)/4</f>
        <v>5.125</v>
      </c>
      <c r="BR7">
        <f>(K7+L7+M7)/3</f>
        <v>0.13333333333333333</v>
      </c>
      <c r="BS7">
        <f>BQ7/BR7</f>
        <v>38.4375</v>
      </c>
      <c r="BT7">
        <f>AQ7/I7</f>
        <v>90</v>
      </c>
      <c r="BU7" t="str">
        <f>IF(OR(A7=2, A7=12), "Central", IF(A7=3, "Semi-Central", "Periférica"))</f>
        <v>Periférica</v>
      </c>
    </row>
    <row r="8" spans="1:73" x14ac:dyDescent="0.3">
      <c r="A8" s="1">
        <v>11</v>
      </c>
      <c r="B8" s="1" t="s">
        <v>408</v>
      </c>
      <c r="C8" s="1" t="s">
        <v>407</v>
      </c>
      <c r="D8" t="s">
        <v>1</v>
      </c>
      <c r="F8">
        <v>0</v>
      </c>
      <c r="G8">
        <v>0</v>
      </c>
      <c r="H8">
        <v>2</v>
      </c>
      <c r="I8">
        <v>4.666666666666667</v>
      </c>
      <c r="J8">
        <v>4.666666666666667</v>
      </c>
      <c r="K8">
        <v>0.66666666666666663</v>
      </c>
      <c r="L8">
        <v>0</v>
      </c>
      <c r="M8">
        <v>0</v>
      </c>
      <c r="N8">
        <v>6</v>
      </c>
      <c r="O8">
        <v>5.5</v>
      </c>
      <c r="P8">
        <v>0</v>
      </c>
      <c r="Q8">
        <v>0</v>
      </c>
      <c r="R8">
        <v>0</v>
      </c>
      <c r="S8">
        <v>0</v>
      </c>
      <c r="T8">
        <v>3</v>
      </c>
      <c r="U8">
        <v>3.6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s="1">
        <v>11</v>
      </c>
      <c r="AJ8" s="1" t="s">
        <v>408</v>
      </c>
      <c r="AK8" s="1" t="s">
        <v>407</v>
      </c>
      <c r="AL8" t="s">
        <v>1</v>
      </c>
      <c r="AN8">
        <v>0</v>
      </c>
      <c r="AO8">
        <v>0</v>
      </c>
      <c r="AP8">
        <v>180</v>
      </c>
      <c r="AQ8">
        <v>420</v>
      </c>
      <c r="AR8">
        <v>420</v>
      </c>
      <c r="AS8">
        <v>60</v>
      </c>
      <c r="AT8">
        <v>0</v>
      </c>
      <c r="AU8">
        <v>0</v>
      </c>
      <c r="AV8">
        <v>540</v>
      </c>
      <c r="AW8">
        <v>495</v>
      </c>
      <c r="AX8">
        <v>0</v>
      </c>
      <c r="AY8">
        <v>0</v>
      </c>
      <c r="AZ8">
        <v>0</v>
      </c>
      <c r="BA8">
        <v>0</v>
      </c>
      <c r="BB8">
        <v>270</v>
      </c>
      <c r="BC8">
        <v>324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f>(I8+J8+N8+O8)/4</f>
        <v>5.2083333333333339</v>
      </c>
      <c r="BR8">
        <f>(K8+L8+M8)/3</f>
        <v>0.22222222222222221</v>
      </c>
      <c r="BS8">
        <f>BQ8/BR8</f>
        <v>23.437500000000004</v>
      </c>
      <c r="BT8">
        <f>AQ8/I8</f>
        <v>90</v>
      </c>
      <c r="BU8" t="str">
        <f>IF(OR(A8=2, A8=12), "Central", IF(A8=3, "Semi-Central", "Periférica"))</f>
        <v>Periférica</v>
      </c>
    </row>
    <row r="9" spans="1:73" x14ac:dyDescent="0.3">
      <c r="A9" s="1">
        <v>9</v>
      </c>
      <c r="B9" s="1" t="s">
        <v>140</v>
      </c>
      <c r="C9" s="1" t="s">
        <v>139</v>
      </c>
      <c r="D9" t="s">
        <v>1</v>
      </c>
      <c r="F9">
        <v>0</v>
      </c>
      <c r="G9">
        <v>0</v>
      </c>
      <c r="H9">
        <v>0</v>
      </c>
      <c r="I9">
        <v>4</v>
      </c>
      <c r="J9">
        <v>4</v>
      </c>
      <c r="K9">
        <v>0.66666666666666663</v>
      </c>
      <c r="L9">
        <v>0</v>
      </c>
      <c r="M9">
        <v>0</v>
      </c>
      <c r="N9">
        <v>3</v>
      </c>
      <c r="O9">
        <v>6</v>
      </c>
      <c r="P9">
        <v>3.333333333333333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s="1">
        <v>9</v>
      </c>
      <c r="AJ9" s="1" t="s">
        <v>140</v>
      </c>
      <c r="AK9" s="1" t="s">
        <v>139</v>
      </c>
      <c r="AL9" t="s">
        <v>1</v>
      </c>
      <c r="AN9">
        <v>0</v>
      </c>
      <c r="AO9">
        <v>0</v>
      </c>
      <c r="AP9">
        <v>0</v>
      </c>
      <c r="AQ9">
        <v>360</v>
      </c>
      <c r="AR9">
        <v>360</v>
      </c>
      <c r="AS9">
        <v>60</v>
      </c>
      <c r="AT9">
        <v>0</v>
      </c>
      <c r="AU9">
        <v>0</v>
      </c>
      <c r="AV9">
        <v>270</v>
      </c>
      <c r="AW9">
        <v>540</v>
      </c>
      <c r="AX9">
        <v>300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f>(I9+J9+N9+O9)/4</f>
        <v>4.25</v>
      </c>
      <c r="BR9">
        <f>(K9+L9+M9)/3</f>
        <v>0.22222222222222221</v>
      </c>
      <c r="BS9">
        <f>BQ9/BR9</f>
        <v>19.125</v>
      </c>
      <c r="BT9">
        <f>AQ9/I9</f>
        <v>90</v>
      </c>
      <c r="BU9" t="str">
        <f>IF(OR(A9=2, A9=12), "Central", IF(A9=3, "Semi-Central", "Periférica"))</f>
        <v>Periférica</v>
      </c>
    </row>
    <row r="10" spans="1:73" x14ac:dyDescent="0.3">
      <c r="A10" s="1">
        <v>12</v>
      </c>
      <c r="B10" s="1" t="s">
        <v>93</v>
      </c>
      <c r="C10" s="1" t="s">
        <v>92</v>
      </c>
      <c r="D10" t="s">
        <v>5</v>
      </c>
      <c r="E10" t="s">
        <v>0</v>
      </c>
      <c r="F10">
        <v>0</v>
      </c>
      <c r="G10">
        <v>0</v>
      </c>
      <c r="H10">
        <v>4</v>
      </c>
      <c r="I10">
        <v>6</v>
      </c>
      <c r="J10">
        <v>3.333333333333333</v>
      </c>
      <c r="K10">
        <v>0</v>
      </c>
      <c r="L10">
        <v>0</v>
      </c>
      <c r="M10">
        <v>0.8</v>
      </c>
      <c r="N10">
        <v>5</v>
      </c>
      <c r="O10">
        <v>4.5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s="1">
        <v>12</v>
      </c>
      <c r="AJ10" s="1" t="s">
        <v>93</v>
      </c>
      <c r="AK10" s="1" t="s">
        <v>92</v>
      </c>
      <c r="AL10" t="s">
        <v>5</v>
      </c>
      <c r="AM10" t="s">
        <v>0</v>
      </c>
      <c r="AN10">
        <v>0</v>
      </c>
      <c r="AO10">
        <v>0</v>
      </c>
      <c r="AP10">
        <v>360</v>
      </c>
      <c r="AQ10">
        <v>540</v>
      </c>
      <c r="AR10">
        <v>300</v>
      </c>
      <c r="AS10">
        <v>0</v>
      </c>
      <c r="AT10">
        <v>0</v>
      </c>
      <c r="AU10">
        <v>72</v>
      </c>
      <c r="AV10">
        <v>450</v>
      </c>
      <c r="AW10">
        <v>405</v>
      </c>
      <c r="AX10">
        <v>180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f>(I10+J10+N10+O10)/4</f>
        <v>4.708333333333333</v>
      </c>
      <c r="BR10">
        <f>(K10+L10+M10)/3</f>
        <v>0.26666666666666666</v>
      </c>
      <c r="BS10">
        <f>BQ10/BR10</f>
        <v>17.65625</v>
      </c>
      <c r="BT10">
        <f>AQ10/I10</f>
        <v>90</v>
      </c>
      <c r="BU10" t="str">
        <f>IF(OR(A10=2, A10=12), "Central", IF(A10=3, "Semi-Central", "Periférica"))</f>
        <v>Central</v>
      </c>
    </row>
    <row r="11" spans="1:73" x14ac:dyDescent="0.3">
      <c r="A11" s="1">
        <v>9</v>
      </c>
      <c r="B11" s="1" t="s">
        <v>404</v>
      </c>
      <c r="C11" s="1" t="s">
        <v>403</v>
      </c>
      <c r="D11" t="s">
        <v>5</v>
      </c>
      <c r="F11">
        <v>0</v>
      </c>
      <c r="G11">
        <v>0</v>
      </c>
      <c r="H11">
        <v>6</v>
      </c>
      <c r="I11">
        <v>6</v>
      </c>
      <c r="J11">
        <v>4.666666666666667</v>
      </c>
      <c r="K11">
        <v>0.66666666666666663</v>
      </c>
      <c r="L11">
        <v>0</v>
      </c>
      <c r="M11">
        <v>0</v>
      </c>
      <c r="N11">
        <v>1.5</v>
      </c>
      <c r="O11">
        <v>3</v>
      </c>
      <c r="P11">
        <v>3.333333333333333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s="1">
        <v>9</v>
      </c>
      <c r="AJ11" s="1" t="s">
        <v>404</v>
      </c>
      <c r="AK11" s="1" t="s">
        <v>403</v>
      </c>
      <c r="AL11" t="s">
        <v>5</v>
      </c>
      <c r="AN11">
        <v>0</v>
      </c>
      <c r="AO11">
        <v>0</v>
      </c>
      <c r="AP11">
        <v>540</v>
      </c>
      <c r="AQ11">
        <v>540</v>
      </c>
      <c r="AR11">
        <v>420</v>
      </c>
      <c r="AS11">
        <v>60</v>
      </c>
      <c r="AT11">
        <v>0</v>
      </c>
      <c r="AU11">
        <v>0</v>
      </c>
      <c r="AV11">
        <v>135</v>
      </c>
      <c r="AW11">
        <v>270</v>
      </c>
      <c r="AX11">
        <v>300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f>(I11+J11+N11+O11)/4</f>
        <v>3.791666666666667</v>
      </c>
      <c r="BR11">
        <f>(K11+L11+M11)/3</f>
        <v>0.22222222222222221</v>
      </c>
      <c r="BS11">
        <f>BQ11/BR11</f>
        <v>17.062500000000004</v>
      </c>
      <c r="BT11">
        <f>AQ11/I11</f>
        <v>90</v>
      </c>
      <c r="BU11" t="str">
        <f>IF(OR(A11=2, A11=12), "Central", IF(A11=3, "Semi-Central", "Periférica"))</f>
        <v>Periférica</v>
      </c>
    </row>
    <row r="12" spans="1:73" x14ac:dyDescent="0.3">
      <c r="A12" s="1">
        <v>13</v>
      </c>
      <c r="B12" s="1" t="s">
        <v>411</v>
      </c>
      <c r="C12" s="1" t="s">
        <v>410</v>
      </c>
      <c r="D12" t="s">
        <v>5</v>
      </c>
      <c r="F12">
        <v>0</v>
      </c>
      <c r="G12">
        <v>0</v>
      </c>
      <c r="H12">
        <v>0</v>
      </c>
      <c r="I12">
        <v>1.333333333333333</v>
      </c>
      <c r="J12">
        <v>2</v>
      </c>
      <c r="K12">
        <v>0.33333333333333331</v>
      </c>
      <c r="L12">
        <v>0</v>
      </c>
      <c r="M12">
        <v>0</v>
      </c>
      <c r="N12">
        <v>0.5</v>
      </c>
      <c r="O12">
        <v>2</v>
      </c>
      <c r="P12">
        <v>0.66666666666666663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s="1">
        <v>13</v>
      </c>
      <c r="AJ12" s="1" t="s">
        <v>411</v>
      </c>
      <c r="AK12" s="1" t="s">
        <v>410</v>
      </c>
      <c r="AL12" t="s">
        <v>5</v>
      </c>
      <c r="AN12">
        <v>0</v>
      </c>
      <c r="AO12">
        <v>0</v>
      </c>
      <c r="AP12">
        <v>0</v>
      </c>
      <c r="AQ12">
        <v>120</v>
      </c>
      <c r="AR12">
        <v>180</v>
      </c>
      <c r="AS12">
        <v>30</v>
      </c>
      <c r="AT12">
        <v>0</v>
      </c>
      <c r="AU12">
        <v>0</v>
      </c>
      <c r="AV12">
        <v>45</v>
      </c>
      <c r="AW12">
        <v>180</v>
      </c>
      <c r="AX12">
        <v>60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f>(I12+J12+N12+O12)/4</f>
        <v>1.4583333333333333</v>
      </c>
      <c r="BR12">
        <f>(K12+L12+M12)/3</f>
        <v>0.1111111111111111</v>
      </c>
      <c r="BS12">
        <f>BQ12/BR12</f>
        <v>13.125</v>
      </c>
      <c r="BT12">
        <f>AQ12/I12</f>
        <v>90.000000000000014</v>
      </c>
      <c r="BU12" t="str">
        <f>IF(OR(A12=2, A12=12), "Central", IF(A12=3, "Semi-Central", "Periférica"))</f>
        <v>Periférica</v>
      </c>
    </row>
    <row r="13" spans="1:73" x14ac:dyDescent="0.3">
      <c r="A13" s="1">
        <v>13</v>
      </c>
      <c r="B13" s="1" t="s">
        <v>411</v>
      </c>
      <c r="C13" s="1" t="s">
        <v>410</v>
      </c>
      <c r="D13" t="s">
        <v>1</v>
      </c>
      <c r="F13">
        <v>0</v>
      </c>
      <c r="G13">
        <v>0</v>
      </c>
      <c r="H13">
        <v>0</v>
      </c>
      <c r="I13">
        <v>1.333333333333333</v>
      </c>
      <c r="J13">
        <v>2</v>
      </c>
      <c r="K13">
        <v>0.33333333333333331</v>
      </c>
      <c r="L13">
        <v>0</v>
      </c>
      <c r="M13">
        <v>0</v>
      </c>
      <c r="N13">
        <v>0.5</v>
      </c>
      <c r="O13">
        <v>2</v>
      </c>
      <c r="P13">
        <v>0.66666666666666663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s="1">
        <v>13</v>
      </c>
      <c r="AJ13" s="1" t="s">
        <v>411</v>
      </c>
      <c r="AK13" s="1" t="s">
        <v>410</v>
      </c>
      <c r="AL13" t="s">
        <v>1</v>
      </c>
      <c r="AN13">
        <v>0</v>
      </c>
      <c r="AO13">
        <v>0</v>
      </c>
      <c r="AP13">
        <v>0</v>
      </c>
      <c r="AQ13">
        <v>120</v>
      </c>
      <c r="AR13">
        <v>180</v>
      </c>
      <c r="AS13">
        <v>30</v>
      </c>
      <c r="AT13">
        <v>0</v>
      </c>
      <c r="AU13">
        <v>0</v>
      </c>
      <c r="AV13">
        <v>45</v>
      </c>
      <c r="AW13">
        <v>180</v>
      </c>
      <c r="AX13">
        <v>60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f>(I13+J13+N13+O13)/4</f>
        <v>1.4583333333333333</v>
      </c>
      <c r="BR13">
        <f>(K13+L13+M13)/3</f>
        <v>0.1111111111111111</v>
      </c>
      <c r="BS13">
        <f>BQ13/BR13</f>
        <v>13.125</v>
      </c>
      <c r="BT13">
        <f>AQ13/I13</f>
        <v>90.000000000000014</v>
      </c>
      <c r="BU13" t="str">
        <f>IF(OR(A13=2, A13=12), "Central", IF(A13=3, "Semi-Central", "Periférica"))</f>
        <v>Periférica</v>
      </c>
    </row>
    <row r="14" spans="1:73" x14ac:dyDescent="0.3">
      <c r="A14" s="1">
        <v>5</v>
      </c>
      <c r="B14" s="1" t="s">
        <v>409</v>
      </c>
      <c r="C14" s="1" t="s">
        <v>409</v>
      </c>
      <c r="D14" t="s">
        <v>1</v>
      </c>
      <c r="E14" t="s">
        <v>0</v>
      </c>
      <c r="F14">
        <v>0</v>
      </c>
      <c r="G14">
        <v>0</v>
      </c>
      <c r="H14">
        <v>6</v>
      </c>
      <c r="I14">
        <v>6.666666666666667</v>
      </c>
      <c r="J14">
        <v>6</v>
      </c>
      <c r="K14">
        <v>0</v>
      </c>
      <c r="L14">
        <v>0</v>
      </c>
      <c r="M14">
        <v>1.6</v>
      </c>
      <c r="N14">
        <v>6</v>
      </c>
      <c r="O14">
        <v>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s="1">
        <v>5</v>
      </c>
      <c r="AJ14" s="1" t="s">
        <v>409</v>
      </c>
      <c r="AK14" s="1" t="s">
        <v>409</v>
      </c>
      <c r="AL14" t="s">
        <v>1</v>
      </c>
      <c r="AM14" t="s">
        <v>0</v>
      </c>
      <c r="AN14">
        <v>0</v>
      </c>
      <c r="AO14">
        <v>0</v>
      </c>
      <c r="AP14">
        <v>486</v>
      </c>
      <c r="AQ14">
        <v>540</v>
      </c>
      <c r="AR14">
        <v>486</v>
      </c>
      <c r="AS14">
        <v>0</v>
      </c>
      <c r="AT14">
        <v>0</v>
      </c>
      <c r="AU14">
        <v>129.6</v>
      </c>
      <c r="AV14">
        <v>486</v>
      </c>
      <c r="AW14">
        <v>486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f>(I14+J14+N14+O14)/4</f>
        <v>6.166666666666667</v>
      </c>
      <c r="BR14">
        <f>(K14+L14+M14)/3</f>
        <v>0.53333333333333333</v>
      </c>
      <c r="BS14">
        <f>BQ14/BR14</f>
        <v>11.5625</v>
      </c>
      <c r="BT14">
        <f>AQ14/I14</f>
        <v>81</v>
      </c>
      <c r="BU14" t="str">
        <f>IF(OR(A14=2, A14=12), "Central", IF(A14=3, "Semi-Central", "Periférica"))</f>
        <v>Periférica</v>
      </c>
    </row>
    <row r="15" spans="1:73" x14ac:dyDescent="0.3">
      <c r="A15" s="1">
        <v>5</v>
      </c>
      <c r="B15" s="1" t="s">
        <v>409</v>
      </c>
      <c r="C15" s="1" t="s">
        <v>409</v>
      </c>
      <c r="D15" t="s">
        <v>5</v>
      </c>
      <c r="E15" t="s">
        <v>0</v>
      </c>
      <c r="F15">
        <v>0</v>
      </c>
      <c r="G15">
        <v>0</v>
      </c>
      <c r="H15">
        <v>0</v>
      </c>
      <c r="I15">
        <v>7.333333333333333</v>
      </c>
      <c r="J15">
        <v>6</v>
      </c>
      <c r="K15">
        <v>1.6666666666666667</v>
      </c>
      <c r="L15">
        <v>0</v>
      </c>
      <c r="M15">
        <v>0</v>
      </c>
      <c r="N15">
        <v>6</v>
      </c>
      <c r="O15">
        <v>6</v>
      </c>
      <c r="P15">
        <v>2.6666666666666665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s="1">
        <v>5</v>
      </c>
      <c r="AJ15" s="1" t="s">
        <v>409</v>
      </c>
      <c r="AK15" s="1" t="s">
        <v>409</v>
      </c>
      <c r="AL15" t="s">
        <v>5</v>
      </c>
      <c r="AM15" t="s">
        <v>0</v>
      </c>
      <c r="AN15">
        <v>0</v>
      </c>
      <c r="AO15">
        <v>0</v>
      </c>
      <c r="AP15">
        <v>0</v>
      </c>
      <c r="AQ15">
        <v>594</v>
      </c>
      <c r="AR15">
        <v>486</v>
      </c>
      <c r="AS15">
        <v>135</v>
      </c>
      <c r="AT15">
        <v>0</v>
      </c>
      <c r="AU15">
        <v>0</v>
      </c>
      <c r="AV15">
        <v>486</v>
      </c>
      <c r="AW15">
        <v>486</v>
      </c>
      <c r="AX15">
        <v>216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f>(I15+J15+N15+O15)/4</f>
        <v>6.333333333333333</v>
      </c>
      <c r="BR15">
        <f>(K15+L15+M15)/3</f>
        <v>0.55555555555555558</v>
      </c>
      <c r="BS15">
        <f>BQ15/BR15</f>
        <v>11.399999999999999</v>
      </c>
      <c r="BT15">
        <f>AQ15/I15</f>
        <v>81</v>
      </c>
      <c r="BU15" t="str">
        <f>IF(OR(A15=2, A15=12), "Central", IF(A15=3, "Semi-Central", "Periférica"))</f>
        <v>Periférica</v>
      </c>
    </row>
    <row r="16" spans="1:73" x14ac:dyDescent="0.3">
      <c r="A16" s="1">
        <v>15</v>
      </c>
      <c r="B16" s="1" t="s">
        <v>45</v>
      </c>
      <c r="C16" s="1" t="s">
        <v>44</v>
      </c>
      <c r="D16" t="s">
        <v>1</v>
      </c>
      <c r="E16" t="s">
        <v>0</v>
      </c>
      <c r="F16">
        <v>0</v>
      </c>
      <c r="G16">
        <v>0</v>
      </c>
      <c r="H16">
        <v>0</v>
      </c>
      <c r="I16">
        <v>5.333333333333333</v>
      </c>
      <c r="J16">
        <v>5.333333333333333</v>
      </c>
      <c r="K16">
        <v>1.333333333333333</v>
      </c>
      <c r="L16">
        <v>0</v>
      </c>
      <c r="M16">
        <v>0</v>
      </c>
      <c r="N16">
        <v>2.5</v>
      </c>
      <c r="O16">
        <v>5</v>
      </c>
      <c r="P16">
        <v>3.333333333333333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s="1">
        <v>15</v>
      </c>
      <c r="AJ16" s="1" t="s">
        <v>45</v>
      </c>
      <c r="AK16" s="1" t="s">
        <v>44</v>
      </c>
      <c r="AL16" t="s">
        <v>1</v>
      </c>
      <c r="AM16" t="s">
        <v>0</v>
      </c>
      <c r="AN16">
        <v>0</v>
      </c>
      <c r="AO16">
        <v>0</v>
      </c>
      <c r="AP16">
        <v>0</v>
      </c>
      <c r="AQ16">
        <v>480</v>
      </c>
      <c r="AR16">
        <v>480</v>
      </c>
      <c r="AS16">
        <v>120</v>
      </c>
      <c r="AT16">
        <v>0</v>
      </c>
      <c r="AU16">
        <v>0</v>
      </c>
      <c r="AV16">
        <v>225</v>
      </c>
      <c r="AW16">
        <v>450</v>
      </c>
      <c r="AX16">
        <v>300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f>(I16+J16+N16+O16)/4</f>
        <v>4.5416666666666661</v>
      </c>
      <c r="BR16">
        <f>(K16+L16+M16)/3</f>
        <v>0.44444444444444436</v>
      </c>
      <c r="BS16">
        <f>BQ16/BR16</f>
        <v>10.21875</v>
      </c>
      <c r="BT16">
        <f>AQ16/I16</f>
        <v>90</v>
      </c>
      <c r="BU16" t="str">
        <f>IF(OR(A16=2, A16=12), "Central", IF(A16=3, "Semi-Central", "Periférica"))</f>
        <v>Periférica</v>
      </c>
    </row>
    <row r="17" spans="1:73" x14ac:dyDescent="0.3">
      <c r="A17" s="1">
        <v>11</v>
      </c>
      <c r="B17" s="1" t="s">
        <v>408</v>
      </c>
      <c r="C17" s="1" t="s">
        <v>407</v>
      </c>
      <c r="D17" t="s">
        <v>5</v>
      </c>
      <c r="F17">
        <v>0</v>
      </c>
      <c r="G17">
        <v>0</v>
      </c>
      <c r="H17">
        <v>5</v>
      </c>
      <c r="I17">
        <v>6.666666666666667</v>
      </c>
      <c r="J17">
        <v>4</v>
      </c>
      <c r="K17">
        <v>0</v>
      </c>
      <c r="L17">
        <v>0</v>
      </c>
      <c r="M17">
        <v>1.6</v>
      </c>
      <c r="N17">
        <v>5.5</v>
      </c>
      <c r="O17">
        <v>3</v>
      </c>
      <c r="P17">
        <v>0</v>
      </c>
      <c r="Q17">
        <v>0</v>
      </c>
      <c r="R17">
        <v>0</v>
      </c>
      <c r="S17">
        <v>0</v>
      </c>
      <c r="T17">
        <v>3</v>
      </c>
      <c r="U17">
        <v>4.8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s="1">
        <v>11</v>
      </c>
      <c r="AJ17" s="1" t="s">
        <v>408</v>
      </c>
      <c r="AK17" s="1" t="s">
        <v>407</v>
      </c>
      <c r="AL17" t="s">
        <v>5</v>
      </c>
      <c r="AN17">
        <v>0</v>
      </c>
      <c r="AO17">
        <v>0</v>
      </c>
      <c r="AP17">
        <v>450</v>
      </c>
      <c r="AQ17">
        <v>600</v>
      </c>
      <c r="AR17">
        <v>360</v>
      </c>
      <c r="AS17">
        <v>0</v>
      </c>
      <c r="AT17">
        <v>0</v>
      </c>
      <c r="AU17">
        <v>144</v>
      </c>
      <c r="AV17">
        <v>495</v>
      </c>
      <c r="AW17">
        <v>270</v>
      </c>
      <c r="AX17">
        <v>0</v>
      </c>
      <c r="AY17">
        <v>0</v>
      </c>
      <c r="AZ17">
        <v>0</v>
      </c>
      <c r="BA17">
        <v>0</v>
      </c>
      <c r="BB17">
        <v>270</v>
      </c>
      <c r="BC17">
        <v>432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f>(I17+J17+N17+O17)/4</f>
        <v>4.791666666666667</v>
      </c>
      <c r="BR17">
        <f>(K17+L17+M17)/3</f>
        <v>0.53333333333333333</v>
      </c>
      <c r="BS17">
        <f>BQ17/BR17</f>
        <v>8.984375</v>
      </c>
      <c r="BT17">
        <f>AQ17/I17</f>
        <v>90</v>
      </c>
      <c r="BU17" t="str">
        <f>IF(OR(A17=2, A17=12), "Central", IF(A17=3, "Semi-Central", "Periférica"))</f>
        <v>Periférica</v>
      </c>
    </row>
    <row r="18" spans="1:73" x14ac:dyDescent="0.3">
      <c r="A18" s="1">
        <v>13</v>
      </c>
      <c r="B18" s="1" t="s">
        <v>406</v>
      </c>
      <c r="C18" s="1" t="s">
        <v>405</v>
      </c>
      <c r="D18" t="s">
        <v>1</v>
      </c>
      <c r="F18">
        <v>0</v>
      </c>
      <c r="G18">
        <v>0</v>
      </c>
      <c r="H18">
        <v>0</v>
      </c>
      <c r="I18">
        <v>2.666666666666667</v>
      </c>
      <c r="J18">
        <v>4.666666666666667</v>
      </c>
      <c r="K18">
        <v>1.333333333333333</v>
      </c>
      <c r="L18">
        <v>0</v>
      </c>
      <c r="M18">
        <v>0</v>
      </c>
      <c r="N18">
        <v>2.5</v>
      </c>
      <c r="O18">
        <v>5</v>
      </c>
      <c r="P18">
        <v>1.333333333333333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s="1">
        <v>13</v>
      </c>
      <c r="AJ18" s="1" t="s">
        <v>406</v>
      </c>
      <c r="AK18" s="1" t="s">
        <v>405</v>
      </c>
      <c r="AL18" t="s">
        <v>1</v>
      </c>
      <c r="AN18">
        <v>0</v>
      </c>
      <c r="AO18">
        <v>0</v>
      </c>
      <c r="AP18">
        <v>0</v>
      </c>
      <c r="AQ18">
        <v>240</v>
      </c>
      <c r="AR18">
        <v>420</v>
      </c>
      <c r="AS18">
        <v>120</v>
      </c>
      <c r="AT18">
        <v>0</v>
      </c>
      <c r="AU18">
        <v>0</v>
      </c>
      <c r="AV18">
        <v>225</v>
      </c>
      <c r="AW18">
        <v>450</v>
      </c>
      <c r="AX18">
        <v>120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f>(I18+J18+N18+O18)/4</f>
        <v>3.7083333333333335</v>
      </c>
      <c r="BR18">
        <f>(K18+L18+M18)/3</f>
        <v>0.44444444444444436</v>
      </c>
      <c r="BS18">
        <f>BQ18/BR18</f>
        <v>8.3437500000000018</v>
      </c>
      <c r="BT18">
        <f>AQ18/I18</f>
        <v>89.999999999999986</v>
      </c>
      <c r="BU18" t="str">
        <f>IF(OR(A18=2, A18=12), "Central", IF(A18=3, "Semi-Central", "Periférica"))</f>
        <v>Periférica</v>
      </c>
    </row>
    <row r="19" spans="1:73" x14ac:dyDescent="0.3">
      <c r="A19" s="1">
        <v>12</v>
      </c>
      <c r="B19" s="1" t="s">
        <v>95</v>
      </c>
      <c r="C19" s="1" t="s">
        <v>94</v>
      </c>
      <c r="D19" t="s">
        <v>5</v>
      </c>
      <c r="E19" t="s">
        <v>0</v>
      </c>
      <c r="F19">
        <v>0</v>
      </c>
      <c r="G19">
        <v>0</v>
      </c>
      <c r="H19">
        <v>0</v>
      </c>
      <c r="I19">
        <v>7.333333333333333</v>
      </c>
      <c r="J19">
        <v>6</v>
      </c>
      <c r="K19">
        <v>1</v>
      </c>
      <c r="L19">
        <v>0</v>
      </c>
      <c r="M19">
        <v>1.2</v>
      </c>
      <c r="N19">
        <v>6.5</v>
      </c>
      <c r="O19">
        <v>3.5</v>
      </c>
      <c r="P19">
        <v>0</v>
      </c>
      <c r="Q19">
        <v>0</v>
      </c>
      <c r="R19">
        <v>0</v>
      </c>
      <c r="S19">
        <v>0</v>
      </c>
      <c r="T19">
        <v>0</v>
      </c>
      <c r="U19">
        <v>4.8</v>
      </c>
      <c r="V19">
        <v>1.666666666666667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s="1">
        <v>12</v>
      </c>
      <c r="AJ19" s="1" t="s">
        <v>95</v>
      </c>
      <c r="AK19" s="1" t="s">
        <v>94</v>
      </c>
      <c r="AL19" t="s">
        <v>5</v>
      </c>
      <c r="AM19" t="s">
        <v>0</v>
      </c>
      <c r="AN19">
        <v>0</v>
      </c>
      <c r="AO19">
        <v>0</v>
      </c>
      <c r="AP19">
        <v>0</v>
      </c>
      <c r="AQ19">
        <v>1100</v>
      </c>
      <c r="AR19">
        <v>900</v>
      </c>
      <c r="AS19">
        <v>150</v>
      </c>
      <c r="AT19">
        <v>0</v>
      </c>
      <c r="AU19">
        <v>180</v>
      </c>
      <c r="AV19">
        <v>975</v>
      </c>
      <c r="AW19">
        <v>525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432</v>
      </c>
      <c r="BD19">
        <v>150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f>(I19+J19+N19+O19)/4</f>
        <v>5.833333333333333</v>
      </c>
      <c r="BR19">
        <f>(K19+L19+M19)/3</f>
        <v>0.73333333333333339</v>
      </c>
      <c r="BS19">
        <f>BQ19/BR19</f>
        <v>7.9545454545454533</v>
      </c>
      <c r="BT19">
        <f>AQ19/I19</f>
        <v>150</v>
      </c>
      <c r="BU19" t="str">
        <f>IF(OR(A19=2, A19=12), "Central", IF(A19=3, "Semi-Central", "Periférica"))</f>
        <v>Central</v>
      </c>
    </row>
    <row r="20" spans="1:73" x14ac:dyDescent="0.3">
      <c r="A20" s="1">
        <v>12</v>
      </c>
      <c r="B20" s="1" t="s">
        <v>98</v>
      </c>
      <c r="C20" s="1" t="s">
        <v>96</v>
      </c>
      <c r="D20" t="s">
        <v>1</v>
      </c>
      <c r="E20" t="s">
        <v>0</v>
      </c>
      <c r="F20">
        <v>0</v>
      </c>
      <c r="G20">
        <v>0.66666666666666663</v>
      </c>
      <c r="H20">
        <v>6</v>
      </c>
      <c r="I20">
        <v>6.666666666666667</v>
      </c>
      <c r="J20">
        <v>5.333333333333333</v>
      </c>
      <c r="K20">
        <v>0</v>
      </c>
      <c r="L20">
        <v>0</v>
      </c>
      <c r="M20">
        <v>2.4</v>
      </c>
      <c r="N20">
        <v>6.5</v>
      </c>
      <c r="O20">
        <v>6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s="1">
        <v>12</v>
      </c>
      <c r="AJ20" s="1" t="s">
        <v>98</v>
      </c>
      <c r="AK20" s="1" t="s">
        <v>96</v>
      </c>
      <c r="AL20" t="s">
        <v>1</v>
      </c>
      <c r="AM20" t="s">
        <v>0</v>
      </c>
      <c r="AN20">
        <v>0</v>
      </c>
      <c r="AO20">
        <v>60</v>
      </c>
      <c r="AP20">
        <v>540</v>
      </c>
      <c r="AQ20">
        <v>600</v>
      </c>
      <c r="AR20">
        <v>480</v>
      </c>
      <c r="AS20">
        <v>0</v>
      </c>
      <c r="AT20">
        <v>0</v>
      </c>
      <c r="AU20">
        <v>216</v>
      </c>
      <c r="AV20">
        <v>585</v>
      </c>
      <c r="AW20">
        <v>540</v>
      </c>
      <c r="AX20">
        <v>180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f>(I20+J20+N20+O20)/4</f>
        <v>6.125</v>
      </c>
      <c r="BR20">
        <f>(K20+L20+M20)/3</f>
        <v>0.79999999999999993</v>
      </c>
      <c r="BS20">
        <f>BQ20/BR20</f>
        <v>7.6562500000000009</v>
      </c>
      <c r="BT20">
        <f>AQ20/I20</f>
        <v>90</v>
      </c>
      <c r="BU20" t="str">
        <f>IF(OR(A20=2, A20=12), "Central", IF(A20=3, "Semi-Central", "Periférica"))</f>
        <v>Central</v>
      </c>
    </row>
    <row r="21" spans="1:73" x14ac:dyDescent="0.3">
      <c r="A21" s="1">
        <v>9</v>
      </c>
      <c r="B21" s="1" t="s">
        <v>404</v>
      </c>
      <c r="C21" s="1" t="s">
        <v>403</v>
      </c>
      <c r="D21" t="s">
        <v>1</v>
      </c>
      <c r="F21">
        <v>0</v>
      </c>
      <c r="G21">
        <v>0</v>
      </c>
      <c r="H21">
        <v>2</v>
      </c>
      <c r="I21">
        <v>4</v>
      </c>
      <c r="J21">
        <v>4</v>
      </c>
      <c r="K21">
        <v>1.666666666666667</v>
      </c>
      <c r="L21">
        <v>0</v>
      </c>
      <c r="M21">
        <v>0</v>
      </c>
      <c r="N21">
        <v>3</v>
      </c>
      <c r="O21">
        <v>6</v>
      </c>
      <c r="P21">
        <v>3.333333333333333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s="1">
        <v>9</v>
      </c>
      <c r="AJ21" s="1" t="s">
        <v>404</v>
      </c>
      <c r="AK21" s="1" t="s">
        <v>403</v>
      </c>
      <c r="AL21" t="s">
        <v>1</v>
      </c>
      <c r="AN21">
        <v>0</v>
      </c>
      <c r="AO21">
        <v>0</v>
      </c>
      <c r="AP21">
        <v>180</v>
      </c>
      <c r="AQ21">
        <v>360</v>
      </c>
      <c r="AR21">
        <v>360</v>
      </c>
      <c r="AS21">
        <v>150</v>
      </c>
      <c r="AT21">
        <v>0</v>
      </c>
      <c r="AU21">
        <v>0</v>
      </c>
      <c r="AV21">
        <v>270</v>
      </c>
      <c r="AW21">
        <v>540</v>
      </c>
      <c r="AX21">
        <v>300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f>(I21+J21+N21+O21)/4</f>
        <v>4.25</v>
      </c>
      <c r="BR21">
        <f>(K21+L21+M21)/3</f>
        <v>0.55555555555555569</v>
      </c>
      <c r="BS21">
        <f>BQ21/BR21</f>
        <v>7.6499999999999977</v>
      </c>
      <c r="BT21">
        <f>AQ21/I21</f>
        <v>90</v>
      </c>
      <c r="BU21" t="str">
        <f>IF(OR(A21=2, A21=12), "Central", IF(A21=3, "Semi-Central", "Periférica"))</f>
        <v>Periférica</v>
      </c>
    </row>
    <row r="22" spans="1:73" x14ac:dyDescent="0.3">
      <c r="A22" s="1">
        <v>13</v>
      </c>
      <c r="B22" s="1" t="s">
        <v>402</v>
      </c>
      <c r="C22" s="1" t="s">
        <v>401</v>
      </c>
      <c r="D22" t="s">
        <v>5</v>
      </c>
      <c r="F22">
        <v>0</v>
      </c>
      <c r="G22">
        <v>0</v>
      </c>
      <c r="H22">
        <v>4</v>
      </c>
      <c r="I22">
        <v>7.333333333333333</v>
      </c>
      <c r="J22">
        <v>7.333333333333333</v>
      </c>
      <c r="K22">
        <v>1.666666666666667</v>
      </c>
      <c r="L22">
        <v>0</v>
      </c>
      <c r="M22">
        <v>2</v>
      </c>
      <c r="N22">
        <v>7</v>
      </c>
      <c r="O22">
        <v>6.5</v>
      </c>
      <c r="P22">
        <v>1.333333333333333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s="1">
        <v>13</v>
      </c>
      <c r="AJ22" s="1" t="s">
        <v>402</v>
      </c>
      <c r="AK22" s="1" t="s">
        <v>401</v>
      </c>
      <c r="AL22" t="s">
        <v>5</v>
      </c>
      <c r="AN22">
        <v>0</v>
      </c>
      <c r="AO22">
        <v>0</v>
      </c>
      <c r="AP22">
        <v>600</v>
      </c>
      <c r="AQ22">
        <v>1100</v>
      </c>
      <c r="AR22">
        <v>1100</v>
      </c>
      <c r="AS22">
        <v>250</v>
      </c>
      <c r="AT22">
        <v>0</v>
      </c>
      <c r="AU22">
        <v>300</v>
      </c>
      <c r="AV22">
        <v>1050</v>
      </c>
      <c r="AW22">
        <v>975</v>
      </c>
      <c r="AX22">
        <v>200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f>(I22+J22+N22+O22)/4</f>
        <v>7.0416666666666661</v>
      </c>
      <c r="BR22">
        <f>(K22+L22+M22)/3</f>
        <v>1.2222222222222223</v>
      </c>
      <c r="BS22">
        <f>BQ22/BR22</f>
        <v>5.7613636363636358</v>
      </c>
      <c r="BT22">
        <f>AQ22/I22</f>
        <v>150</v>
      </c>
      <c r="BU22" t="str">
        <f>IF(OR(A22=2, A22=12), "Central", IF(A22=3, "Semi-Central", "Periférica"))</f>
        <v>Periférica</v>
      </c>
    </row>
    <row r="23" spans="1:73" x14ac:dyDescent="0.3">
      <c r="A23" s="1">
        <v>13</v>
      </c>
      <c r="B23" s="1" t="s">
        <v>402</v>
      </c>
      <c r="C23" s="1" t="s">
        <v>401</v>
      </c>
      <c r="D23" t="s">
        <v>1</v>
      </c>
      <c r="F23">
        <v>0</v>
      </c>
      <c r="G23">
        <v>0</v>
      </c>
      <c r="H23">
        <v>4</v>
      </c>
      <c r="I23">
        <v>6.666666666666667</v>
      </c>
      <c r="J23">
        <v>7.333333333333333</v>
      </c>
      <c r="K23">
        <v>1.666666666666667</v>
      </c>
      <c r="L23">
        <v>0</v>
      </c>
      <c r="M23">
        <v>2</v>
      </c>
      <c r="N23">
        <v>7.5</v>
      </c>
      <c r="O23">
        <v>6</v>
      </c>
      <c r="P23">
        <v>1.333333333333333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s="1">
        <v>13</v>
      </c>
      <c r="AJ23" s="1" t="s">
        <v>402</v>
      </c>
      <c r="AK23" s="1" t="s">
        <v>401</v>
      </c>
      <c r="AL23" t="s">
        <v>1</v>
      </c>
      <c r="AN23">
        <v>0</v>
      </c>
      <c r="AO23">
        <v>0</v>
      </c>
      <c r="AP23">
        <v>600</v>
      </c>
      <c r="AQ23">
        <v>1000</v>
      </c>
      <c r="AR23">
        <v>1100</v>
      </c>
      <c r="AS23">
        <v>250</v>
      </c>
      <c r="AT23">
        <v>0</v>
      </c>
      <c r="AU23">
        <v>300</v>
      </c>
      <c r="AV23">
        <v>1125</v>
      </c>
      <c r="AW23">
        <v>900</v>
      </c>
      <c r="AX23">
        <v>200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f>(I23+J23+N23+O23)/4</f>
        <v>6.875</v>
      </c>
      <c r="BR23">
        <f>(K23+L23+M23)/3</f>
        <v>1.2222222222222223</v>
      </c>
      <c r="BS23">
        <f>BQ23/BR23</f>
        <v>5.6249999999999991</v>
      </c>
      <c r="BT23">
        <f>AQ23/I23</f>
        <v>150</v>
      </c>
      <c r="BU23" t="str">
        <f>IF(OR(A23=2, A23=12), "Central", IF(A23=3, "Semi-Central", "Periférica"))</f>
        <v>Periférica</v>
      </c>
    </row>
    <row r="24" spans="1:73" x14ac:dyDescent="0.3">
      <c r="A24" s="1">
        <v>11</v>
      </c>
      <c r="B24" s="1" t="s">
        <v>400</v>
      </c>
      <c r="C24" s="1" t="s">
        <v>66</v>
      </c>
      <c r="D24" t="s">
        <v>5</v>
      </c>
      <c r="F24">
        <v>0</v>
      </c>
      <c r="G24">
        <v>0</v>
      </c>
      <c r="H24">
        <v>4</v>
      </c>
      <c r="I24">
        <v>13.33333333333333</v>
      </c>
      <c r="J24">
        <v>12</v>
      </c>
      <c r="K24">
        <v>3</v>
      </c>
      <c r="L24">
        <v>0</v>
      </c>
      <c r="M24">
        <v>2.8</v>
      </c>
      <c r="N24">
        <v>8.5</v>
      </c>
      <c r="O24">
        <v>6.5</v>
      </c>
      <c r="P24">
        <v>1.333333333333333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s="1">
        <v>11</v>
      </c>
      <c r="AJ24" s="1" t="s">
        <v>400</v>
      </c>
      <c r="AK24" s="1" t="s">
        <v>66</v>
      </c>
      <c r="AL24" t="s">
        <v>5</v>
      </c>
      <c r="AN24">
        <v>0</v>
      </c>
      <c r="AO24">
        <v>0</v>
      </c>
      <c r="AP24">
        <v>360</v>
      </c>
      <c r="AQ24">
        <v>1200</v>
      </c>
      <c r="AR24">
        <v>1080</v>
      </c>
      <c r="AS24">
        <v>270</v>
      </c>
      <c r="AT24">
        <v>0</v>
      </c>
      <c r="AU24">
        <v>252</v>
      </c>
      <c r="AV24">
        <v>765</v>
      </c>
      <c r="AW24">
        <v>585</v>
      </c>
      <c r="AX24">
        <v>120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f>(I24+J24+N24+O24)/4</f>
        <v>10.083333333333332</v>
      </c>
      <c r="BR24">
        <f>(K24+L24+M24)/3</f>
        <v>1.9333333333333333</v>
      </c>
      <c r="BS24">
        <f>BQ24/BR24</f>
        <v>5.2155172413793096</v>
      </c>
      <c r="BT24">
        <f>AQ24/I24</f>
        <v>90.000000000000014</v>
      </c>
      <c r="BU24" t="str">
        <f>IF(OR(A24=2, A24=12), "Central", IF(A24=3, "Semi-Central", "Periférica"))</f>
        <v>Periférica</v>
      </c>
    </row>
    <row r="25" spans="1:73" x14ac:dyDescent="0.3">
      <c r="A25" s="1">
        <v>11</v>
      </c>
      <c r="B25" s="1" t="s">
        <v>400</v>
      </c>
      <c r="C25" s="1" t="s">
        <v>66</v>
      </c>
      <c r="D25" t="s">
        <v>1</v>
      </c>
      <c r="F25">
        <v>0</v>
      </c>
      <c r="G25">
        <v>0</v>
      </c>
      <c r="H25">
        <v>4</v>
      </c>
      <c r="I25">
        <v>11.33333333333333</v>
      </c>
      <c r="J25">
        <v>10.66666666666667</v>
      </c>
      <c r="K25">
        <v>3</v>
      </c>
      <c r="L25">
        <v>0</v>
      </c>
      <c r="M25">
        <v>2.8</v>
      </c>
      <c r="N25">
        <v>9.5</v>
      </c>
      <c r="O25">
        <v>6.5</v>
      </c>
      <c r="P25">
        <v>1.333333333333333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s="1">
        <v>11</v>
      </c>
      <c r="AJ25" s="1" t="s">
        <v>400</v>
      </c>
      <c r="AK25" s="1" t="s">
        <v>66</v>
      </c>
      <c r="AL25" t="s">
        <v>1</v>
      </c>
      <c r="AN25">
        <v>0</v>
      </c>
      <c r="AO25">
        <v>0</v>
      </c>
      <c r="AP25">
        <v>360</v>
      </c>
      <c r="AQ25">
        <v>1020</v>
      </c>
      <c r="AR25">
        <v>960</v>
      </c>
      <c r="AS25">
        <v>270</v>
      </c>
      <c r="AT25">
        <v>0</v>
      </c>
      <c r="AU25">
        <v>252</v>
      </c>
      <c r="AV25">
        <v>855</v>
      </c>
      <c r="AW25">
        <v>585</v>
      </c>
      <c r="AX25">
        <v>120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f>(I25+J25+N25+O25)/4</f>
        <v>9.5</v>
      </c>
      <c r="BR25">
        <f>(K25+L25+M25)/3</f>
        <v>1.9333333333333333</v>
      </c>
      <c r="BS25">
        <f>BQ25/BR25</f>
        <v>4.9137931034482758</v>
      </c>
      <c r="BT25">
        <f>AQ25/I25</f>
        <v>90.000000000000028</v>
      </c>
      <c r="BU25" t="str">
        <f>IF(OR(A25=2, A25=12), "Central", IF(A25=3, "Semi-Central", "Periférica"))</f>
        <v>Periférica</v>
      </c>
    </row>
    <row r="26" spans="1:73" x14ac:dyDescent="0.3">
      <c r="A26" s="1">
        <v>10</v>
      </c>
      <c r="B26" s="1" t="s">
        <v>124</v>
      </c>
      <c r="C26" s="1" t="s">
        <v>123</v>
      </c>
      <c r="D26" t="s">
        <v>5</v>
      </c>
      <c r="F26">
        <v>0</v>
      </c>
      <c r="G26">
        <v>0</v>
      </c>
      <c r="H26">
        <v>0</v>
      </c>
      <c r="I26">
        <v>3.333333333333333</v>
      </c>
      <c r="J26">
        <v>3.333333333333333</v>
      </c>
      <c r="K26">
        <v>0</v>
      </c>
      <c r="L26">
        <v>0</v>
      </c>
      <c r="M26">
        <v>2</v>
      </c>
      <c r="N26">
        <v>4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s="1">
        <v>10</v>
      </c>
      <c r="AJ26" s="1" t="s">
        <v>124</v>
      </c>
      <c r="AK26" s="1" t="s">
        <v>123</v>
      </c>
      <c r="AL26" t="s">
        <v>5</v>
      </c>
      <c r="AN26">
        <v>0</v>
      </c>
      <c r="AO26">
        <v>0</v>
      </c>
      <c r="AP26">
        <v>0</v>
      </c>
      <c r="AQ26">
        <v>300</v>
      </c>
      <c r="AR26">
        <v>300</v>
      </c>
      <c r="AS26">
        <v>0</v>
      </c>
      <c r="AT26">
        <v>0</v>
      </c>
      <c r="AU26">
        <v>180</v>
      </c>
      <c r="AV26">
        <v>360</v>
      </c>
      <c r="AW26">
        <v>180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f>(I26+J26+N26+O26)/4</f>
        <v>3.1666666666666665</v>
      </c>
      <c r="BR26">
        <f>(K26+L26+M26)/3</f>
        <v>0.66666666666666663</v>
      </c>
      <c r="BS26">
        <f>BQ26/BR26</f>
        <v>4.75</v>
      </c>
      <c r="BT26">
        <f>AQ26/I26</f>
        <v>90.000000000000014</v>
      </c>
      <c r="BU26" t="str">
        <f>IF(OR(A26=2, A26=12), "Central", IF(A26=3, "Semi-Central", "Periférica"))</f>
        <v>Periférica</v>
      </c>
    </row>
    <row r="27" spans="1:73" x14ac:dyDescent="0.3">
      <c r="A27" s="1">
        <v>3</v>
      </c>
      <c r="B27" s="1" t="s">
        <v>243</v>
      </c>
      <c r="C27" s="1" t="s">
        <v>243</v>
      </c>
      <c r="D27" t="s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3.3333333333333335</v>
      </c>
      <c r="K27">
        <v>0.66666666666666663</v>
      </c>
      <c r="L27">
        <v>0</v>
      </c>
      <c r="M27">
        <v>0</v>
      </c>
      <c r="N27">
        <v>0</v>
      </c>
      <c r="O27">
        <v>0</v>
      </c>
      <c r="P27">
        <v>0.66666666666666663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s="1">
        <v>3</v>
      </c>
      <c r="AJ27" s="1" t="s">
        <v>243</v>
      </c>
      <c r="AK27" s="1" t="s">
        <v>243</v>
      </c>
      <c r="AL27" t="s">
        <v>1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310</v>
      </c>
      <c r="AS27">
        <v>62</v>
      </c>
      <c r="AT27">
        <v>0</v>
      </c>
      <c r="AU27">
        <v>0</v>
      </c>
      <c r="AV27">
        <v>0</v>
      </c>
      <c r="AW27">
        <v>0</v>
      </c>
      <c r="AX27">
        <v>62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f>(I27+J27+N27+O27)/4</f>
        <v>0.83333333333333337</v>
      </c>
      <c r="BR27">
        <f>(K27+L27+M27)/3</f>
        <v>0.22222222222222221</v>
      </c>
      <c r="BS27">
        <f>BQ27/BR27</f>
        <v>3.7500000000000004</v>
      </c>
      <c r="BT27">
        <v>0</v>
      </c>
      <c r="BU27" t="str">
        <f>IF(OR(A27=2, A27=12), "Central", IF(A27=3, "Semi-Central", "Periférica"))</f>
        <v>Semi-Central</v>
      </c>
    </row>
    <row r="28" spans="1:73" x14ac:dyDescent="0.3">
      <c r="A28" s="1">
        <v>12</v>
      </c>
      <c r="B28" s="1" t="s">
        <v>91</v>
      </c>
      <c r="C28" s="1" t="s">
        <v>90</v>
      </c>
      <c r="D28" t="s">
        <v>1</v>
      </c>
      <c r="E28" t="s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</v>
      </c>
      <c r="N28">
        <v>6.5</v>
      </c>
      <c r="O28">
        <v>5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s="1">
        <v>12</v>
      </c>
      <c r="AJ28" s="1" t="s">
        <v>91</v>
      </c>
      <c r="AK28" s="1" t="s">
        <v>90</v>
      </c>
      <c r="AL28" t="s">
        <v>1</v>
      </c>
      <c r="AM28" t="s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216</v>
      </c>
      <c r="AV28">
        <v>585</v>
      </c>
      <c r="AW28">
        <v>450</v>
      </c>
      <c r="AX28">
        <v>180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f>(I28+J28+N28+O28)/4</f>
        <v>2.875</v>
      </c>
      <c r="BR28">
        <f>(K28+L28+M28)/3</f>
        <v>0.79999999999999993</v>
      </c>
      <c r="BS28">
        <f>BQ28/BR28</f>
        <v>3.5937500000000004</v>
      </c>
      <c r="BT28">
        <v>0</v>
      </c>
      <c r="BU28" t="str">
        <f>IF(OR(A28=2, A28=12), "Central", IF(A28=3, "Semi-Central", "Periférica"))</f>
        <v>Central</v>
      </c>
    </row>
    <row r="29" spans="1:73" x14ac:dyDescent="0.3">
      <c r="A29" s="1">
        <v>19</v>
      </c>
      <c r="B29" s="1">
        <v>1945</v>
      </c>
      <c r="C29" s="1">
        <v>245</v>
      </c>
      <c r="D29" t="s">
        <v>5</v>
      </c>
      <c r="E29" t="s">
        <v>0</v>
      </c>
      <c r="F29">
        <v>0</v>
      </c>
      <c r="G29">
        <v>0</v>
      </c>
      <c r="H29">
        <v>14</v>
      </c>
      <c r="I29">
        <v>14</v>
      </c>
      <c r="J29">
        <v>8.6666666666666661</v>
      </c>
      <c r="K29">
        <v>4</v>
      </c>
      <c r="L29">
        <v>4</v>
      </c>
      <c r="M29">
        <v>4</v>
      </c>
      <c r="N29">
        <v>6</v>
      </c>
      <c r="O29">
        <v>9.5</v>
      </c>
      <c r="P29">
        <v>4.666666666666667</v>
      </c>
      <c r="Q29">
        <v>2</v>
      </c>
      <c r="R29">
        <v>0</v>
      </c>
      <c r="S29">
        <v>0</v>
      </c>
      <c r="T29">
        <v>4</v>
      </c>
      <c r="U29">
        <v>2.8</v>
      </c>
      <c r="V29">
        <v>3</v>
      </c>
      <c r="W29">
        <v>3</v>
      </c>
      <c r="X29">
        <v>3.1111111111111112</v>
      </c>
      <c r="Y29">
        <v>2.8</v>
      </c>
      <c r="Z29">
        <v>2</v>
      </c>
      <c r="AA29">
        <v>0</v>
      </c>
      <c r="AB29">
        <v>0</v>
      </c>
      <c r="AC29">
        <v>2.5</v>
      </c>
      <c r="AD29">
        <v>2.9090909090909092</v>
      </c>
      <c r="AE29">
        <v>3</v>
      </c>
      <c r="AF29">
        <v>3</v>
      </c>
      <c r="AG29">
        <v>3</v>
      </c>
      <c r="AH29">
        <v>2</v>
      </c>
      <c r="AI29" s="1">
        <v>19</v>
      </c>
      <c r="AJ29" s="1">
        <v>1945</v>
      </c>
      <c r="AK29" s="1">
        <v>245</v>
      </c>
      <c r="AL29" t="s">
        <v>5</v>
      </c>
      <c r="AM29" t="s">
        <v>0</v>
      </c>
      <c r="AN29">
        <v>0</v>
      </c>
      <c r="AO29">
        <v>0</v>
      </c>
      <c r="AP29">
        <v>1260</v>
      </c>
      <c r="AQ29">
        <v>1260</v>
      </c>
      <c r="AR29">
        <v>780</v>
      </c>
      <c r="AS29">
        <v>360</v>
      </c>
      <c r="AT29">
        <v>360</v>
      </c>
      <c r="AU29">
        <v>360</v>
      </c>
      <c r="AV29">
        <v>540</v>
      </c>
      <c r="AW29">
        <v>855</v>
      </c>
      <c r="AX29">
        <v>420</v>
      </c>
      <c r="AY29">
        <v>180</v>
      </c>
      <c r="AZ29">
        <v>0</v>
      </c>
      <c r="BA29">
        <v>0</v>
      </c>
      <c r="BB29">
        <v>360</v>
      </c>
      <c r="BC29">
        <v>252</v>
      </c>
      <c r="BD29">
        <v>270</v>
      </c>
      <c r="BE29">
        <v>270</v>
      </c>
      <c r="BF29">
        <v>280</v>
      </c>
      <c r="BG29">
        <v>252</v>
      </c>
      <c r="BH29">
        <v>180</v>
      </c>
      <c r="BI29">
        <v>0</v>
      </c>
      <c r="BJ29">
        <v>0</v>
      </c>
      <c r="BK29">
        <v>225</v>
      </c>
      <c r="BL29">
        <v>261.81818181818181</v>
      </c>
      <c r="BM29">
        <v>270</v>
      </c>
      <c r="BN29">
        <v>270</v>
      </c>
      <c r="BO29">
        <v>270</v>
      </c>
      <c r="BP29">
        <v>180</v>
      </c>
      <c r="BQ29">
        <f>(I29+J29+N29+O29)/4</f>
        <v>9.5416666666666661</v>
      </c>
      <c r="BR29">
        <f>(K29+L29+M29)/3</f>
        <v>4</v>
      </c>
      <c r="BS29">
        <f>BQ29/BR29</f>
        <v>2.3854166666666665</v>
      </c>
      <c r="BT29">
        <f>AQ29/I29</f>
        <v>90</v>
      </c>
      <c r="BU29" t="str">
        <f>IF(OR(A29=2, A29=12), "Central", IF(A29=3, "Semi-Central", "Periférica"))</f>
        <v>Periférica</v>
      </c>
    </row>
    <row r="30" spans="1:73" x14ac:dyDescent="0.3">
      <c r="A30" s="1">
        <v>3</v>
      </c>
      <c r="B30" s="1">
        <v>370</v>
      </c>
      <c r="C30" s="1" t="s">
        <v>399</v>
      </c>
      <c r="D30" t="s">
        <v>5</v>
      </c>
      <c r="F30">
        <v>0</v>
      </c>
      <c r="G30">
        <v>0</v>
      </c>
      <c r="H30">
        <v>7</v>
      </c>
      <c r="I30">
        <v>10.666666666666666</v>
      </c>
      <c r="J30">
        <v>5.333333333333333</v>
      </c>
      <c r="K30">
        <v>5</v>
      </c>
      <c r="L30">
        <v>4.666666666666667</v>
      </c>
      <c r="M30">
        <v>4</v>
      </c>
      <c r="N30">
        <v>12.5</v>
      </c>
      <c r="O30">
        <v>12.5</v>
      </c>
      <c r="P30">
        <v>4</v>
      </c>
      <c r="Q30">
        <v>3.5</v>
      </c>
      <c r="R30">
        <v>0</v>
      </c>
      <c r="S30">
        <v>0</v>
      </c>
      <c r="T30">
        <v>3</v>
      </c>
      <c r="U30">
        <v>4.8</v>
      </c>
      <c r="V30">
        <v>4</v>
      </c>
      <c r="W30">
        <v>4</v>
      </c>
      <c r="X30">
        <v>4</v>
      </c>
      <c r="Y30">
        <v>4</v>
      </c>
      <c r="Z30">
        <v>2.5</v>
      </c>
      <c r="AA30">
        <v>0</v>
      </c>
      <c r="AB30">
        <v>0</v>
      </c>
      <c r="AC30">
        <v>1</v>
      </c>
      <c r="AD30">
        <v>4</v>
      </c>
      <c r="AE30">
        <v>3.6</v>
      </c>
      <c r="AF30">
        <v>3.6666666666666665</v>
      </c>
      <c r="AG30">
        <v>4</v>
      </c>
      <c r="AH30">
        <v>2.5</v>
      </c>
      <c r="AI30" s="1">
        <v>3</v>
      </c>
      <c r="AJ30" s="1">
        <v>370</v>
      </c>
      <c r="AK30" s="1" t="s">
        <v>399</v>
      </c>
      <c r="AL30" t="s">
        <v>5</v>
      </c>
      <c r="AN30">
        <v>0</v>
      </c>
      <c r="AO30">
        <v>0</v>
      </c>
      <c r="AP30">
        <v>646</v>
      </c>
      <c r="AQ30">
        <v>988.66666666666663</v>
      </c>
      <c r="AR30">
        <v>492.66666666666669</v>
      </c>
      <c r="AS30">
        <v>461.66666666666669</v>
      </c>
      <c r="AT30">
        <v>427.33333333333331</v>
      </c>
      <c r="AU30">
        <v>370</v>
      </c>
      <c r="AV30">
        <v>1155</v>
      </c>
      <c r="AW30">
        <v>1157.5</v>
      </c>
      <c r="AX30">
        <v>372</v>
      </c>
      <c r="AY30">
        <v>320.5</v>
      </c>
      <c r="AZ30">
        <v>0</v>
      </c>
      <c r="BA30">
        <v>0</v>
      </c>
      <c r="BB30">
        <v>264</v>
      </c>
      <c r="BC30">
        <v>422.4</v>
      </c>
      <c r="BD30">
        <v>352</v>
      </c>
      <c r="BE30">
        <v>352</v>
      </c>
      <c r="BF30">
        <v>352</v>
      </c>
      <c r="BG30">
        <v>352</v>
      </c>
      <c r="BH30">
        <v>220</v>
      </c>
      <c r="BI30">
        <v>0</v>
      </c>
      <c r="BJ30">
        <v>0</v>
      </c>
      <c r="BK30">
        <v>88</v>
      </c>
      <c r="BL30">
        <v>352</v>
      </c>
      <c r="BM30">
        <v>316.8</v>
      </c>
      <c r="BN30">
        <v>322.66666666666669</v>
      </c>
      <c r="BO30">
        <v>352</v>
      </c>
      <c r="BP30">
        <v>220</v>
      </c>
      <c r="BQ30">
        <f>(I30+J30+N30+O30)/4</f>
        <v>10.25</v>
      </c>
      <c r="BR30">
        <f>(K30+L30+M30)/3</f>
        <v>4.5555555555555562</v>
      </c>
      <c r="BS30">
        <f>BQ30/BR30</f>
        <v>2.2499999999999996</v>
      </c>
      <c r="BT30">
        <f>AQ30/I30</f>
        <v>92.6875</v>
      </c>
      <c r="BU30" t="str">
        <f>IF(OR(A30=2, A30=12), "Central", IF(A30=3, "Semi-Central", "Periférica"))</f>
        <v>Semi-Central</v>
      </c>
    </row>
    <row r="31" spans="1:73" x14ac:dyDescent="0.3">
      <c r="A31" s="1">
        <v>3</v>
      </c>
      <c r="B31" s="1" t="s">
        <v>241</v>
      </c>
      <c r="C31" s="1" t="s">
        <v>241</v>
      </c>
      <c r="D31" t="s">
        <v>5</v>
      </c>
      <c r="E31" t="s">
        <v>0</v>
      </c>
      <c r="F31">
        <v>0</v>
      </c>
      <c r="G31">
        <v>0</v>
      </c>
      <c r="H31">
        <v>5</v>
      </c>
      <c r="I31">
        <v>13.333333333333334</v>
      </c>
      <c r="J31">
        <v>4.666666666666667</v>
      </c>
      <c r="K31">
        <v>4</v>
      </c>
      <c r="L31">
        <v>4</v>
      </c>
      <c r="M31">
        <v>4</v>
      </c>
      <c r="N31">
        <v>7.5</v>
      </c>
      <c r="O31">
        <v>10</v>
      </c>
      <c r="P31">
        <v>4.666666666666667</v>
      </c>
      <c r="Q31">
        <v>1.5</v>
      </c>
      <c r="R31">
        <v>0</v>
      </c>
      <c r="S31">
        <v>0</v>
      </c>
      <c r="T31">
        <v>3</v>
      </c>
      <c r="U31">
        <v>4.4000000000000004</v>
      </c>
      <c r="V31">
        <v>3.3333333333333335</v>
      </c>
      <c r="W31">
        <v>3.3333333333333335</v>
      </c>
      <c r="X31">
        <v>3.3333333333333335</v>
      </c>
      <c r="Y31">
        <v>3.2</v>
      </c>
      <c r="Z31">
        <v>1.5</v>
      </c>
      <c r="AA31">
        <v>0</v>
      </c>
      <c r="AB31">
        <v>0</v>
      </c>
      <c r="AC31">
        <v>0.5</v>
      </c>
      <c r="AD31">
        <v>3.4545454545454546</v>
      </c>
      <c r="AE31">
        <v>3.2</v>
      </c>
      <c r="AF31">
        <v>3.3333333333333335</v>
      </c>
      <c r="AG31">
        <v>3</v>
      </c>
      <c r="AH31">
        <v>1.5</v>
      </c>
      <c r="AI31" s="1">
        <v>3</v>
      </c>
      <c r="AJ31" s="1" t="s">
        <v>241</v>
      </c>
      <c r="AK31" s="1" t="s">
        <v>241</v>
      </c>
      <c r="AL31" t="s">
        <v>5</v>
      </c>
      <c r="AM31" t="s">
        <v>0</v>
      </c>
      <c r="AN31">
        <v>0</v>
      </c>
      <c r="AO31">
        <v>0</v>
      </c>
      <c r="AP31">
        <v>450</v>
      </c>
      <c r="AQ31">
        <v>1206.6666666666667</v>
      </c>
      <c r="AR31">
        <v>420.66666666666669</v>
      </c>
      <c r="AS31">
        <v>360.33333333333331</v>
      </c>
      <c r="AT31">
        <v>358.66666666666669</v>
      </c>
      <c r="AU31">
        <v>358</v>
      </c>
      <c r="AV31">
        <v>677.5</v>
      </c>
      <c r="AW31">
        <v>902.5</v>
      </c>
      <c r="AX31">
        <v>417.33333333333331</v>
      </c>
      <c r="AY31">
        <v>134.5</v>
      </c>
      <c r="AZ31">
        <v>0</v>
      </c>
      <c r="BA31">
        <v>0</v>
      </c>
      <c r="BB31">
        <v>264</v>
      </c>
      <c r="BC31">
        <v>387.2</v>
      </c>
      <c r="BD31">
        <v>293.33333333333331</v>
      </c>
      <c r="BE31">
        <v>293.33333333333331</v>
      </c>
      <c r="BF31">
        <v>293.33333333333331</v>
      </c>
      <c r="BG31">
        <v>281.60000000000002</v>
      </c>
      <c r="BH31">
        <v>132</v>
      </c>
      <c r="BI31">
        <v>0</v>
      </c>
      <c r="BJ31">
        <v>0</v>
      </c>
      <c r="BK31">
        <v>44</v>
      </c>
      <c r="BL31">
        <v>304</v>
      </c>
      <c r="BM31">
        <v>281.60000000000002</v>
      </c>
      <c r="BN31">
        <v>293.33333333333331</v>
      </c>
      <c r="BO31">
        <v>264</v>
      </c>
      <c r="BP31">
        <v>132</v>
      </c>
      <c r="BQ31">
        <f>(I31+J31+N31+O31)/4</f>
        <v>8.875</v>
      </c>
      <c r="BR31">
        <f>(K31+L31+M31)/3</f>
        <v>4</v>
      </c>
      <c r="BS31">
        <f>BQ31/BR31</f>
        <v>2.21875</v>
      </c>
      <c r="BT31">
        <f>AQ31/I31</f>
        <v>90.5</v>
      </c>
      <c r="BU31" t="str">
        <f>IF(OR(A31=2, A31=12), "Central", IF(A31=3, "Semi-Central", "Periférica"))</f>
        <v>Semi-Central</v>
      </c>
    </row>
    <row r="32" spans="1:73" x14ac:dyDescent="0.3">
      <c r="A32" s="1">
        <v>4</v>
      </c>
      <c r="B32" s="1">
        <v>437</v>
      </c>
      <c r="C32" s="1" t="s">
        <v>398</v>
      </c>
      <c r="D32" t="s">
        <v>1</v>
      </c>
      <c r="F32">
        <v>0</v>
      </c>
      <c r="G32">
        <v>0</v>
      </c>
      <c r="H32">
        <v>1</v>
      </c>
      <c r="I32">
        <v>1.3333333333333333</v>
      </c>
      <c r="J32">
        <v>0.66666666666666663</v>
      </c>
      <c r="K32">
        <v>0.33333333333333331</v>
      </c>
      <c r="L32">
        <v>0.66666666666666663</v>
      </c>
      <c r="M32">
        <v>0.4</v>
      </c>
      <c r="N32">
        <v>1</v>
      </c>
      <c r="O32">
        <v>1</v>
      </c>
      <c r="P32">
        <v>0</v>
      </c>
      <c r="Q32">
        <v>0.5</v>
      </c>
      <c r="R32">
        <v>0</v>
      </c>
      <c r="S32">
        <v>0</v>
      </c>
      <c r="T32">
        <v>1</v>
      </c>
      <c r="U32">
        <v>0.4</v>
      </c>
      <c r="V32">
        <v>0.33333333333333331</v>
      </c>
      <c r="W32">
        <v>0.66666666666666663</v>
      </c>
      <c r="X32">
        <v>0.44444444444444442</v>
      </c>
      <c r="Y32">
        <v>0.4</v>
      </c>
      <c r="Z32">
        <v>0.5</v>
      </c>
      <c r="AA32">
        <v>0</v>
      </c>
      <c r="AB32">
        <v>0</v>
      </c>
      <c r="AC32">
        <v>0</v>
      </c>
      <c r="AD32">
        <v>0.54545454545454541</v>
      </c>
      <c r="AE32">
        <v>0.4</v>
      </c>
      <c r="AF32">
        <v>0.66666666666666663</v>
      </c>
      <c r="AG32">
        <v>0</v>
      </c>
      <c r="AH32">
        <v>0.5</v>
      </c>
      <c r="AI32" s="1">
        <v>4</v>
      </c>
      <c r="AJ32" s="1">
        <v>437</v>
      </c>
      <c r="AK32" s="1" t="s">
        <v>398</v>
      </c>
      <c r="AL32" t="s">
        <v>1</v>
      </c>
      <c r="AN32">
        <v>0</v>
      </c>
      <c r="AO32">
        <v>0</v>
      </c>
      <c r="AP32">
        <v>91</v>
      </c>
      <c r="AQ32">
        <v>121.33333333333333</v>
      </c>
      <c r="AR32">
        <v>60.666666666666664</v>
      </c>
      <c r="AS32">
        <v>30.333333333333332</v>
      </c>
      <c r="AT32">
        <v>60.666666666666664</v>
      </c>
      <c r="AU32">
        <v>36.4</v>
      </c>
      <c r="AV32">
        <v>91</v>
      </c>
      <c r="AW32">
        <v>91</v>
      </c>
      <c r="AX32">
        <v>0</v>
      </c>
      <c r="AY32">
        <v>45.5</v>
      </c>
      <c r="AZ32">
        <v>0</v>
      </c>
      <c r="BA32">
        <v>0</v>
      </c>
      <c r="BB32">
        <v>91</v>
      </c>
      <c r="BC32">
        <v>36.4</v>
      </c>
      <c r="BD32">
        <v>30.333333333333332</v>
      </c>
      <c r="BE32">
        <v>60.666666666666664</v>
      </c>
      <c r="BF32">
        <v>40.444444444444443</v>
      </c>
      <c r="BG32">
        <v>36.4</v>
      </c>
      <c r="BH32">
        <v>45.5</v>
      </c>
      <c r="BI32">
        <v>0</v>
      </c>
      <c r="BJ32">
        <v>0</v>
      </c>
      <c r="BK32">
        <v>0</v>
      </c>
      <c r="BL32">
        <v>49.636363636363633</v>
      </c>
      <c r="BM32">
        <v>36.4</v>
      </c>
      <c r="BN32">
        <v>60.666666666666664</v>
      </c>
      <c r="BO32">
        <v>0</v>
      </c>
      <c r="BP32">
        <v>45.5</v>
      </c>
      <c r="BQ32">
        <f>(I32+J32+N32+O32)/4</f>
        <v>1</v>
      </c>
      <c r="BR32">
        <f>(K32+L32+M32)/3</f>
        <v>0.46666666666666662</v>
      </c>
      <c r="BS32">
        <f>BQ32/BR32</f>
        <v>2.1428571428571432</v>
      </c>
      <c r="BT32">
        <f>AQ32/I32</f>
        <v>91</v>
      </c>
      <c r="BU32" t="str">
        <f>IF(OR(A32=2, A32=12), "Central", IF(A32=3, "Semi-Central", "Periférica"))</f>
        <v>Periférica</v>
      </c>
    </row>
    <row r="33" spans="1:73" x14ac:dyDescent="0.3">
      <c r="A33" s="1">
        <v>5</v>
      </c>
      <c r="B33" s="1">
        <v>582</v>
      </c>
      <c r="C33" s="1" t="s">
        <v>363</v>
      </c>
      <c r="D33" s="1" t="s">
        <v>1</v>
      </c>
      <c r="F33">
        <v>0</v>
      </c>
      <c r="G33">
        <v>0</v>
      </c>
      <c r="H33">
        <v>1</v>
      </c>
      <c r="I33">
        <v>1.3333333333333333</v>
      </c>
      <c r="J33">
        <v>0.66666666666666663</v>
      </c>
      <c r="K33">
        <v>0.33333333333333331</v>
      </c>
      <c r="L33">
        <v>0.66666666666666663</v>
      </c>
      <c r="M33">
        <v>0.4</v>
      </c>
      <c r="N33">
        <v>1</v>
      </c>
      <c r="O33">
        <v>1</v>
      </c>
      <c r="P33">
        <v>0.66666666666666663</v>
      </c>
      <c r="Q33">
        <v>0</v>
      </c>
      <c r="R33">
        <v>0</v>
      </c>
      <c r="S33">
        <v>0</v>
      </c>
      <c r="T33">
        <v>0</v>
      </c>
      <c r="U33">
        <v>0.4</v>
      </c>
      <c r="V33">
        <v>0.66666666666666663</v>
      </c>
      <c r="W33">
        <v>0.33333333333333331</v>
      </c>
      <c r="X33">
        <v>0.66666666666666663</v>
      </c>
      <c r="Y33">
        <v>0.4</v>
      </c>
      <c r="Z33">
        <v>0</v>
      </c>
      <c r="AA33">
        <v>0</v>
      </c>
      <c r="AB33">
        <v>0</v>
      </c>
      <c r="AC33">
        <v>0</v>
      </c>
      <c r="AD33">
        <v>0.54545454545454541</v>
      </c>
      <c r="AE33">
        <v>0.6</v>
      </c>
      <c r="AF33">
        <v>0.33333333333333331</v>
      </c>
      <c r="AG33">
        <v>1</v>
      </c>
      <c r="AH33">
        <v>0</v>
      </c>
      <c r="AI33" s="1">
        <v>5</v>
      </c>
      <c r="AJ33" s="1">
        <v>582</v>
      </c>
      <c r="AK33" s="1" t="s">
        <v>363</v>
      </c>
      <c r="AL33" s="1" t="s">
        <v>1</v>
      </c>
      <c r="AN33">
        <v>0</v>
      </c>
      <c r="AO33">
        <v>0</v>
      </c>
      <c r="AP33">
        <v>81</v>
      </c>
      <c r="AQ33">
        <v>108</v>
      </c>
      <c r="AR33">
        <v>54</v>
      </c>
      <c r="AS33">
        <v>27</v>
      </c>
      <c r="AT33">
        <v>54</v>
      </c>
      <c r="AU33">
        <v>32.4</v>
      </c>
      <c r="AV33">
        <v>81</v>
      </c>
      <c r="AW33">
        <v>81</v>
      </c>
      <c r="AX33">
        <v>54</v>
      </c>
      <c r="AY33">
        <v>0</v>
      </c>
      <c r="AZ33">
        <v>0</v>
      </c>
      <c r="BA33">
        <v>0</v>
      </c>
      <c r="BB33">
        <v>0</v>
      </c>
      <c r="BC33">
        <v>32.4</v>
      </c>
      <c r="BD33">
        <v>54</v>
      </c>
      <c r="BE33">
        <v>27</v>
      </c>
      <c r="BF33">
        <v>54</v>
      </c>
      <c r="BG33">
        <v>32.4</v>
      </c>
      <c r="BH33">
        <v>0</v>
      </c>
      <c r="BI33">
        <v>0</v>
      </c>
      <c r="BJ33">
        <v>0</v>
      </c>
      <c r="BK33">
        <v>0</v>
      </c>
      <c r="BL33">
        <v>44.18181818181818</v>
      </c>
      <c r="BM33">
        <v>48.6</v>
      </c>
      <c r="BN33">
        <v>27</v>
      </c>
      <c r="BO33">
        <v>81</v>
      </c>
      <c r="BP33">
        <v>0</v>
      </c>
      <c r="BQ33">
        <f>(I33+J33+N33+O33)/4</f>
        <v>1</v>
      </c>
      <c r="BR33">
        <f>(K33+L33+M33)/3</f>
        <v>0.46666666666666662</v>
      </c>
      <c r="BS33">
        <f>BQ33/BR33</f>
        <v>2.1428571428571432</v>
      </c>
      <c r="BT33">
        <f>AQ33/I33</f>
        <v>81</v>
      </c>
      <c r="BU33" t="str">
        <f>IF(OR(A33=2, A33=12), "Central", IF(A33=3, "Semi-Central", "Periférica"))</f>
        <v>Periférica</v>
      </c>
    </row>
    <row r="34" spans="1:73" x14ac:dyDescent="0.3">
      <c r="A34" s="1">
        <v>3</v>
      </c>
      <c r="B34" s="1">
        <v>370</v>
      </c>
      <c r="C34" s="1" t="s">
        <v>399</v>
      </c>
      <c r="D34" t="s">
        <v>1</v>
      </c>
      <c r="F34">
        <v>0</v>
      </c>
      <c r="G34">
        <v>0</v>
      </c>
      <c r="H34">
        <v>4</v>
      </c>
      <c r="I34">
        <v>10.666666666666666</v>
      </c>
      <c r="J34">
        <v>4</v>
      </c>
      <c r="K34">
        <v>4.333333333333333</v>
      </c>
      <c r="L34">
        <v>5.333333333333333</v>
      </c>
      <c r="M34">
        <v>5.2</v>
      </c>
      <c r="N34">
        <v>12.5</v>
      </c>
      <c r="O34">
        <v>12.5</v>
      </c>
      <c r="P34">
        <v>4.666666666666667</v>
      </c>
      <c r="Q34">
        <v>3.5</v>
      </c>
      <c r="R34">
        <v>0</v>
      </c>
      <c r="S34">
        <v>0</v>
      </c>
      <c r="T34">
        <v>3</v>
      </c>
      <c r="U34">
        <v>4.8</v>
      </c>
      <c r="V34">
        <v>4</v>
      </c>
      <c r="W34">
        <v>4</v>
      </c>
      <c r="X34">
        <v>4</v>
      </c>
      <c r="Y34">
        <v>4</v>
      </c>
      <c r="Z34">
        <v>2.5</v>
      </c>
      <c r="AA34">
        <v>0</v>
      </c>
      <c r="AB34">
        <v>0</v>
      </c>
      <c r="AC34">
        <v>1</v>
      </c>
      <c r="AD34">
        <v>4.1818181818181817</v>
      </c>
      <c r="AE34">
        <v>3.6</v>
      </c>
      <c r="AF34">
        <v>3.6666666666666665</v>
      </c>
      <c r="AG34">
        <v>4</v>
      </c>
      <c r="AH34">
        <v>2.5</v>
      </c>
      <c r="AI34" s="1">
        <v>3</v>
      </c>
      <c r="AJ34" s="1">
        <v>370</v>
      </c>
      <c r="AK34" s="1" t="s">
        <v>399</v>
      </c>
      <c r="AL34" t="s">
        <v>1</v>
      </c>
      <c r="AN34">
        <v>0</v>
      </c>
      <c r="AO34">
        <v>0</v>
      </c>
      <c r="AP34">
        <v>372</v>
      </c>
      <c r="AQ34">
        <v>988.66666666666663</v>
      </c>
      <c r="AR34">
        <v>372</v>
      </c>
      <c r="AS34">
        <v>399.66666666666669</v>
      </c>
      <c r="AT34">
        <v>489.33333333333331</v>
      </c>
      <c r="AU34">
        <v>479.6</v>
      </c>
      <c r="AV34">
        <v>1155</v>
      </c>
      <c r="AW34">
        <v>1157.5</v>
      </c>
      <c r="AX34">
        <v>430.66666666666669</v>
      </c>
      <c r="AY34">
        <v>325.5</v>
      </c>
      <c r="AZ34">
        <v>0</v>
      </c>
      <c r="BA34">
        <v>0</v>
      </c>
      <c r="BB34">
        <v>264</v>
      </c>
      <c r="BC34">
        <v>422.4</v>
      </c>
      <c r="BD34">
        <v>352</v>
      </c>
      <c r="BE34">
        <v>352</v>
      </c>
      <c r="BF34">
        <v>352</v>
      </c>
      <c r="BG34">
        <v>352</v>
      </c>
      <c r="BH34">
        <v>220</v>
      </c>
      <c r="BI34">
        <v>0</v>
      </c>
      <c r="BJ34">
        <v>0</v>
      </c>
      <c r="BK34">
        <v>88</v>
      </c>
      <c r="BL34">
        <v>368</v>
      </c>
      <c r="BM34">
        <v>316.8</v>
      </c>
      <c r="BN34">
        <v>322.66666666666669</v>
      </c>
      <c r="BO34">
        <v>352</v>
      </c>
      <c r="BP34">
        <v>220</v>
      </c>
      <c r="BQ34">
        <f>(I34+J34+N34+O34)/4</f>
        <v>9.9166666666666661</v>
      </c>
      <c r="BR34">
        <f>(K34+L34+M34)/3</f>
        <v>4.9555555555555557</v>
      </c>
      <c r="BS34">
        <f>BQ34/BR34</f>
        <v>2.0011210762331837</v>
      </c>
      <c r="BT34">
        <f>AQ34/I34</f>
        <v>92.6875</v>
      </c>
      <c r="BU34" t="str">
        <f>IF(OR(A34=2, A34=12), "Central", IF(A34=3, "Semi-Central", "Periférica"))</f>
        <v>Semi-Central</v>
      </c>
    </row>
    <row r="35" spans="1:73" x14ac:dyDescent="0.3">
      <c r="A35" s="1">
        <v>9</v>
      </c>
      <c r="B35" s="1">
        <v>933</v>
      </c>
      <c r="C35" s="1" t="s">
        <v>146</v>
      </c>
      <c r="D35" t="s">
        <v>5</v>
      </c>
      <c r="F35">
        <v>0</v>
      </c>
      <c r="G35">
        <v>0</v>
      </c>
      <c r="H35">
        <v>5</v>
      </c>
      <c r="I35">
        <v>14</v>
      </c>
      <c r="J35">
        <v>8</v>
      </c>
      <c r="K35">
        <v>5</v>
      </c>
      <c r="L35">
        <v>4.666666666666667</v>
      </c>
      <c r="M35">
        <v>5.2</v>
      </c>
      <c r="N35">
        <v>9</v>
      </c>
      <c r="O35">
        <v>7.5</v>
      </c>
      <c r="P35">
        <v>3.333333333333333</v>
      </c>
      <c r="Q35">
        <v>1.5</v>
      </c>
      <c r="R35">
        <v>0</v>
      </c>
      <c r="S35">
        <v>0</v>
      </c>
      <c r="T35">
        <v>4</v>
      </c>
      <c r="U35">
        <v>5.2</v>
      </c>
      <c r="V35">
        <v>5</v>
      </c>
      <c r="W35">
        <v>4.333333333333333</v>
      </c>
      <c r="X35">
        <v>4.666666666666667</v>
      </c>
      <c r="Y35">
        <v>4</v>
      </c>
      <c r="Z35">
        <v>1.5</v>
      </c>
      <c r="AA35">
        <v>0</v>
      </c>
      <c r="AB35">
        <v>0</v>
      </c>
      <c r="AC35">
        <v>2</v>
      </c>
      <c r="AD35">
        <v>4.9090909090909092</v>
      </c>
      <c r="AE35">
        <v>5</v>
      </c>
      <c r="AF35">
        <v>4.666666666666667</v>
      </c>
      <c r="AG35">
        <v>4</v>
      </c>
      <c r="AH35">
        <v>3</v>
      </c>
      <c r="AI35" s="1">
        <v>9</v>
      </c>
      <c r="AJ35" s="1">
        <v>933</v>
      </c>
      <c r="AK35" s="1" t="s">
        <v>146</v>
      </c>
      <c r="AL35" t="s">
        <v>5</v>
      </c>
      <c r="AN35">
        <v>0</v>
      </c>
      <c r="AO35">
        <v>0</v>
      </c>
      <c r="AP35">
        <v>450</v>
      </c>
      <c r="AQ35">
        <v>1260</v>
      </c>
      <c r="AR35">
        <v>720</v>
      </c>
      <c r="AS35">
        <v>450</v>
      </c>
      <c r="AT35">
        <v>420</v>
      </c>
      <c r="AU35">
        <v>468</v>
      </c>
      <c r="AV35">
        <v>810</v>
      </c>
      <c r="AW35">
        <v>675</v>
      </c>
      <c r="AX35">
        <v>300</v>
      </c>
      <c r="AY35">
        <v>135</v>
      </c>
      <c r="AZ35">
        <v>0</v>
      </c>
      <c r="BA35">
        <v>0</v>
      </c>
      <c r="BB35">
        <v>360</v>
      </c>
      <c r="BC35">
        <v>468</v>
      </c>
      <c r="BD35">
        <v>450</v>
      </c>
      <c r="BE35">
        <v>390</v>
      </c>
      <c r="BF35">
        <v>420</v>
      </c>
      <c r="BG35">
        <v>360</v>
      </c>
      <c r="BH35">
        <v>135</v>
      </c>
      <c r="BI35">
        <v>0</v>
      </c>
      <c r="BJ35">
        <v>0</v>
      </c>
      <c r="BK35">
        <v>180</v>
      </c>
      <c r="BL35">
        <v>441.81818181818181</v>
      </c>
      <c r="BM35">
        <v>450</v>
      </c>
      <c r="BN35">
        <v>420</v>
      </c>
      <c r="BO35">
        <v>360</v>
      </c>
      <c r="BP35">
        <v>270</v>
      </c>
      <c r="BQ35">
        <f>(I35+J35+N35+O35)/4</f>
        <v>9.625</v>
      </c>
      <c r="BR35">
        <f>(K35+L35+M35)/3</f>
        <v>4.9555555555555557</v>
      </c>
      <c r="BS35">
        <f>BQ35/BR35</f>
        <v>1.9422645739910314</v>
      </c>
      <c r="BT35">
        <f>AQ35/I35</f>
        <v>90</v>
      </c>
      <c r="BU35" t="str">
        <f>IF(OR(A35=2, A35=12), "Central", IF(A35=3, "Semi-Central", "Periférica"))</f>
        <v>Periférica</v>
      </c>
    </row>
    <row r="36" spans="1:73" x14ac:dyDescent="0.3">
      <c r="A36" s="1">
        <v>18</v>
      </c>
      <c r="B36" s="1" t="s">
        <v>19</v>
      </c>
      <c r="C36" s="1" t="s">
        <v>18</v>
      </c>
      <c r="D36" t="s">
        <v>5</v>
      </c>
      <c r="E36" t="s">
        <v>0</v>
      </c>
      <c r="F36">
        <v>0</v>
      </c>
      <c r="G36">
        <v>0</v>
      </c>
      <c r="H36">
        <v>12</v>
      </c>
      <c r="I36">
        <v>15.33333333333333</v>
      </c>
      <c r="J36">
        <v>9.3333333333333339</v>
      </c>
      <c r="K36">
        <v>6</v>
      </c>
      <c r="L36">
        <v>6</v>
      </c>
      <c r="M36">
        <v>6</v>
      </c>
      <c r="N36">
        <v>9.5</v>
      </c>
      <c r="O36">
        <v>11</v>
      </c>
      <c r="P36">
        <v>7.333333333333333</v>
      </c>
      <c r="Q36">
        <v>3.5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s="1">
        <v>18</v>
      </c>
      <c r="AJ36" s="1" t="s">
        <v>19</v>
      </c>
      <c r="AK36" s="1" t="s">
        <v>18</v>
      </c>
      <c r="AL36" t="s">
        <v>5</v>
      </c>
      <c r="AM36" t="s">
        <v>0</v>
      </c>
      <c r="AN36">
        <v>0</v>
      </c>
      <c r="AO36">
        <v>0</v>
      </c>
      <c r="AP36">
        <v>1080</v>
      </c>
      <c r="AQ36">
        <v>1380</v>
      </c>
      <c r="AR36">
        <v>840</v>
      </c>
      <c r="AS36">
        <v>540</v>
      </c>
      <c r="AT36">
        <v>540</v>
      </c>
      <c r="AU36">
        <v>540</v>
      </c>
      <c r="AV36">
        <v>855</v>
      </c>
      <c r="AW36">
        <v>990</v>
      </c>
      <c r="AX36">
        <v>660</v>
      </c>
      <c r="AY36">
        <v>315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f>(I36+J36+N36+O36)/4</f>
        <v>11.291666666666666</v>
      </c>
      <c r="BR36">
        <f>(K36+L36+M36)/3</f>
        <v>6</v>
      </c>
      <c r="BS36">
        <f>BQ36/BR36</f>
        <v>1.8819444444444444</v>
      </c>
      <c r="BT36">
        <f>AQ36/I36</f>
        <v>90.000000000000014</v>
      </c>
      <c r="BU36" t="str">
        <f>IF(OR(A36=2, A36=12), "Central", IF(A36=3, "Semi-Central", "Periférica"))</f>
        <v>Periférica</v>
      </c>
    </row>
    <row r="37" spans="1:73" x14ac:dyDescent="0.3">
      <c r="A37" s="1">
        <v>2</v>
      </c>
      <c r="B37" s="1">
        <v>282</v>
      </c>
      <c r="C37" s="1">
        <v>282</v>
      </c>
      <c r="D37" t="s">
        <v>1</v>
      </c>
      <c r="F37">
        <v>1</v>
      </c>
      <c r="G37">
        <v>0</v>
      </c>
      <c r="H37">
        <v>0</v>
      </c>
      <c r="I37">
        <v>1.3333333333333333</v>
      </c>
      <c r="J37">
        <v>0.66666666666666663</v>
      </c>
      <c r="K37">
        <v>0.33333333333333331</v>
      </c>
      <c r="L37">
        <v>0.66666666666666663</v>
      </c>
      <c r="M37">
        <v>0.4</v>
      </c>
      <c r="N37">
        <v>0.5</v>
      </c>
      <c r="O37">
        <v>1</v>
      </c>
      <c r="P37">
        <v>1.3333333333333333</v>
      </c>
      <c r="Q37">
        <v>0.5</v>
      </c>
      <c r="R37">
        <v>1</v>
      </c>
      <c r="S37">
        <v>0</v>
      </c>
      <c r="T37">
        <v>0</v>
      </c>
      <c r="U37">
        <v>1.2</v>
      </c>
      <c r="V37">
        <v>0.33333333333333331</v>
      </c>
      <c r="W37">
        <v>0.66666666666666663</v>
      </c>
      <c r="X37">
        <v>0.44444444444444442</v>
      </c>
      <c r="Y37">
        <v>0.4</v>
      </c>
      <c r="Z37">
        <v>0.5</v>
      </c>
      <c r="AA37">
        <v>1</v>
      </c>
      <c r="AB37">
        <v>0</v>
      </c>
      <c r="AC37">
        <v>0</v>
      </c>
      <c r="AD37">
        <v>0.54545454545454541</v>
      </c>
      <c r="AE37">
        <v>0.6</v>
      </c>
      <c r="AF37">
        <v>0.33333333333333331</v>
      </c>
      <c r="AG37">
        <v>1</v>
      </c>
      <c r="AH37">
        <v>0.5</v>
      </c>
      <c r="AI37" s="1">
        <v>2</v>
      </c>
      <c r="AJ37" s="1">
        <v>282</v>
      </c>
      <c r="AK37" s="1">
        <v>282</v>
      </c>
      <c r="AL37" t="s">
        <v>1</v>
      </c>
      <c r="AN37">
        <v>92</v>
      </c>
      <c r="AO37">
        <v>0</v>
      </c>
      <c r="AP37">
        <v>0</v>
      </c>
      <c r="AQ37">
        <v>122.66666666666667</v>
      </c>
      <c r="AR37">
        <v>61.333333333333336</v>
      </c>
      <c r="AS37">
        <v>30.666666666666668</v>
      </c>
      <c r="AT37">
        <v>61.333333333333336</v>
      </c>
      <c r="AU37">
        <v>36.799999999999997</v>
      </c>
      <c r="AV37">
        <v>46</v>
      </c>
      <c r="AW37">
        <v>92</v>
      </c>
      <c r="AX37">
        <v>122.66666666666667</v>
      </c>
      <c r="AY37">
        <v>46</v>
      </c>
      <c r="AZ37">
        <v>92</v>
      </c>
      <c r="BA37">
        <v>0</v>
      </c>
      <c r="BB37">
        <v>0</v>
      </c>
      <c r="BC37">
        <v>110.4</v>
      </c>
      <c r="BD37">
        <v>30.666666666666668</v>
      </c>
      <c r="BE37">
        <v>61.333333333333336</v>
      </c>
      <c r="BF37">
        <v>40.888888888888886</v>
      </c>
      <c r="BG37">
        <v>36.799999999999997</v>
      </c>
      <c r="BH37">
        <v>46</v>
      </c>
      <c r="BI37">
        <v>92</v>
      </c>
      <c r="BJ37">
        <v>0</v>
      </c>
      <c r="BK37">
        <v>0</v>
      </c>
      <c r="BL37">
        <v>50.18181818181818</v>
      </c>
      <c r="BM37">
        <v>55.2</v>
      </c>
      <c r="BN37">
        <v>30.666666666666668</v>
      </c>
      <c r="BO37">
        <v>92</v>
      </c>
      <c r="BP37">
        <v>46</v>
      </c>
      <c r="BQ37">
        <f>(I37+J37+N37+O37)/4</f>
        <v>0.875</v>
      </c>
      <c r="BR37">
        <f>(K37+L37+M37)/3</f>
        <v>0.46666666666666662</v>
      </c>
      <c r="BS37">
        <f>BQ37/BR37</f>
        <v>1.8750000000000002</v>
      </c>
      <c r="BT37">
        <f>AQ37/I37</f>
        <v>92.000000000000014</v>
      </c>
      <c r="BU37" t="str">
        <f>IF(OR(A37=2, A37=12), "Central", IF(A37=3, "Semi-Central", "Periférica"))</f>
        <v>Central</v>
      </c>
    </row>
    <row r="38" spans="1:73" x14ac:dyDescent="0.3">
      <c r="A38" s="1">
        <v>18</v>
      </c>
      <c r="B38" s="1" t="s">
        <v>27</v>
      </c>
      <c r="C38" s="1" t="s">
        <v>26</v>
      </c>
      <c r="D38" t="s">
        <v>5</v>
      </c>
      <c r="E38" t="s">
        <v>0</v>
      </c>
      <c r="F38">
        <v>0</v>
      </c>
      <c r="G38">
        <v>0</v>
      </c>
      <c r="H38">
        <v>12</v>
      </c>
      <c r="I38">
        <v>10.66666666666667</v>
      </c>
      <c r="J38">
        <v>10</v>
      </c>
      <c r="K38">
        <v>5</v>
      </c>
      <c r="L38">
        <v>4</v>
      </c>
      <c r="M38">
        <v>4.4000000000000004</v>
      </c>
      <c r="N38">
        <v>5.5</v>
      </c>
      <c r="O38">
        <v>7</v>
      </c>
      <c r="P38">
        <v>3.333333333333333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s="1">
        <v>18</v>
      </c>
      <c r="AJ38" s="1" t="s">
        <v>27</v>
      </c>
      <c r="AK38" s="1" t="s">
        <v>26</v>
      </c>
      <c r="AL38" t="s">
        <v>5</v>
      </c>
      <c r="AM38" t="s">
        <v>0</v>
      </c>
      <c r="AN38">
        <v>0</v>
      </c>
      <c r="AO38">
        <v>0</v>
      </c>
      <c r="AP38">
        <v>1080</v>
      </c>
      <c r="AQ38">
        <v>960</v>
      </c>
      <c r="AR38">
        <v>900</v>
      </c>
      <c r="AS38">
        <v>450</v>
      </c>
      <c r="AT38">
        <v>360</v>
      </c>
      <c r="AU38">
        <v>396</v>
      </c>
      <c r="AV38">
        <v>495</v>
      </c>
      <c r="AW38">
        <v>630</v>
      </c>
      <c r="AX38">
        <v>300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f>(I38+J38+N38+O38)/4</f>
        <v>8.2916666666666679</v>
      </c>
      <c r="BR38">
        <f>(K38+L38+M38)/3</f>
        <v>4.4666666666666668</v>
      </c>
      <c r="BS38">
        <f>BQ38/BR38</f>
        <v>1.8563432835820897</v>
      </c>
      <c r="BT38">
        <f>AQ38/I38</f>
        <v>89.999999999999972</v>
      </c>
      <c r="BU38" t="str">
        <f>IF(OR(A38=2, A38=12), "Central", IF(A38=3, "Semi-Central", "Periférica"))</f>
        <v>Periférica</v>
      </c>
    </row>
    <row r="39" spans="1:73" x14ac:dyDescent="0.3">
      <c r="A39" s="1">
        <v>4</v>
      </c>
      <c r="B39" s="1">
        <v>437</v>
      </c>
      <c r="C39" s="1" t="s">
        <v>398</v>
      </c>
      <c r="D39" t="s">
        <v>5</v>
      </c>
      <c r="F39">
        <v>0</v>
      </c>
      <c r="G39">
        <v>0</v>
      </c>
      <c r="H39">
        <v>0</v>
      </c>
      <c r="I39">
        <v>1.3333333333333333</v>
      </c>
      <c r="J39">
        <v>0.66666666666666663</v>
      </c>
      <c r="K39">
        <v>0.66666666666666663</v>
      </c>
      <c r="L39">
        <v>0</v>
      </c>
      <c r="M39">
        <v>0.8</v>
      </c>
      <c r="N39">
        <v>0.5</v>
      </c>
      <c r="O39">
        <v>1</v>
      </c>
      <c r="P39">
        <v>0.66666666666666663</v>
      </c>
      <c r="Q39">
        <v>0.5</v>
      </c>
      <c r="R39">
        <v>0</v>
      </c>
      <c r="S39">
        <v>0</v>
      </c>
      <c r="T39">
        <v>0</v>
      </c>
      <c r="U39">
        <v>0.4</v>
      </c>
      <c r="V39">
        <v>0.66666666666666663</v>
      </c>
      <c r="W39">
        <v>0.33333333333333331</v>
      </c>
      <c r="X39">
        <v>0.66666666666666663</v>
      </c>
      <c r="Y39">
        <v>0.4</v>
      </c>
      <c r="Z39">
        <v>0.5</v>
      </c>
      <c r="AA39">
        <v>0</v>
      </c>
      <c r="AB39">
        <v>0</v>
      </c>
      <c r="AC39">
        <v>0</v>
      </c>
      <c r="AD39">
        <v>0.36363636363636365</v>
      </c>
      <c r="AE39">
        <v>0.6</v>
      </c>
      <c r="AF39">
        <v>0.33333333333333331</v>
      </c>
      <c r="AG39">
        <v>1</v>
      </c>
      <c r="AH39">
        <v>0.5</v>
      </c>
      <c r="AI39" s="1">
        <v>4</v>
      </c>
      <c r="AJ39" s="1">
        <v>437</v>
      </c>
      <c r="AK39" s="1" t="s">
        <v>398</v>
      </c>
      <c r="AL39" t="s">
        <v>5</v>
      </c>
      <c r="AN39">
        <v>0</v>
      </c>
      <c r="AO39">
        <v>0</v>
      </c>
      <c r="AP39">
        <v>0</v>
      </c>
      <c r="AQ39">
        <v>121.33333333333333</v>
      </c>
      <c r="AR39">
        <v>60.666666666666664</v>
      </c>
      <c r="AS39">
        <v>60.666666666666664</v>
      </c>
      <c r="AT39">
        <v>0</v>
      </c>
      <c r="AU39">
        <v>72.8</v>
      </c>
      <c r="AV39">
        <v>45.5</v>
      </c>
      <c r="AW39">
        <v>91</v>
      </c>
      <c r="AX39">
        <v>60.666666666666664</v>
      </c>
      <c r="AY39">
        <v>45.5</v>
      </c>
      <c r="AZ39">
        <v>0</v>
      </c>
      <c r="BA39">
        <v>0</v>
      </c>
      <c r="BB39">
        <v>0</v>
      </c>
      <c r="BC39">
        <v>36.4</v>
      </c>
      <c r="BD39">
        <v>60.666666666666664</v>
      </c>
      <c r="BE39">
        <v>30.333333333333332</v>
      </c>
      <c r="BF39">
        <v>60.666666666666664</v>
      </c>
      <c r="BG39">
        <v>36.4</v>
      </c>
      <c r="BH39">
        <v>45.5</v>
      </c>
      <c r="BI39">
        <v>0</v>
      </c>
      <c r="BJ39">
        <v>0</v>
      </c>
      <c r="BK39">
        <v>0</v>
      </c>
      <c r="BL39">
        <v>33.090909090909093</v>
      </c>
      <c r="BM39">
        <v>54.6</v>
      </c>
      <c r="BN39">
        <v>30.333333333333332</v>
      </c>
      <c r="BO39">
        <v>91</v>
      </c>
      <c r="BP39">
        <v>45.5</v>
      </c>
      <c r="BQ39">
        <f>(I39+J39+N39+O39)/4</f>
        <v>0.875</v>
      </c>
      <c r="BR39">
        <f>(K39+L39+M39)/3</f>
        <v>0.48888888888888893</v>
      </c>
      <c r="BS39">
        <f>BQ39/BR39</f>
        <v>1.7897727272727271</v>
      </c>
      <c r="BT39">
        <f>AQ39/I39</f>
        <v>91</v>
      </c>
      <c r="BU39" t="str">
        <f>IF(OR(A39=2, A39=12), "Central", IF(A39=3, "Semi-Central", "Periférica"))</f>
        <v>Periférica</v>
      </c>
    </row>
    <row r="40" spans="1:73" x14ac:dyDescent="0.3">
      <c r="A40" s="1">
        <v>18</v>
      </c>
      <c r="B40" s="1" t="s">
        <v>377</v>
      </c>
      <c r="C40" s="1" t="s">
        <v>376</v>
      </c>
      <c r="D40" t="s">
        <v>1</v>
      </c>
      <c r="E40" t="s">
        <v>0</v>
      </c>
      <c r="F40">
        <v>0</v>
      </c>
      <c r="G40">
        <v>0.44444444444444442</v>
      </c>
      <c r="H40">
        <v>10</v>
      </c>
      <c r="I40">
        <v>18</v>
      </c>
      <c r="J40">
        <v>8</v>
      </c>
      <c r="K40">
        <v>6</v>
      </c>
      <c r="L40">
        <v>6</v>
      </c>
      <c r="M40">
        <v>6</v>
      </c>
      <c r="N40">
        <v>8</v>
      </c>
      <c r="O40">
        <v>8</v>
      </c>
      <c r="P40">
        <v>4</v>
      </c>
      <c r="Q40">
        <v>2</v>
      </c>
      <c r="R40">
        <v>0</v>
      </c>
      <c r="S40">
        <v>0</v>
      </c>
      <c r="T40">
        <v>0</v>
      </c>
      <c r="U40">
        <v>4</v>
      </c>
      <c r="V40">
        <v>4</v>
      </c>
      <c r="W40">
        <v>4</v>
      </c>
      <c r="X40">
        <v>4</v>
      </c>
      <c r="Y40">
        <v>4</v>
      </c>
      <c r="Z40">
        <v>1.5</v>
      </c>
      <c r="AA40">
        <v>0</v>
      </c>
      <c r="AB40">
        <v>0</v>
      </c>
      <c r="AC40">
        <v>0.5</v>
      </c>
      <c r="AD40">
        <v>4</v>
      </c>
      <c r="AE40">
        <v>4</v>
      </c>
      <c r="AF40">
        <v>3.666666666666667</v>
      </c>
      <c r="AG40">
        <v>3</v>
      </c>
      <c r="AH40">
        <v>1</v>
      </c>
      <c r="AI40" s="1">
        <v>18</v>
      </c>
      <c r="AJ40" s="1" t="s">
        <v>377</v>
      </c>
      <c r="AK40" s="1" t="s">
        <v>376</v>
      </c>
      <c r="AL40" t="s">
        <v>1</v>
      </c>
      <c r="AM40" t="s">
        <v>0</v>
      </c>
      <c r="AN40">
        <v>0</v>
      </c>
      <c r="AO40">
        <v>40</v>
      </c>
      <c r="AP40">
        <v>900</v>
      </c>
      <c r="AQ40">
        <v>1620</v>
      </c>
      <c r="AR40">
        <v>720</v>
      </c>
      <c r="AS40">
        <v>540</v>
      </c>
      <c r="AT40">
        <v>540</v>
      </c>
      <c r="AU40">
        <v>540</v>
      </c>
      <c r="AV40">
        <v>720</v>
      </c>
      <c r="AW40">
        <v>720</v>
      </c>
      <c r="AX40">
        <v>360</v>
      </c>
      <c r="AY40">
        <v>180</v>
      </c>
      <c r="AZ40">
        <v>0</v>
      </c>
      <c r="BA40">
        <v>0</v>
      </c>
      <c r="BB40">
        <v>0</v>
      </c>
      <c r="BC40">
        <v>360</v>
      </c>
      <c r="BD40">
        <v>360</v>
      </c>
      <c r="BE40">
        <v>360</v>
      </c>
      <c r="BF40">
        <v>360</v>
      </c>
      <c r="BG40">
        <v>360</v>
      </c>
      <c r="BH40">
        <v>135</v>
      </c>
      <c r="BI40">
        <v>0</v>
      </c>
      <c r="BJ40">
        <v>0</v>
      </c>
      <c r="BK40">
        <v>45</v>
      </c>
      <c r="BL40">
        <v>360</v>
      </c>
      <c r="BM40">
        <v>360</v>
      </c>
      <c r="BN40">
        <v>330</v>
      </c>
      <c r="BO40">
        <v>270</v>
      </c>
      <c r="BP40">
        <v>90</v>
      </c>
      <c r="BQ40">
        <f>(I40+J40+N40+O40)/4</f>
        <v>10.5</v>
      </c>
      <c r="BR40">
        <f>(K40+L40+M40)/3</f>
        <v>6</v>
      </c>
      <c r="BS40">
        <f>BQ40/BR40</f>
        <v>1.75</v>
      </c>
      <c r="BT40">
        <f>AQ40/I40</f>
        <v>90</v>
      </c>
      <c r="BU40" t="str">
        <f>IF(OR(A40=2, A40=12), "Central", IF(A40=3, "Semi-Central", "Periférica"))</f>
        <v>Periférica</v>
      </c>
    </row>
    <row r="41" spans="1:73" x14ac:dyDescent="0.3">
      <c r="A41" s="1">
        <v>3</v>
      </c>
      <c r="B41" s="1">
        <v>381</v>
      </c>
      <c r="C41" s="1" t="s">
        <v>397</v>
      </c>
      <c r="D41" t="s">
        <v>5</v>
      </c>
      <c r="E41" t="s">
        <v>0</v>
      </c>
      <c r="F41">
        <v>0</v>
      </c>
      <c r="G41">
        <v>0.44444444444444442</v>
      </c>
      <c r="H41">
        <v>5</v>
      </c>
      <c r="I41">
        <v>11.333333333333334</v>
      </c>
      <c r="J41">
        <v>7.333333333333333</v>
      </c>
      <c r="K41">
        <v>6</v>
      </c>
      <c r="L41">
        <v>6</v>
      </c>
      <c r="M41">
        <v>6</v>
      </c>
      <c r="N41">
        <v>11</v>
      </c>
      <c r="O41">
        <v>12</v>
      </c>
      <c r="P41">
        <v>4.666666666666667</v>
      </c>
      <c r="Q41">
        <v>3.5</v>
      </c>
      <c r="R41">
        <v>0</v>
      </c>
      <c r="S41">
        <v>0</v>
      </c>
      <c r="T41">
        <v>4</v>
      </c>
      <c r="U41">
        <v>4</v>
      </c>
      <c r="V41">
        <v>4</v>
      </c>
      <c r="W41">
        <v>4.333333333333333</v>
      </c>
      <c r="X41">
        <v>4.2222222222222223</v>
      </c>
      <c r="Y41">
        <v>4</v>
      </c>
      <c r="Z41">
        <v>3.5</v>
      </c>
      <c r="AA41">
        <v>0</v>
      </c>
      <c r="AB41">
        <v>0</v>
      </c>
      <c r="AC41">
        <v>3.5</v>
      </c>
      <c r="AD41">
        <v>4</v>
      </c>
      <c r="AE41">
        <v>4</v>
      </c>
      <c r="AF41">
        <v>4</v>
      </c>
      <c r="AG41">
        <v>4</v>
      </c>
      <c r="AH41">
        <v>2.5</v>
      </c>
      <c r="AI41" s="1">
        <v>3</v>
      </c>
      <c r="AJ41" s="1">
        <v>381</v>
      </c>
      <c r="AK41" s="1" t="s">
        <v>397</v>
      </c>
      <c r="AL41" t="s">
        <v>5</v>
      </c>
      <c r="AM41" t="s">
        <v>0</v>
      </c>
      <c r="AN41">
        <v>0</v>
      </c>
      <c r="AO41">
        <v>40</v>
      </c>
      <c r="AP41">
        <v>450</v>
      </c>
      <c r="AQ41">
        <v>1020</v>
      </c>
      <c r="AR41">
        <v>660</v>
      </c>
      <c r="AS41">
        <v>540</v>
      </c>
      <c r="AT41">
        <v>540</v>
      </c>
      <c r="AU41">
        <v>540</v>
      </c>
      <c r="AV41">
        <v>990</v>
      </c>
      <c r="AW41">
        <v>1080</v>
      </c>
      <c r="AX41">
        <v>420</v>
      </c>
      <c r="AY41">
        <v>315</v>
      </c>
      <c r="AZ41">
        <v>0</v>
      </c>
      <c r="BA41">
        <v>0</v>
      </c>
      <c r="BB41">
        <v>360</v>
      </c>
      <c r="BC41">
        <v>360</v>
      </c>
      <c r="BD41">
        <v>360</v>
      </c>
      <c r="BE41">
        <v>390</v>
      </c>
      <c r="BF41">
        <v>380</v>
      </c>
      <c r="BG41">
        <v>360</v>
      </c>
      <c r="BH41">
        <v>315</v>
      </c>
      <c r="BI41">
        <v>0</v>
      </c>
      <c r="BJ41">
        <v>0</v>
      </c>
      <c r="BK41">
        <v>315</v>
      </c>
      <c r="BL41">
        <v>360</v>
      </c>
      <c r="BM41">
        <v>360</v>
      </c>
      <c r="BN41">
        <v>360</v>
      </c>
      <c r="BO41">
        <v>360</v>
      </c>
      <c r="BP41">
        <v>225</v>
      </c>
      <c r="BQ41">
        <f>(I41+J41+N41+O41)/4</f>
        <v>10.416666666666668</v>
      </c>
      <c r="BR41">
        <f>(K41+L41+M41)/3</f>
        <v>6</v>
      </c>
      <c r="BS41">
        <f>BQ41/BR41</f>
        <v>1.7361111111111114</v>
      </c>
      <c r="BT41">
        <f>AQ41/I41</f>
        <v>90</v>
      </c>
      <c r="BU41" t="str">
        <f>IF(OR(A41=2, A41=12), "Central", IF(A41=3, "Semi-Central", "Periférica"))</f>
        <v>Semi-Central</v>
      </c>
    </row>
    <row r="42" spans="1:73" x14ac:dyDescent="0.3">
      <c r="A42" s="1">
        <v>4</v>
      </c>
      <c r="B42" s="1">
        <v>476</v>
      </c>
      <c r="C42" s="1" t="s">
        <v>373</v>
      </c>
      <c r="D42" t="s">
        <v>1</v>
      </c>
      <c r="E42" t="s">
        <v>0</v>
      </c>
      <c r="F42">
        <v>1</v>
      </c>
      <c r="G42">
        <v>0</v>
      </c>
      <c r="H42">
        <v>11</v>
      </c>
      <c r="I42">
        <v>10</v>
      </c>
      <c r="J42">
        <v>8.6666666666666661</v>
      </c>
      <c r="K42">
        <v>5</v>
      </c>
      <c r="L42">
        <v>4.666666666666667</v>
      </c>
      <c r="M42">
        <v>6</v>
      </c>
      <c r="N42">
        <v>8.5</v>
      </c>
      <c r="O42">
        <v>9</v>
      </c>
      <c r="P42">
        <v>5.333333333333333</v>
      </c>
      <c r="Q42">
        <v>3.5</v>
      </c>
      <c r="R42">
        <v>1</v>
      </c>
      <c r="S42">
        <v>0</v>
      </c>
      <c r="T42">
        <v>5</v>
      </c>
      <c r="U42">
        <v>5.2</v>
      </c>
      <c r="V42">
        <v>4.666666666666667</v>
      </c>
      <c r="W42">
        <v>5</v>
      </c>
      <c r="X42">
        <v>5.1111111111111107</v>
      </c>
      <c r="Y42">
        <v>3.2</v>
      </c>
      <c r="Z42">
        <v>2.5</v>
      </c>
      <c r="AA42">
        <v>1</v>
      </c>
      <c r="AB42">
        <v>0</v>
      </c>
      <c r="AC42">
        <v>3.5</v>
      </c>
      <c r="AD42">
        <v>4.7272727272727275</v>
      </c>
      <c r="AE42">
        <v>4.8</v>
      </c>
      <c r="AF42">
        <v>4.666666666666667</v>
      </c>
      <c r="AG42">
        <v>5</v>
      </c>
      <c r="AH42">
        <v>3</v>
      </c>
      <c r="AI42" s="1">
        <v>4</v>
      </c>
      <c r="AJ42" s="1">
        <v>476</v>
      </c>
      <c r="AK42" s="1" t="s">
        <v>373</v>
      </c>
      <c r="AL42" t="s">
        <v>1</v>
      </c>
      <c r="AM42" t="s">
        <v>0</v>
      </c>
      <c r="AN42">
        <v>76</v>
      </c>
      <c r="AO42">
        <v>0</v>
      </c>
      <c r="AP42">
        <v>836</v>
      </c>
      <c r="AQ42">
        <v>760</v>
      </c>
      <c r="AR42">
        <v>658.66666666666663</v>
      </c>
      <c r="AS42">
        <v>380</v>
      </c>
      <c r="AT42">
        <v>354.66666666666669</v>
      </c>
      <c r="AU42">
        <v>456</v>
      </c>
      <c r="AV42">
        <v>646</v>
      </c>
      <c r="AW42">
        <v>684</v>
      </c>
      <c r="AX42">
        <v>405.33333333333331</v>
      </c>
      <c r="AY42">
        <v>266</v>
      </c>
      <c r="AZ42">
        <v>76</v>
      </c>
      <c r="BA42">
        <v>0</v>
      </c>
      <c r="BB42">
        <v>380</v>
      </c>
      <c r="BC42">
        <v>395.2</v>
      </c>
      <c r="BD42">
        <v>354.66666666666669</v>
      </c>
      <c r="BE42">
        <v>380</v>
      </c>
      <c r="BF42">
        <v>388.44444444444446</v>
      </c>
      <c r="BG42">
        <v>243.2</v>
      </c>
      <c r="BH42">
        <v>190</v>
      </c>
      <c r="BI42">
        <v>76</v>
      </c>
      <c r="BJ42">
        <v>0</v>
      </c>
      <c r="BK42">
        <v>266</v>
      </c>
      <c r="BL42">
        <v>359.27272727272725</v>
      </c>
      <c r="BM42">
        <v>364.8</v>
      </c>
      <c r="BN42">
        <v>354.66666666666669</v>
      </c>
      <c r="BO42">
        <v>380</v>
      </c>
      <c r="BP42">
        <v>228</v>
      </c>
      <c r="BQ42">
        <f>(I42+J42+N42+O42)/4</f>
        <v>9.0416666666666661</v>
      </c>
      <c r="BR42">
        <f>(K42+L42+M42)/3</f>
        <v>5.2222222222222223</v>
      </c>
      <c r="BS42">
        <f>BQ42/BR42</f>
        <v>1.7313829787234041</v>
      </c>
      <c r="BT42">
        <f>AQ42/I42</f>
        <v>76</v>
      </c>
      <c r="BU42" t="str">
        <f>IF(OR(A42=2, A42=12), "Central", IF(A42=3, "Semi-Central", "Periférica"))</f>
        <v>Periférica</v>
      </c>
    </row>
    <row r="43" spans="1:73" x14ac:dyDescent="0.3">
      <c r="A43" s="1">
        <v>13</v>
      </c>
      <c r="B43" s="1">
        <v>1344</v>
      </c>
      <c r="C43" s="1">
        <v>444</v>
      </c>
      <c r="D43" t="s">
        <v>1</v>
      </c>
      <c r="F43">
        <v>0</v>
      </c>
      <c r="G43">
        <v>0</v>
      </c>
      <c r="H43">
        <v>6</v>
      </c>
      <c r="I43">
        <v>5.333333333333333</v>
      </c>
      <c r="J43">
        <v>4.666666666666667</v>
      </c>
      <c r="K43">
        <v>3</v>
      </c>
      <c r="L43">
        <v>3.333333333333333</v>
      </c>
      <c r="M43">
        <v>2.8</v>
      </c>
      <c r="N43">
        <v>5.5</v>
      </c>
      <c r="O43">
        <v>5.5</v>
      </c>
      <c r="P43">
        <v>3.333333333333333</v>
      </c>
      <c r="Q43">
        <v>1</v>
      </c>
      <c r="R43">
        <v>0</v>
      </c>
      <c r="S43">
        <v>0</v>
      </c>
      <c r="T43">
        <v>0</v>
      </c>
      <c r="U43">
        <v>3.6</v>
      </c>
      <c r="V43">
        <v>3</v>
      </c>
      <c r="W43">
        <v>3</v>
      </c>
      <c r="X43">
        <v>2.8888888888888888</v>
      </c>
      <c r="Y43">
        <v>3.2</v>
      </c>
      <c r="Z43">
        <v>1</v>
      </c>
      <c r="AA43">
        <v>0</v>
      </c>
      <c r="AB43">
        <v>0</v>
      </c>
      <c r="AC43">
        <v>1</v>
      </c>
      <c r="AD43">
        <v>2.9090909090909092</v>
      </c>
      <c r="AE43">
        <v>3</v>
      </c>
      <c r="AF43">
        <v>3</v>
      </c>
      <c r="AG43">
        <v>3</v>
      </c>
      <c r="AH43">
        <v>1.5</v>
      </c>
      <c r="AI43" s="1">
        <v>13</v>
      </c>
      <c r="AJ43" s="1">
        <v>1344</v>
      </c>
      <c r="AK43" s="1">
        <v>444</v>
      </c>
      <c r="AL43" t="s">
        <v>1</v>
      </c>
      <c r="AN43">
        <v>0</v>
      </c>
      <c r="AO43">
        <v>0</v>
      </c>
      <c r="AP43">
        <v>540</v>
      </c>
      <c r="AQ43">
        <v>480</v>
      </c>
      <c r="AR43">
        <v>420</v>
      </c>
      <c r="AS43">
        <v>270</v>
      </c>
      <c r="AT43">
        <v>300</v>
      </c>
      <c r="AU43">
        <v>252</v>
      </c>
      <c r="AV43">
        <v>495</v>
      </c>
      <c r="AW43">
        <v>495</v>
      </c>
      <c r="AX43">
        <v>300</v>
      </c>
      <c r="AY43">
        <v>90</v>
      </c>
      <c r="AZ43">
        <v>0</v>
      </c>
      <c r="BA43">
        <v>0</v>
      </c>
      <c r="BB43">
        <v>0</v>
      </c>
      <c r="BC43">
        <v>324</v>
      </c>
      <c r="BD43">
        <v>270</v>
      </c>
      <c r="BE43">
        <v>270</v>
      </c>
      <c r="BF43">
        <v>260</v>
      </c>
      <c r="BG43">
        <v>288</v>
      </c>
      <c r="BH43">
        <v>90</v>
      </c>
      <c r="BI43">
        <v>0</v>
      </c>
      <c r="BJ43">
        <v>0</v>
      </c>
      <c r="BK43">
        <v>90</v>
      </c>
      <c r="BL43">
        <v>261.81818181818181</v>
      </c>
      <c r="BM43">
        <v>270</v>
      </c>
      <c r="BN43">
        <v>270</v>
      </c>
      <c r="BO43">
        <v>270</v>
      </c>
      <c r="BP43">
        <v>135</v>
      </c>
      <c r="BQ43">
        <f>(I43+J43+N43+O43)/4</f>
        <v>5.25</v>
      </c>
      <c r="BR43">
        <f>(K43+L43+M43)/3</f>
        <v>3.0444444444444443</v>
      </c>
      <c r="BS43">
        <f>BQ43/BR43</f>
        <v>1.7244525547445257</v>
      </c>
      <c r="BT43">
        <f>AQ43/I43</f>
        <v>90</v>
      </c>
      <c r="BU43" t="str">
        <f>IF(OR(A43=2, A43=12), "Central", IF(A43=3, "Semi-Central", "Periférica"))</f>
        <v>Periférica</v>
      </c>
    </row>
    <row r="44" spans="1:73" x14ac:dyDescent="0.3">
      <c r="A44" s="1">
        <v>3</v>
      </c>
      <c r="B44" s="1" t="s">
        <v>396</v>
      </c>
      <c r="C44" s="1" t="s">
        <v>396</v>
      </c>
      <c r="D44" t="s">
        <v>1</v>
      </c>
      <c r="E44" t="s">
        <v>0</v>
      </c>
      <c r="F44">
        <v>0</v>
      </c>
      <c r="G44">
        <v>0</v>
      </c>
      <c r="H44">
        <v>4</v>
      </c>
      <c r="I44">
        <v>11.333333333333334</v>
      </c>
      <c r="J44">
        <v>5.333333333333333</v>
      </c>
      <c r="K44">
        <v>4.666666666666667</v>
      </c>
      <c r="L44">
        <v>5.333333333333333</v>
      </c>
      <c r="M44">
        <v>5.6</v>
      </c>
      <c r="N44">
        <v>9</v>
      </c>
      <c r="O44">
        <v>10</v>
      </c>
      <c r="P44">
        <v>5.333333333333333</v>
      </c>
      <c r="Q44">
        <v>3.5</v>
      </c>
      <c r="R44">
        <v>0</v>
      </c>
      <c r="S44">
        <v>0</v>
      </c>
      <c r="T44">
        <v>0</v>
      </c>
      <c r="U44">
        <v>4</v>
      </c>
      <c r="V44">
        <v>4.333333333333333</v>
      </c>
      <c r="W44">
        <v>3.6666666666666665</v>
      </c>
      <c r="X44">
        <v>4</v>
      </c>
      <c r="Y44">
        <v>4.4000000000000004</v>
      </c>
      <c r="Z44">
        <v>3</v>
      </c>
      <c r="AA44">
        <v>0</v>
      </c>
      <c r="AB44">
        <v>0</v>
      </c>
      <c r="AC44">
        <v>0</v>
      </c>
      <c r="AD44">
        <v>3.4545454545454546</v>
      </c>
      <c r="AE44">
        <v>3.2</v>
      </c>
      <c r="AF44">
        <v>3.6666666666666665</v>
      </c>
      <c r="AG44">
        <v>4</v>
      </c>
      <c r="AH44">
        <v>2.5</v>
      </c>
      <c r="AI44" s="1">
        <v>3</v>
      </c>
      <c r="AJ44" s="1" t="s">
        <v>396</v>
      </c>
      <c r="AK44" s="1" t="s">
        <v>396</v>
      </c>
      <c r="AL44" t="s">
        <v>1</v>
      </c>
      <c r="AM44" t="s">
        <v>0</v>
      </c>
      <c r="AN44">
        <v>0</v>
      </c>
      <c r="AO44">
        <v>0</v>
      </c>
      <c r="AP44">
        <v>372</v>
      </c>
      <c r="AQ44">
        <v>1037.3333333333333</v>
      </c>
      <c r="AR44">
        <v>476</v>
      </c>
      <c r="AS44">
        <v>424</v>
      </c>
      <c r="AT44">
        <v>492.66666666666669</v>
      </c>
      <c r="AU44">
        <v>516.79999999999995</v>
      </c>
      <c r="AV44">
        <v>829.5</v>
      </c>
      <c r="AW44">
        <v>910</v>
      </c>
      <c r="AX44">
        <v>482.66666666666669</v>
      </c>
      <c r="AY44">
        <v>323</v>
      </c>
      <c r="AZ44">
        <v>0</v>
      </c>
      <c r="BA44">
        <v>0</v>
      </c>
      <c r="BB44">
        <v>0</v>
      </c>
      <c r="BC44">
        <v>352</v>
      </c>
      <c r="BD44">
        <v>381.33333333333331</v>
      </c>
      <c r="BE44">
        <v>322.66666666666669</v>
      </c>
      <c r="BF44">
        <v>352</v>
      </c>
      <c r="BG44">
        <v>387.2</v>
      </c>
      <c r="BH44">
        <v>264</v>
      </c>
      <c r="BI44">
        <v>0</v>
      </c>
      <c r="BJ44">
        <v>0</v>
      </c>
      <c r="BK44">
        <v>0</v>
      </c>
      <c r="BL44">
        <v>304</v>
      </c>
      <c r="BM44">
        <v>281.60000000000002</v>
      </c>
      <c r="BN44">
        <v>322.66666666666669</v>
      </c>
      <c r="BO44">
        <v>352</v>
      </c>
      <c r="BP44">
        <v>220</v>
      </c>
      <c r="BQ44">
        <f>(I44+J44+N44+O44)/4</f>
        <v>8.9166666666666679</v>
      </c>
      <c r="BR44">
        <f>(K44+L44+M44)/3</f>
        <v>5.2</v>
      </c>
      <c r="BS44">
        <f>BQ44/BR44</f>
        <v>1.7147435897435899</v>
      </c>
      <c r="BT44">
        <f>AQ44/I44</f>
        <v>91.52941176470587</v>
      </c>
      <c r="BU44" t="str">
        <f>IF(OR(A44=2, A44=12), "Central", IF(A44=3, "Semi-Central", "Periférica"))</f>
        <v>Semi-Central</v>
      </c>
    </row>
    <row r="45" spans="1:73" x14ac:dyDescent="0.3">
      <c r="A45" s="1">
        <v>3</v>
      </c>
      <c r="B45" s="1">
        <v>381</v>
      </c>
      <c r="C45" s="1" t="s">
        <v>397</v>
      </c>
      <c r="D45" t="s">
        <v>1</v>
      </c>
      <c r="E45" t="s">
        <v>0</v>
      </c>
      <c r="F45">
        <v>0</v>
      </c>
      <c r="G45">
        <v>0.22222222222222221</v>
      </c>
      <c r="H45">
        <v>6</v>
      </c>
      <c r="I45">
        <v>11.333333333333334</v>
      </c>
      <c r="J45">
        <v>6.666666666666667</v>
      </c>
      <c r="K45">
        <v>6</v>
      </c>
      <c r="L45">
        <v>6</v>
      </c>
      <c r="M45">
        <v>6.4</v>
      </c>
      <c r="N45">
        <v>11.5</v>
      </c>
      <c r="O45">
        <v>12.5</v>
      </c>
      <c r="P45">
        <v>5.333333333333333</v>
      </c>
      <c r="Q45">
        <v>3.5</v>
      </c>
      <c r="R45">
        <v>0</v>
      </c>
      <c r="S45">
        <v>0</v>
      </c>
      <c r="T45">
        <v>3</v>
      </c>
      <c r="U45">
        <v>4</v>
      </c>
      <c r="V45">
        <v>4</v>
      </c>
      <c r="W45">
        <v>4.333333333333333</v>
      </c>
      <c r="X45">
        <v>4.2222222222222223</v>
      </c>
      <c r="Y45">
        <v>4</v>
      </c>
      <c r="Z45">
        <v>3.5</v>
      </c>
      <c r="AA45">
        <v>0</v>
      </c>
      <c r="AB45">
        <v>0</v>
      </c>
      <c r="AC45">
        <v>3.5</v>
      </c>
      <c r="AD45">
        <v>4</v>
      </c>
      <c r="AE45">
        <v>4</v>
      </c>
      <c r="AF45">
        <v>4</v>
      </c>
      <c r="AG45">
        <v>4</v>
      </c>
      <c r="AH45">
        <v>3</v>
      </c>
      <c r="AI45" s="1">
        <v>3</v>
      </c>
      <c r="AJ45" s="1">
        <v>381</v>
      </c>
      <c r="AK45" s="1" t="s">
        <v>397</v>
      </c>
      <c r="AL45" t="s">
        <v>1</v>
      </c>
      <c r="AM45" t="s">
        <v>0</v>
      </c>
      <c r="AN45">
        <v>0</v>
      </c>
      <c r="AO45">
        <v>20</v>
      </c>
      <c r="AP45">
        <v>540</v>
      </c>
      <c r="AQ45">
        <v>1020</v>
      </c>
      <c r="AR45">
        <v>600</v>
      </c>
      <c r="AS45">
        <v>540</v>
      </c>
      <c r="AT45">
        <v>540</v>
      </c>
      <c r="AU45">
        <v>576</v>
      </c>
      <c r="AV45">
        <v>1035</v>
      </c>
      <c r="AW45">
        <v>1125</v>
      </c>
      <c r="AX45">
        <v>480</v>
      </c>
      <c r="AY45">
        <v>315</v>
      </c>
      <c r="AZ45">
        <v>0</v>
      </c>
      <c r="BA45">
        <v>0</v>
      </c>
      <c r="BB45">
        <v>270</v>
      </c>
      <c r="BC45">
        <v>360</v>
      </c>
      <c r="BD45">
        <v>360</v>
      </c>
      <c r="BE45">
        <v>390</v>
      </c>
      <c r="BF45">
        <v>380</v>
      </c>
      <c r="BG45">
        <v>360</v>
      </c>
      <c r="BH45">
        <v>315</v>
      </c>
      <c r="BI45">
        <v>0</v>
      </c>
      <c r="BJ45">
        <v>0</v>
      </c>
      <c r="BK45">
        <v>315</v>
      </c>
      <c r="BL45">
        <v>360</v>
      </c>
      <c r="BM45">
        <v>360</v>
      </c>
      <c r="BN45">
        <v>360</v>
      </c>
      <c r="BO45">
        <v>360</v>
      </c>
      <c r="BP45">
        <v>270</v>
      </c>
      <c r="BQ45">
        <f>(I45+J45+N45+O45)/4</f>
        <v>10.5</v>
      </c>
      <c r="BR45">
        <f>(K45+L45+M45)/3</f>
        <v>6.1333333333333329</v>
      </c>
      <c r="BS45">
        <f>BQ45/BR45</f>
        <v>1.7119565217391306</v>
      </c>
      <c r="BT45">
        <f>AQ45/I45</f>
        <v>90</v>
      </c>
      <c r="BU45" t="str">
        <f>IF(OR(A45=2, A45=12), "Central", IF(A45=3, "Semi-Central", "Periférica"))</f>
        <v>Semi-Central</v>
      </c>
    </row>
    <row r="46" spans="1:73" x14ac:dyDescent="0.3">
      <c r="A46" s="1">
        <v>11</v>
      </c>
      <c r="B46" s="1">
        <v>1132</v>
      </c>
      <c r="C46" s="1" t="s">
        <v>395</v>
      </c>
      <c r="D46" t="s">
        <v>5</v>
      </c>
      <c r="F46">
        <v>0</v>
      </c>
      <c r="G46">
        <v>0</v>
      </c>
      <c r="H46">
        <v>4</v>
      </c>
      <c r="I46">
        <v>6</v>
      </c>
      <c r="J46">
        <v>5.333333333333333</v>
      </c>
      <c r="K46">
        <v>3.333333333333333</v>
      </c>
      <c r="L46">
        <v>3.333333333333333</v>
      </c>
      <c r="M46">
        <v>2.8</v>
      </c>
      <c r="N46">
        <v>5</v>
      </c>
      <c r="O46">
        <v>5</v>
      </c>
      <c r="P46">
        <v>3.333333333333333</v>
      </c>
      <c r="Q46">
        <v>1</v>
      </c>
      <c r="R46">
        <v>0</v>
      </c>
      <c r="S46">
        <v>0</v>
      </c>
      <c r="T46">
        <v>3</v>
      </c>
      <c r="U46">
        <v>4</v>
      </c>
      <c r="V46">
        <v>3.333333333333333</v>
      </c>
      <c r="W46">
        <v>3</v>
      </c>
      <c r="X46">
        <v>2</v>
      </c>
      <c r="Y46">
        <v>2</v>
      </c>
      <c r="Z46">
        <v>1</v>
      </c>
      <c r="AA46">
        <v>0</v>
      </c>
      <c r="AB46">
        <v>0</v>
      </c>
      <c r="AC46">
        <v>1</v>
      </c>
      <c r="AD46">
        <v>2</v>
      </c>
      <c r="AE46">
        <v>2</v>
      </c>
      <c r="AF46">
        <v>2</v>
      </c>
      <c r="AG46">
        <v>2</v>
      </c>
      <c r="AH46">
        <v>1</v>
      </c>
      <c r="AI46" s="1">
        <v>11</v>
      </c>
      <c r="AJ46" s="1">
        <v>1132</v>
      </c>
      <c r="AK46" s="1" t="s">
        <v>395</v>
      </c>
      <c r="AL46" t="s">
        <v>5</v>
      </c>
      <c r="AN46">
        <v>0</v>
      </c>
      <c r="AO46">
        <v>0</v>
      </c>
      <c r="AP46">
        <v>360</v>
      </c>
      <c r="AQ46">
        <v>540</v>
      </c>
      <c r="AR46">
        <v>480</v>
      </c>
      <c r="AS46">
        <v>300</v>
      </c>
      <c r="AT46">
        <v>300</v>
      </c>
      <c r="AU46">
        <v>252</v>
      </c>
      <c r="AV46">
        <v>450</v>
      </c>
      <c r="AW46">
        <v>450</v>
      </c>
      <c r="AX46">
        <v>300</v>
      </c>
      <c r="AY46">
        <v>90</v>
      </c>
      <c r="AZ46">
        <v>0</v>
      </c>
      <c r="BA46">
        <v>0</v>
      </c>
      <c r="BB46">
        <v>270</v>
      </c>
      <c r="BC46">
        <v>360</v>
      </c>
      <c r="BD46">
        <v>300</v>
      </c>
      <c r="BE46">
        <v>270</v>
      </c>
      <c r="BF46">
        <v>180</v>
      </c>
      <c r="BG46">
        <v>180</v>
      </c>
      <c r="BH46">
        <v>90</v>
      </c>
      <c r="BI46">
        <v>0</v>
      </c>
      <c r="BJ46">
        <v>0</v>
      </c>
      <c r="BK46">
        <v>90</v>
      </c>
      <c r="BL46">
        <v>180</v>
      </c>
      <c r="BM46">
        <v>180</v>
      </c>
      <c r="BN46">
        <v>180</v>
      </c>
      <c r="BO46">
        <v>180</v>
      </c>
      <c r="BP46">
        <v>90</v>
      </c>
      <c r="BQ46">
        <f>(I46+J46+N46+O46)/4</f>
        <v>5.333333333333333</v>
      </c>
      <c r="BR46">
        <f>(K46+L46+M46)/3</f>
        <v>3.155555555555555</v>
      </c>
      <c r="BS46">
        <f>BQ46/BR46</f>
        <v>1.6901408450704227</v>
      </c>
      <c r="BT46">
        <f>AQ46/I46</f>
        <v>90</v>
      </c>
      <c r="BU46" t="str">
        <f>IF(OR(A46=2, A46=12), "Central", IF(A46=3, "Semi-Central", "Periférica"))</f>
        <v>Periférica</v>
      </c>
    </row>
    <row r="47" spans="1:73" x14ac:dyDescent="0.3">
      <c r="A47" s="1">
        <v>3</v>
      </c>
      <c r="B47" s="1" t="s">
        <v>396</v>
      </c>
      <c r="C47" s="1" t="s">
        <v>396</v>
      </c>
      <c r="D47" t="s">
        <v>5</v>
      </c>
      <c r="E47" t="s">
        <v>0</v>
      </c>
      <c r="F47">
        <v>0</v>
      </c>
      <c r="G47">
        <v>0</v>
      </c>
      <c r="H47">
        <v>7</v>
      </c>
      <c r="I47">
        <v>11.333333333333334</v>
      </c>
      <c r="J47">
        <v>5.333333333333333</v>
      </c>
      <c r="K47">
        <v>4.666666666666667</v>
      </c>
      <c r="L47">
        <v>5.333333333333333</v>
      </c>
      <c r="M47">
        <v>5.2</v>
      </c>
      <c r="N47">
        <v>9</v>
      </c>
      <c r="O47">
        <v>8.5</v>
      </c>
      <c r="P47">
        <v>5.333333333333333</v>
      </c>
      <c r="Q47">
        <v>2</v>
      </c>
      <c r="R47">
        <v>0</v>
      </c>
      <c r="S47">
        <v>0</v>
      </c>
      <c r="T47">
        <v>3</v>
      </c>
      <c r="U47">
        <v>5.2</v>
      </c>
      <c r="V47">
        <v>4.333333333333333</v>
      </c>
      <c r="W47">
        <v>3.6666666666666665</v>
      </c>
      <c r="X47">
        <v>4</v>
      </c>
      <c r="Y47">
        <v>4</v>
      </c>
      <c r="Z47">
        <v>2</v>
      </c>
      <c r="AA47">
        <v>0</v>
      </c>
      <c r="AB47">
        <v>0</v>
      </c>
      <c r="AC47">
        <v>0.5</v>
      </c>
      <c r="AD47">
        <v>3.4545454545454546</v>
      </c>
      <c r="AE47">
        <v>3.2</v>
      </c>
      <c r="AF47">
        <v>3.6666666666666665</v>
      </c>
      <c r="AG47">
        <v>4</v>
      </c>
      <c r="AH47">
        <v>1.5</v>
      </c>
      <c r="AI47" s="1">
        <v>3</v>
      </c>
      <c r="AJ47" s="1" t="s">
        <v>396</v>
      </c>
      <c r="AK47" s="1" t="s">
        <v>396</v>
      </c>
      <c r="AL47" t="s">
        <v>5</v>
      </c>
      <c r="AM47" t="s">
        <v>0</v>
      </c>
      <c r="AN47">
        <v>0</v>
      </c>
      <c r="AO47">
        <v>0</v>
      </c>
      <c r="AP47">
        <v>646</v>
      </c>
      <c r="AQ47">
        <v>1034</v>
      </c>
      <c r="AR47">
        <v>479.33333333333331</v>
      </c>
      <c r="AS47">
        <v>422.33333333333331</v>
      </c>
      <c r="AT47">
        <v>489.33333333333331</v>
      </c>
      <c r="AU47">
        <v>479.6</v>
      </c>
      <c r="AV47">
        <v>824.5</v>
      </c>
      <c r="AW47">
        <v>773</v>
      </c>
      <c r="AX47">
        <v>486</v>
      </c>
      <c r="AY47">
        <v>183.5</v>
      </c>
      <c r="AZ47">
        <v>0</v>
      </c>
      <c r="BA47">
        <v>0</v>
      </c>
      <c r="BB47">
        <v>264</v>
      </c>
      <c r="BC47">
        <v>457.6</v>
      </c>
      <c r="BD47">
        <v>381.33333333333331</v>
      </c>
      <c r="BE47">
        <v>322.66666666666669</v>
      </c>
      <c r="BF47">
        <v>352</v>
      </c>
      <c r="BG47">
        <v>352</v>
      </c>
      <c r="BH47">
        <v>176</v>
      </c>
      <c r="BI47">
        <v>0</v>
      </c>
      <c r="BJ47">
        <v>0</v>
      </c>
      <c r="BK47">
        <v>44</v>
      </c>
      <c r="BL47">
        <v>304</v>
      </c>
      <c r="BM47">
        <v>281.60000000000002</v>
      </c>
      <c r="BN47">
        <v>322.66666666666669</v>
      </c>
      <c r="BO47">
        <v>352</v>
      </c>
      <c r="BP47">
        <v>132</v>
      </c>
      <c r="BQ47">
        <f>(I47+J47+N47+O47)/4</f>
        <v>8.5416666666666679</v>
      </c>
      <c r="BR47">
        <f>(K47+L47+M47)/3</f>
        <v>5.0666666666666664</v>
      </c>
      <c r="BS47">
        <f>BQ47/BR47</f>
        <v>1.6858552631578951</v>
      </c>
      <c r="BT47">
        <f>AQ47/I47</f>
        <v>91.235294117647058</v>
      </c>
      <c r="BU47" t="str">
        <f>IF(OR(A47=2, A47=12), "Central", IF(A47=3, "Semi-Central", "Periférica"))</f>
        <v>Semi-Central</v>
      </c>
    </row>
    <row r="48" spans="1:73" x14ac:dyDescent="0.3">
      <c r="A48" s="1">
        <v>11</v>
      </c>
      <c r="B48" s="1">
        <v>1132</v>
      </c>
      <c r="C48" s="1" t="s">
        <v>395</v>
      </c>
      <c r="D48" t="s">
        <v>1</v>
      </c>
      <c r="F48">
        <v>0</v>
      </c>
      <c r="G48">
        <v>0</v>
      </c>
      <c r="H48">
        <v>4</v>
      </c>
      <c r="I48">
        <v>6</v>
      </c>
      <c r="J48">
        <v>5.333333333333333</v>
      </c>
      <c r="K48">
        <v>3</v>
      </c>
      <c r="L48">
        <v>3.333333333333333</v>
      </c>
      <c r="M48">
        <v>3.2</v>
      </c>
      <c r="N48">
        <v>5</v>
      </c>
      <c r="O48">
        <v>5</v>
      </c>
      <c r="P48">
        <v>3.333333333333333</v>
      </c>
      <c r="Q48">
        <v>1</v>
      </c>
      <c r="R48">
        <v>0</v>
      </c>
      <c r="S48">
        <v>0</v>
      </c>
      <c r="T48">
        <v>3</v>
      </c>
      <c r="U48">
        <v>4</v>
      </c>
      <c r="V48">
        <v>3.333333333333333</v>
      </c>
      <c r="W48">
        <v>3</v>
      </c>
      <c r="X48">
        <v>2</v>
      </c>
      <c r="Y48">
        <v>2</v>
      </c>
      <c r="Z48">
        <v>1</v>
      </c>
      <c r="AA48">
        <v>0</v>
      </c>
      <c r="AB48">
        <v>0</v>
      </c>
      <c r="AC48">
        <v>1</v>
      </c>
      <c r="AD48">
        <v>2</v>
      </c>
      <c r="AE48">
        <v>2</v>
      </c>
      <c r="AF48">
        <v>2</v>
      </c>
      <c r="AG48">
        <v>2</v>
      </c>
      <c r="AH48">
        <v>1</v>
      </c>
      <c r="AI48" s="1">
        <v>11</v>
      </c>
      <c r="AJ48" s="1">
        <v>1132</v>
      </c>
      <c r="AK48" s="1" t="s">
        <v>395</v>
      </c>
      <c r="AL48" t="s">
        <v>1</v>
      </c>
      <c r="AN48">
        <v>0</v>
      </c>
      <c r="AO48">
        <v>0</v>
      </c>
      <c r="AP48">
        <v>360</v>
      </c>
      <c r="AQ48">
        <v>540</v>
      </c>
      <c r="AR48">
        <v>480</v>
      </c>
      <c r="AS48">
        <v>270</v>
      </c>
      <c r="AT48">
        <v>300</v>
      </c>
      <c r="AU48">
        <v>288</v>
      </c>
      <c r="AV48">
        <v>450</v>
      </c>
      <c r="AW48">
        <v>450</v>
      </c>
      <c r="AX48">
        <v>300</v>
      </c>
      <c r="AY48">
        <v>90</v>
      </c>
      <c r="AZ48">
        <v>0</v>
      </c>
      <c r="BA48">
        <v>0</v>
      </c>
      <c r="BB48">
        <v>270</v>
      </c>
      <c r="BC48">
        <v>360</v>
      </c>
      <c r="BD48">
        <v>300</v>
      </c>
      <c r="BE48">
        <v>270</v>
      </c>
      <c r="BF48">
        <v>180</v>
      </c>
      <c r="BG48">
        <v>180</v>
      </c>
      <c r="BH48">
        <v>90</v>
      </c>
      <c r="BI48">
        <v>0</v>
      </c>
      <c r="BJ48">
        <v>0</v>
      </c>
      <c r="BK48">
        <v>90</v>
      </c>
      <c r="BL48">
        <v>180</v>
      </c>
      <c r="BM48">
        <v>180</v>
      </c>
      <c r="BN48">
        <v>180</v>
      </c>
      <c r="BO48">
        <v>180</v>
      </c>
      <c r="BP48">
        <v>90</v>
      </c>
      <c r="BQ48">
        <f>(I48+J48+N48+O48)/4</f>
        <v>5.333333333333333</v>
      </c>
      <c r="BR48">
        <f>(K48+L48+M48)/3</f>
        <v>3.1777777777777776</v>
      </c>
      <c r="BS48">
        <f>BQ48/BR48</f>
        <v>1.6783216783216783</v>
      </c>
      <c r="BT48">
        <f>AQ48/I48</f>
        <v>90</v>
      </c>
      <c r="BU48" t="str">
        <f>IF(OR(A48=2, A48=12), "Central", IF(A48=3, "Semi-Central", "Periférica"))</f>
        <v>Periférica</v>
      </c>
    </row>
    <row r="49" spans="1:73" x14ac:dyDescent="0.3">
      <c r="A49" s="1">
        <v>5</v>
      </c>
      <c r="B49" s="1" t="s">
        <v>394</v>
      </c>
      <c r="C49" s="1" t="s">
        <v>393</v>
      </c>
      <c r="D49" t="s">
        <v>5</v>
      </c>
      <c r="E49" t="s">
        <v>0</v>
      </c>
      <c r="F49">
        <v>0</v>
      </c>
      <c r="G49">
        <v>0</v>
      </c>
      <c r="H49">
        <v>0</v>
      </c>
      <c r="I49">
        <v>8</v>
      </c>
      <c r="J49">
        <v>6.666666666666667</v>
      </c>
      <c r="K49">
        <v>4</v>
      </c>
      <c r="L49">
        <v>4</v>
      </c>
      <c r="M49">
        <v>4.4000000000000004</v>
      </c>
      <c r="N49">
        <v>6</v>
      </c>
      <c r="O49">
        <v>7</v>
      </c>
      <c r="P49">
        <v>4.666666666666667</v>
      </c>
      <c r="Q49">
        <v>0</v>
      </c>
      <c r="R49">
        <v>0</v>
      </c>
      <c r="S49">
        <v>0</v>
      </c>
      <c r="T49">
        <v>0</v>
      </c>
      <c r="U49">
        <v>2.8</v>
      </c>
      <c r="V49">
        <v>4.333333333333333</v>
      </c>
      <c r="W49">
        <v>4.333333333333333</v>
      </c>
      <c r="X49">
        <v>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2.9090909090909092</v>
      </c>
      <c r="AE49">
        <v>4</v>
      </c>
      <c r="AF49">
        <v>4.333333333333333</v>
      </c>
      <c r="AG49">
        <v>0</v>
      </c>
      <c r="AH49">
        <v>0</v>
      </c>
      <c r="AI49" s="1">
        <v>5</v>
      </c>
      <c r="AJ49" s="1" t="s">
        <v>394</v>
      </c>
      <c r="AK49" s="1" t="s">
        <v>393</v>
      </c>
      <c r="AL49" t="s">
        <v>5</v>
      </c>
      <c r="AM49" t="s">
        <v>0</v>
      </c>
      <c r="AN49">
        <v>0</v>
      </c>
      <c r="AO49">
        <v>0</v>
      </c>
      <c r="AP49">
        <v>0</v>
      </c>
      <c r="AQ49">
        <v>648</v>
      </c>
      <c r="AR49">
        <v>540</v>
      </c>
      <c r="AS49">
        <v>324</v>
      </c>
      <c r="AT49">
        <v>324</v>
      </c>
      <c r="AU49">
        <v>356.4</v>
      </c>
      <c r="AV49">
        <v>486</v>
      </c>
      <c r="AW49">
        <v>567</v>
      </c>
      <c r="AX49">
        <v>378</v>
      </c>
      <c r="AY49">
        <v>0</v>
      </c>
      <c r="AZ49">
        <v>0</v>
      </c>
      <c r="BA49">
        <v>0</v>
      </c>
      <c r="BB49">
        <v>0</v>
      </c>
      <c r="BC49">
        <v>226.8</v>
      </c>
      <c r="BD49">
        <v>351</v>
      </c>
      <c r="BE49">
        <v>351</v>
      </c>
      <c r="BF49">
        <v>324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235.63636363636363</v>
      </c>
      <c r="BM49">
        <v>324</v>
      </c>
      <c r="BN49">
        <v>351</v>
      </c>
      <c r="BO49">
        <v>0</v>
      </c>
      <c r="BP49">
        <v>0</v>
      </c>
      <c r="BQ49">
        <f>(I49+J49+N49+O49)/4</f>
        <v>6.916666666666667</v>
      </c>
      <c r="BR49">
        <f>(K49+L49+M49)/3</f>
        <v>4.1333333333333337</v>
      </c>
      <c r="BS49">
        <f>BQ49/BR49</f>
        <v>1.6733870967741935</v>
      </c>
      <c r="BT49">
        <f>AQ49/I49</f>
        <v>81</v>
      </c>
      <c r="BU49" t="str">
        <f>IF(OR(A49=2, A49=12), "Central", IF(A49=3, "Semi-Central", "Periférica"))</f>
        <v>Periférica</v>
      </c>
    </row>
    <row r="50" spans="1:73" x14ac:dyDescent="0.3">
      <c r="A50" s="1">
        <v>19</v>
      </c>
      <c r="B50" s="1" t="s">
        <v>391</v>
      </c>
      <c r="C50" s="1" t="s">
        <v>390</v>
      </c>
      <c r="D50" t="s">
        <v>5</v>
      </c>
      <c r="E50" t="s">
        <v>0</v>
      </c>
      <c r="F50">
        <v>0</v>
      </c>
      <c r="G50">
        <v>0</v>
      </c>
      <c r="H50">
        <v>8</v>
      </c>
      <c r="I50">
        <v>11.33333333333333</v>
      </c>
      <c r="J50">
        <v>6</v>
      </c>
      <c r="K50">
        <v>5</v>
      </c>
      <c r="L50">
        <v>6.666666666666667</v>
      </c>
      <c r="M50">
        <v>6</v>
      </c>
      <c r="N50">
        <v>11.5</v>
      </c>
      <c r="O50">
        <v>10.5</v>
      </c>
      <c r="P50">
        <v>6</v>
      </c>
      <c r="Q50">
        <v>4</v>
      </c>
      <c r="R50">
        <v>0</v>
      </c>
      <c r="S50">
        <v>0</v>
      </c>
      <c r="T50">
        <v>3</v>
      </c>
      <c r="U50">
        <v>4</v>
      </c>
      <c r="V50">
        <v>4</v>
      </c>
      <c r="W50">
        <v>4</v>
      </c>
      <c r="X50">
        <v>4</v>
      </c>
      <c r="Y50">
        <v>4</v>
      </c>
      <c r="Z50">
        <v>1.5</v>
      </c>
      <c r="AA50">
        <v>0</v>
      </c>
      <c r="AB50">
        <v>0</v>
      </c>
      <c r="AC50">
        <v>3.5</v>
      </c>
      <c r="AD50">
        <v>4.3636363636363633</v>
      </c>
      <c r="AE50">
        <v>4</v>
      </c>
      <c r="AF50">
        <v>4.333333333333333</v>
      </c>
      <c r="AG50">
        <v>4</v>
      </c>
      <c r="AH50">
        <v>1.5</v>
      </c>
      <c r="AI50" s="1">
        <v>19</v>
      </c>
      <c r="AJ50" s="1" t="s">
        <v>391</v>
      </c>
      <c r="AK50" s="1" t="s">
        <v>390</v>
      </c>
      <c r="AL50" t="s">
        <v>5</v>
      </c>
      <c r="AM50" t="s">
        <v>0</v>
      </c>
      <c r="AN50">
        <v>0</v>
      </c>
      <c r="AO50">
        <v>0</v>
      </c>
      <c r="AP50">
        <v>720</v>
      </c>
      <c r="AQ50">
        <v>1020</v>
      </c>
      <c r="AR50">
        <v>540</v>
      </c>
      <c r="AS50">
        <v>450</v>
      </c>
      <c r="AT50">
        <v>600</v>
      </c>
      <c r="AU50">
        <v>540</v>
      </c>
      <c r="AV50">
        <v>1035</v>
      </c>
      <c r="AW50">
        <v>945</v>
      </c>
      <c r="AX50">
        <v>540</v>
      </c>
      <c r="AY50">
        <v>360</v>
      </c>
      <c r="AZ50">
        <v>0</v>
      </c>
      <c r="BA50">
        <v>0</v>
      </c>
      <c r="BB50">
        <v>270</v>
      </c>
      <c r="BC50">
        <v>360</v>
      </c>
      <c r="BD50">
        <v>360</v>
      </c>
      <c r="BE50">
        <v>360</v>
      </c>
      <c r="BF50">
        <v>360</v>
      </c>
      <c r="BG50">
        <v>360</v>
      </c>
      <c r="BH50">
        <v>135</v>
      </c>
      <c r="BI50">
        <v>0</v>
      </c>
      <c r="BJ50">
        <v>0</v>
      </c>
      <c r="BK50">
        <v>315</v>
      </c>
      <c r="BL50">
        <v>392.72727272727269</v>
      </c>
      <c r="BM50">
        <v>360</v>
      </c>
      <c r="BN50">
        <v>390</v>
      </c>
      <c r="BO50">
        <v>360</v>
      </c>
      <c r="BP50">
        <v>135</v>
      </c>
      <c r="BQ50">
        <f>(I50+J50+N50+O50)/4</f>
        <v>9.8333333333333321</v>
      </c>
      <c r="BR50">
        <f>(K50+L50+M50)/3</f>
        <v>5.8888888888888893</v>
      </c>
      <c r="BS50">
        <f>BQ50/BR50</f>
        <v>1.6698113207547167</v>
      </c>
      <c r="BT50">
        <f>AQ50/I50</f>
        <v>90.000000000000028</v>
      </c>
      <c r="BU50" t="str">
        <f>IF(OR(A50=2, A50=12), "Central", IF(A50=3, "Semi-Central", "Periférica"))</f>
        <v>Periférica</v>
      </c>
    </row>
    <row r="51" spans="1:73" x14ac:dyDescent="0.3">
      <c r="A51" s="1">
        <v>3</v>
      </c>
      <c r="B51" s="1" t="s">
        <v>392</v>
      </c>
      <c r="C51" s="1" t="s">
        <v>392</v>
      </c>
      <c r="D51" t="s">
        <v>5</v>
      </c>
      <c r="E51" t="s">
        <v>0</v>
      </c>
      <c r="F51">
        <v>0</v>
      </c>
      <c r="G51">
        <v>1.3333333333333333</v>
      </c>
      <c r="H51">
        <v>13</v>
      </c>
      <c r="I51">
        <v>16</v>
      </c>
      <c r="J51">
        <v>10.666666666666666</v>
      </c>
      <c r="K51">
        <v>7.333333333333333</v>
      </c>
      <c r="L51">
        <v>6.666666666666667</v>
      </c>
      <c r="M51">
        <v>7.2</v>
      </c>
      <c r="N51">
        <v>10.5</v>
      </c>
      <c r="O51">
        <v>10</v>
      </c>
      <c r="P51">
        <v>4.666666666666667</v>
      </c>
      <c r="Q51">
        <v>2</v>
      </c>
      <c r="R51">
        <v>0</v>
      </c>
      <c r="S51">
        <v>0</v>
      </c>
      <c r="T51">
        <v>6</v>
      </c>
      <c r="U51">
        <v>7.2</v>
      </c>
      <c r="V51">
        <v>6</v>
      </c>
      <c r="W51">
        <v>5</v>
      </c>
      <c r="X51">
        <v>4.8888888888888893</v>
      </c>
      <c r="Y51">
        <v>3.6</v>
      </c>
      <c r="Z51">
        <v>1.5</v>
      </c>
      <c r="AA51">
        <v>0</v>
      </c>
      <c r="AB51">
        <v>0</v>
      </c>
      <c r="AC51">
        <v>4.5</v>
      </c>
      <c r="AD51">
        <v>4.1818181818181817</v>
      </c>
      <c r="AE51">
        <v>3.8</v>
      </c>
      <c r="AF51">
        <v>3</v>
      </c>
      <c r="AG51">
        <v>3</v>
      </c>
      <c r="AH51">
        <v>1.5</v>
      </c>
      <c r="AI51" s="1">
        <v>3</v>
      </c>
      <c r="AJ51" s="1" t="s">
        <v>392</v>
      </c>
      <c r="AK51" s="1" t="s">
        <v>392</v>
      </c>
      <c r="AL51" t="s">
        <v>5</v>
      </c>
      <c r="AM51" t="s">
        <v>0</v>
      </c>
      <c r="AN51">
        <v>0</v>
      </c>
      <c r="AO51">
        <v>124</v>
      </c>
      <c r="AP51">
        <v>1184</v>
      </c>
      <c r="AQ51">
        <v>1481.3333333333333</v>
      </c>
      <c r="AR51">
        <v>982</v>
      </c>
      <c r="AS51">
        <v>675.33333333333337</v>
      </c>
      <c r="AT51">
        <v>610</v>
      </c>
      <c r="AU51">
        <v>661.6</v>
      </c>
      <c r="AV51">
        <v>969</v>
      </c>
      <c r="AW51">
        <v>922.5</v>
      </c>
      <c r="AX51">
        <v>424</v>
      </c>
      <c r="AY51">
        <v>186</v>
      </c>
      <c r="AZ51">
        <v>0</v>
      </c>
      <c r="BA51">
        <v>0</v>
      </c>
      <c r="BB51">
        <v>553</v>
      </c>
      <c r="BC51">
        <v>659.6</v>
      </c>
      <c r="BD51">
        <v>551.33333333333337</v>
      </c>
      <c r="BE51">
        <v>456.66666666666669</v>
      </c>
      <c r="BF51">
        <v>450.22222222222223</v>
      </c>
      <c r="BG51">
        <v>330.8</v>
      </c>
      <c r="BH51">
        <v>137</v>
      </c>
      <c r="BI51">
        <v>0</v>
      </c>
      <c r="BJ51">
        <v>0</v>
      </c>
      <c r="BK51">
        <v>396</v>
      </c>
      <c r="BL51">
        <v>368</v>
      </c>
      <c r="BM51">
        <v>334.4</v>
      </c>
      <c r="BN51">
        <v>264</v>
      </c>
      <c r="BO51">
        <v>264</v>
      </c>
      <c r="BP51">
        <v>132</v>
      </c>
      <c r="BQ51">
        <f>(I51+J51+N51+O51)/4</f>
        <v>11.791666666666666</v>
      </c>
      <c r="BR51">
        <f>(K51+L51+M51)/3</f>
        <v>7.0666666666666664</v>
      </c>
      <c r="BS51">
        <f>BQ51/BR51</f>
        <v>1.6686320754716981</v>
      </c>
      <c r="BT51">
        <f>AQ51/I51</f>
        <v>92.583333333333329</v>
      </c>
      <c r="BU51" t="str">
        <f>IF(OR(A51=2, A51=12), "Central", IF(A51=3, "Semi-Central", "Periférica"))</f>
        <v>Semi-Central</v>
      </c>
    </row>
    <row r="52" spans="1:73" x14ac:dyDescent="0.3">
      <c r="A52" s="1">
        <v>8</v>
      </c>
      <c r="B52" s="1">
        <v>813</v>
      </c>
      <c r="C52" s="1" t="s">
        <v>159</v>
      </c>
      <c r="D52" t="s">
        <v>5</v>
      </c>
      <c r="F52">
        <v>0</v>
      </c>
      <c r="G52">
        <v>0</v>
      </c>
      <c r="H52">
        <v>10</v>
      </c>
      <c r="I52">
        <v>13.33333333333333</v>
      </c>
      <c r="J52">
        <v>6.666666666666667</v>
      </c>
      <c r="K52">
        <v>6</v>
      </c>
      <c r="L52">
        <v>6</v>
      </c>
      <c r="M52">
        <v>6</v>
      </c>
      <c r="N52">
        <v>12</v>
      </c>
      <c r="O52">
        <v>8</v>
      </c>
      <c r="P52">
        <v>6</v>
      </c>
      <c r="Q52">
        <v>3.5</v>
      </c>
      <c r="R52">
        <v>0</v>
      </c>
      <c r="S52">
        <v>0</v>
      </c>
      <c r="T52">
        <v>5</v>
      </c>
      <c r="U52">
        <v>6</v>
      </c>
      <c r="V52">
        <v>5</v>
      </c>
      <c r="W52">
        <v>5</v>
      </c>
      <c r="X52">
        <v>4.8888888888888893</v>
      </c>
      <c r="Y52">
        <v>4</v>
      </c>
      <c r="Z52">
        <v>3</v>
      </c>
      <c r="AA52">
        <v>0</v>
      </c>
      <c r="AB52">
        <v>0</v>
      </c>
      <c r="AC52">
        <v>4</v>
      </c>
      <c r="AD52">
        <v>4</v>
      </c>
      <c r="AE52">
        <v>4</v>
      </c>
      <c r="AF52">
        <v>4</v>
      </c>
      <c r="AG52">
        <v>4</v>
      </c>
      <c r="AH52">
        <v>3</v>
      </c>
      <c r="AI52" s="1">
        <v>8</v>
      </c>
      <c r="AJ52" s="1">
        <v>813</v>
      </c>
      <c r="AK52" s="1" t="s">
        <v>159</v>
      </c>
      <c r="AL52" t="s">
        <v>5</v>
      </c>
      <c r="AN52">
        <v>0</v>
      </c>
      <c r="AO52">
        <v>0</v>
      </c>
      <c r="AP52">
        <v>900</v>
      </c>
      <c r="AQ52">
        <v>1200</v>
      </c>
      <c r="AR52">
        <v>600</v>
      </c>
      <c r="AS52">
        <v>540</v>
      </c>
      <c r="AT52">
        <v>540</v>
      </c>
      <c r="AU52">
        <v>540</v>
      </c>
      <c r="AV52">
        <v>1080</v>
      </c>
      <c r="AW52">
        <v>720</v>
      </c>
      <c r="AX52">
        <v>540</v>
      </c>
      <c r="AY52">
        <v>315</v>
      </c>
      <c r="AZ52">
        <v>0</v>
      </c>
      <c r="BA52">
        <v>0</v>
      </c>
      <c r="BB52">
        <v>450</v>
      </c>
      <c r="BC52">
        <v>540</v>
      </c>
      <c r="BD52">
        <v>450</v>
      </c>
      <c r="BE52">
        <v>450</v>
      </c>
      <c r="BF52">
        <v>440</v>
      </c>
      <c r="BG52">
        <v>360</v>
      </c>
      <c r="BH52">
        <v>270</v>
      </c>
      <c r="BI52">
        <v>0</v>
      </c>
      <c r="BJ52">
        <v>0</v>
      </c>
      <c r="BK52">
        <v>360</v>
      </c>
      <c r="BL52">
        <v>360</v>
      </c>
      <c r="BM52">
        <v>360</v>
      </c>
      <c r="BN52">
        <v>360</v>
      </c>
      <c r="BO52">
        <v>360</v>
      </c>
      <c r="BP52">
        <v>270</v>
      </c>
      <c r="BQ52">
        <f>(I52+J52+N52+O52)/4</f>
        <v>10</v>
      </c>
      <c r="BR52">
        <f>(K52+L52+M52)/3</f>
        <v>6</v>
      </c>
      <c r="BS52">
        <f>BQ52/BR52</f>
        <v>1.6666666666666667</v>
      </c>
      <c r="BT52">
        <f>AQ52/I52</f>
        <v>90.000000000000014</v>
      </c>
      <c r="BU52" t="str">
        <f>IF(OR(A52=2, A52=12), "Central", IF(A52=3, "Semi-Central", "Periférica"))</f>
        <v>Periférica</v>
      </c>
    </row>
    <row r="53" spans="1:73" x14ac:dyDescent="0.3">
      <c r="A53" s="1">
        <v>5</v>
      </c>
      <c r="B53" s="1" t="s">
        <v>394</v>
      </c>
      <c r="C53" s="1" t="s">
        <v>393</v>
      </c>
      <c r="D53" t="s">
        <v>1</v>
      </c>
      <c r="E53" t="s">
        <v>0</v>
      </c>
      <c r="F53">
        <v>0</v>
      </c>
      <c r="G53">
        <v>0</v>
      </c>
      <c r="H53">
        <v>3</v>
      </c>
      <c r="I53">
        <v>8</v>
      </c>
      <c r="J53">
        <v>6.666666666666667</v>
      </c>
      <c r="K53">
        <v>4</v>
      </c>
      <c r="L53">
        <v>4</v>
      </c>
      <c r="M53">
        <v>5.2</v>
      </c>
      <c r="N53">
        <v>6.5</v>
      </c>
      <c r="O53">
        <v>7.5</v>
      </c>
      <c r="P53">
        <v>3.3333333333333335</v>
      </c>
      <c r="Q53">
        <v>0</v>
      </c>
      <c r="R53">
        <v>0</v>
      </c>
      <c r="S53">
        <v>0</v>
      </c>
      <c r="T53">
        <v>0</v>
      </c>
      <c r="U53">
        <v>4</v>
      </c>
      <c r="V53">
        <v>4.333333333333333</v>
      </c>
      <c r="W53">
        <v>4.333333333333333</v>
      </c>
      <c r="X53">
        <v>4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3.2727272727272729</v>
      </c>
      <c r="AE53">
        <v>4</v>
      </c>
      <c r="AF53">
        <v>3.6666666666666665</v>
      </c>
      <c r="AG53">
        <v>0</v>
      </c>
      <c r="AH53">
        <v>0</v>
      </c>
      <c r="AI53" s="1">
        <v>5</v>
      </c>
      <c r="AJ53" s="1" t="s">
        <v>394</v>
      </c>
      <c r="AK53" s="1" t="s">
        <v>393</v>
      </c>
      <c r="AL53" t="s">
        <v>1</v>
      </c>
      <c r="AM53" t="s">
        <v>0</v>
      </c>
      <c r="AN53">
        <v>0</v>
      </c>
      <c r="AO53">
        <v>0</v>
      </c>
      <c r="AP53">
        <v>243</v>
      </c>
      <c r="AQ53">
        <v>648</v>
      </c>
      <c r="AR53">
        <v>540</v>
      </c>
      <c r="AS53">
        <v>324</v>
      </c>
      <c r="AT53">
        <v>324</v>
      </c>
      <c r="AU53">
        <v>421.2</v>
      </c>
      <c r="AV53">
        <v>526.5</v>
      </c>
      <c r="AW53">
        <v>607.5</v>
      </c>
      <c r="AX53">
        <v>270</v>
      </c>
      <c r="AY53">
        <v>0</v>
      </c>
      <c r="AZ53">
        <v>0</v>
      </c>
      <c r="BA53">
        <v>0</v>
      </c>
      <c r="BB53">
        <v>0</v>
      </c>
      <c r="BC53">
        <v>324</v>
      </c>
      <c r="BD53">
        <v>351</v>
      </c>
      <c r="BE53">
        <v>351</v>
      </c>
      <c r="BF53">
        <v>324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265.09090909090907</v>
      </c>
      <c r="BM53">
        <v>324</v>
      </c>
      <c r="BN53">
        <v>297</v>
      </c>
      <c r="BO53">
        <v>0</v>
      </c>
      <c r="BP53">
        <v>0</v>
      </c>
      <c r="BQ53">
        <f>(I53+J53+N53+O53)/4</f>
        <v>7.166666666666667</v>
      </c>
      <c r="BR53">
        <f>(K53+L53+M53)/3</f>
        <v>4.3999999999999995</v>
      </c>
      <c r="BS53">
        <f>BQ53/BR53</f>
        <v>1.6287878787878791</v>
      </c>
      <c r="BT53">
        <f>AQ53/I53</f>
        <v>81</v>
      </c>
      <c r="BU53" t="str">
        <f>IF(OR(A53=2, A53=12), "Central", IF(A53=3, "Semi-Central", "Periférica"))</f>
        <v>Periférica</v>
      </c>
    </row>
    <row r="54" spans="1:73" x14ac:dyDescent="0.3">
      <c r="A54" s="1">
        <v>4</v>
      </c>
      <c r="B54" s="1">
        <v>465</v>
      </c>
      <c r="C54" s="1" t="s">
        <v>385</v>
      </c>
      <c r="D54" t="s">
        <v>5</v>
      </c>
      <c r="E54" t="s">
        <v>0</v>
      </c>
      <c r="F54">
        <v>0</v>
      </c>
      <c r="G54">
        <v>0.88888888888888884</v>
      </c>
      <c r="H54">
        <v>10</v>
      </c>
      <c r="I54">
        <v>10.666666666666666</v>
      </c>
      <c r="J54">
        <v>9.3333333333333339</v>
      </c>
      <c r="K54">
        <v>5</v>
      </c>
      <c r="L54">
        <v>5.333333333333333</v>
      </c>
      <c r="M54">
        <v>6.4</v>
      </c>
      <c r="N54">
        <v>8</v>
      </c>
      <c r="O54">
        <v>8</v>
      </c>
      <c r="P54">
        <v>5.333333333333333</v>
      </c>
      <c r="Q54">
        <v>2</v>
      </c>
      <c r="R54">
        <v>0</v>
      </c>
      <c r="S54">
        <v>0.88888888888888884</v>
      </c>
      <c r="T54">
        <v>5</v>
      </c>
      <c r="U54">
        <v>4.8</v>
      </c>
      <c r="V54">
        <v>6.333333333333333</v>
      </c>
      <c r="W54">
        <v>6</v>
      </c>
      <c r="X54">
        <v>5.333333333333333</v>
      </c>
      <c r="Y54">
        <v>5.6</v>
      </c>
      <c r="Z54">
        <v>2.5</v>
      </c>
      <c r="AA54">
        <v>0</v>
      </c>
      <c r="AB54">
        <v>0.44444444444444442</v>
      </c>
      <c r="AC54">
        <v>4</v>
      </c>
      <c r="AD54">
        <v>4.9090909090909092</v>
      </c>
      <c r="AE54">
        <v>4.8</v>
      </c>
      <c r="AF54">
        <v>4.666666666666667</v>
      </c>
      <c r="AG54">
        <v>5</v>
      </c>
      <c r="AH54">
        <v>2</v>
      </c>
      <c r="AI54" s="1">
        <v>4</v>
      </c>
      <c r="AJ54" s="1">
        <v>465</v>
      </c>
      <c r="AK54" s="1" t="s">
        <v>385</v>
      </c>
      <c r="AL54" t="s">
        <v>5</v>
      </c>
      <c r="AM54" t="s">
        <v>0</v>
      </c>
      <c r="AN54">
        <v>0</v>
      </c>
      <c r="AO54">
        <v>88</v>
      </c>
      <c r="AP54">
        <v>990</v>
      </c>
      <c r="AQ54">
        <v>1056</v>
      </c>
      <c r="AR54">
        <v>924</v>
      </c>
      <c r="AS54">
        <v>495</v>
      </c>
      <c r="AT54">
        <v>528</v>
      </c>
      <c r="AU54">
        <v>633.6</v>
      </c>
      <c r="AV54">
        <v>792</v>
      </c>
      <c r="AW54">
        <v>792</v>
      </c>
      <c r="AX54">
        <v>528</v>
      </c>
      <c r="AY54">
        <v>198</v>
      </c>
      <c r="AZ54">
        <v>0</v>
      </c>
      <c r="BA54">
        <v>88</v>
      </c>
      <c r="BB54">
        <v>495</v>
      </c>
      <c r="BC54">
        <v>475.2</v>
      </c>
      <c r="BD54">
        <v>627</v>
      </c>
      <c r="BE54">
        <v>594</v>
      </c>
      <c r="BF54">
        <v>528</v>
      </c>
      <c r="BG54">
        <v>554.4</v>
      </c>
      <c r="BH54">
        <v>247.5</v>
      </c>
      <c r="BI54">
        <v>0</v>
      </c>
      <c r="BJ54">
        <v>44</v>
      </c>
      <c r="BK54">
        <v>396</v>
      </c>
      <c r="BL54">
        <v>486</v>
      </c>
      <c r="BM54">
        <v>475.2</v>
      </c>
      <c r="BN54">
        <v>462</v>
      </c>
      <c r="BO54">
        <v>495</v>
      </c>
      <c r="BP54">
        <v>198</v>
      </c>
      <c r="BQ54">
        <f>(I54+J54+N54+O54)/4</f>
        <v>9</v>
      </c>
      <c r="BR54">
        <f>(K54+L54+M54)/3</f>
        <v>5.5777777777777784</v>
      </c>
      <c r="BS54">
        <f>BQ54/BR54</f>
        <v>1.6135458167330676</v>
      </c>
      <c r="BT54">
        <f>AQ54/I54</f>
        <v>99</v>
      </c>
      <c r="BU54" t="str">
        <f>IF(OR(A54=2, A54=12), "Central", IF(A54=3, "Semi-Central", "Periférica"))</f>
        <v>Periférica</v>
      </c>
    </row>
    <row r="55" spans="1:73" x14ac:dyDescent="0.3">
      <c r="A55" s="1">
        <v>14</v>
      </c>
      <c r="B55" s="1">
        <v>1415</v>
      </c>
      <c r="C55" s="1">
        <v>405</v>
      </c>
      <c r="D55" t="s">
        <v>5</v>
      </c>
      <c r="F55">
        <v>2</v>
      </c>
      <c r="G55">
        <v>2.666666666666667</v>
      </c>
      <c r="H55">
        <v>13</v>
      </c>
      <c r="I55">
        <v>14</v>
      </c>
      <c r="J55">
        <v>8.6666666666666661</v>
      </c>
      <c r="K55">
        <v>5.666666666666667</v>
      </c>
      <c r="L55">
        <v>5.333333333333333</v>
      </c>
      <c r="M55">
        <v>5.2</v>
      </c>
      <c r="N55">
        <v>6.5</v>
      </c>
      <c r="O55">
        <v>5</v>
      </c>
      <c r="P55">
        <v>4</v>
      </c>
      <c r="Q55">
        <v>3</v>
      </c>
      <c r="R55">
        <v>2</v>
      </c>
      <c r="S55">
        <v>2.2222222222222219</v>
      </c>
      <c r="T55">
        <v>8</v>
      </c>
      <c r="U55">
        <v>7.6</v>
      </c>
      <c r="V55">
        <v>6</v>
      </c>
      <c r="W55">
        <v>6.333333333333333</v>
      </c>
      <c r="X55">
        <v>5.1111111111111107</v>
      </c>
      <c r="Y55">
        <v>4.4000000000000004</v>
      </c>
      <c r="Z55">
        <v>3</v>
      </c>
      <c r="AA55">
        <v>2</v>
      </c>
      <c r="AB55">
        <v>2</v>
      </c>
      <c r="AC55">
        <v>7</v>
      </c>
      <c r="AD55">
        <v>5.4545454545454541</v>
      </c>
      <c r="AE55">
        <v>5</v>
      </c>
      <c r="AF55">
        <v>4.666666666666667</v>
      </c>
      <c r="AG55">
        <v>3</v>
      </c>
      <c r="AH55">
        <v>2.5</v>
      </c>
      <c r="AI55" s="1">
        <v>14</v>
      </c>
      <c r="AJ55" s="1">
        <v>1415</v>
      </c>
      <c r="AK55" s="1">
        <v>405</v>
      </c>
      <c r="AL55" t="s">
        <v>5</v>
      </c>
      <c r="AN55">
        <v>300</v>
      </c>
      <c r="AO55">
        <v>400</v>
      </c>
      <c r="AP55">
        <v>1950</v>
      </c>
      <c r="AQ55">
        <v>2100</v>
      </c>
      <c r="AR55">
        <v>1300</v>
      </c>
      <c r="AS55">
        <v>850</v>
      </c>
      <c r="AT55">
        <v>800</v>
      </c>
      <c r="AU55">
        <v>780</v>
      </c>
      <c r="AV55">
        <v>975</v>
      </c>
      <c r="AW55">
        <v>750</v>
      </c>
      <c r="AX55">
        <v>600</v>
      </c>
      <c r="AY55">
        <v>450</v>
      </c>
      <c r="AZ55">
        <v>300</v>
      </c>
      <c r="BA55">
        <v>333.33333333333331</v>
      </c>
      <c r="BB55">
        <v>1200</v>
      </c>
      <c r="BC55">
        <v>1140</v>
      </c>
      <c r="BD55">
        <v>900</v>
      </c>
      <c r="BE55">
        <v>950</v>
      </c>
      <c r="BF55">
        <v>766.66666666666663</v>
      </c>
      <c r="BG55">
        <v>660</v>
      </c>
      <c r="BH55">
        <v>450</v>
      </c>
      <c r="BI55">
        <v>180</v>
      </c>
      <c r="BJ55">
        <v>180</v>
      </c>
      <c r="BK55">
        <v>630</v>
      </c>
      <c r="BL55">
        <v>490.90909090909088</v>
      </c>
      <c r="BM55">
        <v>450</v>
      </c>
      <c r="BN55">
        <v>420</v>
      </c>
      <c r="BO55">
        <v>270</v>
      </c>
      <c r="BP55">
        <v>315</v>
      </c>
      <c r="BQ55">
        <f>(I55+J55+N55+O55)/4</f>
        <v>8.5416666666666661</v>
      </c>
      <c r="BR55">
        <f>(K55+L55+M55)/3</f>
        <v>5.3999999999999995</v>
      </c>
      <c r="BS55">
        <f>BQ55/BR55</f>
        <v>1.5817901234567902</v>
      </c>
      <c r="BT55">
        <f>AQ55/I55</f>
        <v>150</v>
      </c>
      <c r="BU55" t="str">
        <f>IF(OR(A55=2, A55=12), "Central", IF(A55=3, "Semi-Central", "Periférica"))</f>
        <v>Periférica</v>
      </c>
    </row>
    <row r="56" spans="1:73" x14ac:dyDescent="0.3">
      <c r="A56" s="1">
        <v>15</v>
      </c>
      <c r="B56" s="1">
        <v>1541</v>
      </c>
      <c r="C56" s="1" t="s">
        <v>386</v>
      </c>
      <c r="D56" t="s">
        <v>5</v>
      </c>
      <c r="E56" t="s">
        <v>0</v>
      </c>
      <c r="F56">
        <v>0</v>
      </c>
      <c r="G56">
        <v>0.66666666666666663</v>
      </c>
      <c r="H56">
        <v>7</v>
      </c>
      <c r="I56">
        <v>11.33333333333333</v>
      </c>
      <c r="J56">
        <v>8</v>
      </c>
      <c r="K56">
        <v>5.666666666666667</v>
      </c>
      <c r="L56">
        <v>5.333333333333333</v>
      </c>
      <c r="M56">
        <v>6.4</v>
      </c>
      <c r="N56">
        <v>9</v>
      </c>
      <c r="O56">
        <v>8</v>
      </c>
      <c r="P56">
        <v>5.333333333333333</v>
      </c>
      <c r="Q56">
        <v>4</v>
      </c>
      <c r="R56">
        <v>0</v>
      </c>
      <c r="S56">
        <v>0.44444444444444442</v>
      </c>
      <c r="T56">
        <v>4</v>
      </c>
      <c r="U56">
        <v>4.4000000000000004</v>
      </c>
      <c r="V56">
        <v>4</v>
      </c>
      <c r="W56">
        <v>4</v>
      </c>
      <c r="X56">
        <v>4.4444444444444446</v>
      </c>
      <c r="Y56">
        <v>4.4000000000000004</v>
      </c>
      <c r="Z56">
        <v>3</v>
      </c>
      <c r="AA56">
        <v>0</v>
      </c>
      <c r="AB56">
        <v>0.44444444444444442</v>
      </c>
      <c r="AC56">
        <v>3.5</v>
      </c>
      <c r="AD56">
        <v>4</v>
      </c>
      <c r="AE56">
        <v>4</v>
      </c>
      <c r="AF56">
        <v>3.666666666666667</v>
      </c>
      <c r="AG56">
        <v>3</v>
      </c>
      <c r="AH56">
        <v>3</v>
      </c>
      <c r="AI56" s="1">
        <v>15</v>
      </c>
      <c r="AJ56" s="1">
        <v>1541</v>
      </c>
      <c r="AK56" s="1" t="s">
        <v>386</v>
      </c>
      <c r="AL56" t="s">
        <v>5</v>
      </c>
      <c r="AM56" t="s">
        <v>0</v>
      </c>
      <c r="AN56">
        <v>0</v>
      </c>
      <c r="AO56">
        <v>60</v>
      </c>
      <c r="AP56">
        <v>630</v>
      </c>
      <c r="AQ56">
        <v>1020</v>
      </c>
      <c r="AR56">
        <v>720</v>
      </c>
      <c r="AS56">
        <v>510</v>
      </c>
      <c r="AT56">
        <v>480</v>
      </c>
      <c r="AU56">
        <v>576</v>
      </c>
      <c r="AV56">
        <v>810</v>
      </c>
      <c r="AW56">
        <v>720</v>
      </c>
      <c r="AX56">
        <v>480</v>
      </c>
      <c r="AY56">
        <v>360</v>
      </c>
      <c r="AZ56">
        <v>0</v>
      </c>
      <c r="BA56">
        <v>40</v>
      </c>
      <c r="BB56">
        <v>360</v>
      </c>
      <c r="BC56">
        <v>396</v>
      </c>
      <c r="BD56">
        <v>360</v>
      </c>
      <c r="BE56">
        <v>360</v>
      </c>
      <c r="BF56">
        <v>400</v>
      </c>
      <c r="BG56">
        <v>396</v>
      </c>
      <c r="BH56">
        <v>270</v>
      </c>
      <c r="BI56">
        <v>0</v>
      </c>
      <c r="BJ56">
        <v>40</v>
      </c>
      <c r="BK56">
        <v>315</v>
      </c>
      <c r="BL56">
        <v>360</v>
      </c>
      <c r="BM56">
        <v>360</v>
      </c>
      <c r="BN56">
        <v>330</v>
      </c>
      <c r="BO56">
        <v>270</v>
      </c>
      <c r="BP56">
        <v>270</v>
      </c>
      <c r="BQ56">
        <f>(I56+J56+N56+O56)/4</f>
        <v>9.0833333333333321</v>
      </c>
      <c r="BR56">
        <f>(K56+L56+M56)/3</f>
        <v>5.8</v>
      </c>
      <c r="BS56">
        <f>BQ56/BR56</f>
        <v>1.5660919540229883</v>
      </c>
      <c r="BT56">
        <f>AQ56/I56</f>
        <v>90.000000000000028</v>
      </c>
      <c r="BU56" t="str">
        <f>IF(OR(A56=2, A56=12), "Central", IF(A56=3, "Semi-Central", "Periférica"))</f>
        <v>Periférica</v>
      </c>
    </row>
    <row r="57" spans="1:73" x14ac:dyDescent="0.3">
      <c r="A57" s="1">
        <v>13</v>
      </c>
      <c r="B57" s="1">
        <v>1344</v>
      </c>
      <c r="C57" s="1">
        <v>444</v>
      </c>
      <c r="D57" t="s">
        <v>5</v>
      </c>
      <c r="F57">
        <v>0</v>
      </c>
      <c r="G57">
        <v>0</v>
      </c>
      <c r="H57">
        <v>6</v>
      </c>
      <c r="I57">
        <v>5.333333333333333</v>
      </c>
      <c r="J57">
        <v>4</v>
      </c>
      <c r="K57">
        <v>3</v>
      </c>
      <c r="L57">
        <v>3.333333333333333</v>
      </c>
      <c r="M57">
        <v>2.8</v>
      </c>
      <c r="N57">
        <v>5</v>
      </c>
      <c r="O57">
        <v>4.5</v>
      </c>
      <c r="P57">
        <v>3.333333333333333</v>
      </c>
      <c r="Q57">
        <v>1</v>
      </c>
      <c r="R57">
        <v>0</v>
      </c>
      <c r="S57">
        <v>0</v>
      </c>
      <c r="T57">
        <v>2</v>
      </c>
      <c r="U57">
        <v>3.2</v>
      </c>
      <c r="V57">
        <v>3</v>
      </c>
      <c r="W57">
        <v>3</v>
      </c>
      <c r="X57">
        <v>3.1111111111111112</v>
      </c>
      <c r="Y57">
        <v>2.8</v>
      </c>
      <c r="Z57">
        <v>1.5</v>
      </c>
      <c r="AA57">
        <v>0</v>
      </c>
      <c r="AB57">
        <v>0</v>
      </c>
      <c r="AC57">
        <v>1.5</v>
      </c>
      <c r="AD57">
        <v>3.0909090909090908</v>
      </c>
      <c r="AE57">
        <v>3</v>
      </c>
      <c r="AF57">
        <v>3</v>
      </c>
      <c r="AG57">
        <v>3</v>
      </c>
      <c r="AH57">
        <v>1</v>
      </c>
      <c r="AI57" s="1">
        <v>13</v>
      </c>
      <c r="AJ57" s="1">
        <v>1344</v>
      </c>
      <c r="AK57" s="1">
        <v>444</v>
      </c>
      <c r="AL57" t="s">
        <v>5</v>
      </c>
      <c r="AN57">
        <v>0</v>
      </c>
      <c r="AO57">
        <v>0</v>
      </c>
      <c r="AP57">
        <v>540</v>
      </c>
      <c r="AQ57">
        <v>480</v>
      </c>
      <c r="AR57">
        <v>360</v>
      </c>
      <c r="AS57">
        <v>270</v>
      </c>
      <c r="AT57">
        <v>300</v>
      </c>
      <c r="AU57">
        <v>252</v>
      </c>
      <c r="AV57">
        <v>450</v>
      </c>
      <c r="AW57">
        <v>405</v>
      </c>
      <c r="AX57">
        <v>300</v>
      </c>
      <c r="AY57">
        <v>90</v>
      </c>
      <c r="AZ57">
        <v>0</v>
      </c>
      <c r="BA57">
        <v>0</v>
      </c>
      <c r="BB57">
        <v>180</v>
      </c>
      <c r="BC57">
        <v>288</v>
      </c>
      <c r="BD57">
        <v>270</v>
      </c>
      <c r="BE57">
        <v>270</v>
      </c>
      <c r="BF57">
        <v>280</v>
      </c>
      <c r="BG57">
        <v>252</v>
      </c>
      <c r="BH57">
        <v>135</v>
      </c>
      <c r="BI57">
        <v>0</v>
      </c>
      <c r="BJ57">
        <v>0</v>
      </c>
      <c r="BK57">
        <v>135</v>
      </c>
      <c r="BL57">
        <v>278.18181818181819</v>
      </c>
      <c r="BM57">
        <v>270</v>
      </c>
      <c r="BN57">
        <v>270</v>
      </c>
      <c r="BO57">
        <v>270</v>
      </c>
      <c r="BP57">
        <v>90</v>
      </c>
      <c r="BQ57">
        <f>(I57+J57+N57+O57)/4</f>
        <v>4.708333333333333</v>
      </c>
      <c r="BR57">
        <f>(K57+L57+M57)/3</f>
        <v>3.0444444444444443</v>
      </c>
      <c r="BS57">
        <f>BQ57/BR57</f>
        <v>1.5465328467153285</v>
      </c>
      <c r="BT57">
        <f>AQ57/I57</f>
        <v>90</v>
      </c>
      <c r="BU57" t="str">
        <f>IF(OR(A57=2, A57=12), "Central", IF(A57=3, "Semi-Central", "Periférica"))</f>
        <v>Periférica</v>
      </c>
    </row>
    <row r="58" spans="1:73" x14ac:dyDescent="0.3">
      <c r="A58" s="1">
        <v>5</v>
      </c>
      <c r="B58" s="1">
        <v>532</v>
      </c>
      <c r="C58" s="1" t="s">
        <v>389</v>
      </c>
      <c r="D58" t="s">
        <v>5</v>
      </c>
      <c r="E58" t="s">
        <v>0</v>
      </c>
      <c r="F58">
        <v>0</v>
      </c>
      <c r="G58">
        <v>0</v>
      </c>
      <c r="H58">
        <v>3</v>
      </c>
      <c r="I58">
        <v>8</v>
      </c>
      <c r="J58">
        <v>6</v>
      </c>
      <c r="K58">
        <v>3.3333333333333335</v>
      </c>
      <c r="L58">
        <v>4</v>
      </c>
      <c r="M58">
        <v>4.8</v>
      </c>
      <c r="N58">
        <v>6</v>
      </c>
      <c r="O58">
        <v>5</v>
      </c>
      <c r="P58">
        <v>4</v>
      </c>
      <c r="Q58">
        <v>2.5</v>
      </c>
      <c r="R58">
        <v>0</v>
      </c>
      <c r="S58">
        <v>0</v>
      </c>
      <c r="T58">
        <v>2</v>
      </c>
      <c r="U58">
        <v>2</v>
      </c>
      <c r="V58">
        <v>2.3333333333333335</v>
      </c>
      <c r="W58">
        <v>2.6666666666666665</v>
      </c>
      <c r="X58">
        <v>2.6666666666666665</v>
      </c>
      <c r="Y58">
        <v>2</v>
      </c>
      <c r="Z58">
        <v>2</v>
      </c>
      <c r="AA58">
        <v>0</v>
      </c>
      <c r="AB58">
        <v>0</v>
      </c>
      <c r="AC58">
        <v>2.5</v>
      </c>
      <c r="AD58">
        <v>2</v>
      </c>
      <c r="AE58">
        <v>2</v>
      </c>
      <c r="AF58">
        <v>1.6666666666666667</v>
      </c>
      <c r="AG58">
        <v>2</v>
      </c>
      <c r="AH58">
        <v>2</v>
      </c>
      <c r="AI58" s="1">
        <v>5</v>
      </c>
      <c r="AJ58" s="1">
        <v>532</v>
      </c>
      <c r="AK58" s="1" t="s">
        <v>389</v>
      </c>
      <c r="AL58" t="s">
        <v>5</v>
      </c>
      <c r="AM58" t="s">
        <v>0</v>
      </c>
      <c r="AN58">
        <v>0</v>
      </c>
      <c r="AO58">
        <v>0</v>
      </c>
      <c r="AP58">
        <v>243</v>
      </c>
      <c r="AQ58">
        <v>648</v>
      </c>
      <c r="AR58">
        <v>486</v>
      </c>
      <c r="AS58">
        <v>270</v>
      </c>
      <c r="AT58">
        <v>324</v>
      </c>
      <c r="AU58">
        <v>388.8</v>
      </c>
      <c r="AV58">
        <v>486</v>
      </c>
      <c r="AW58">
        <v>405</v>
      </c>
      <c r="AX58">
        <v>324</v>
      </c>
      <c r="AY58">
        <v>202.5</v>
      </c>
      <c r="AZ58">
        <v>0</v>
      </c>
      <c r="BA58">
        <v>0</v>
      </c>
      <c r="BB58">
        <v>162</v>
      </c>
      <c r="BC58">
        <v>162</v>
      </c>
      <c r="BD58">
        <v>189</v>
      </c>
      <c r="BE58">
        <v>216</v>
      </c>
      <c r="BF58">
        <v>216</v>
      </c>
      <c r="BG58">
        <v>162</v>
      </c>
      <c r="BH58">
        <v>162</v>
      </c>
      <c r="BI58">
        <v>0</v>
      </c>
      <c r="BJ58">
        <v>0</v>
      </c>
      <c r="BK58">
        <v>202.5</v>
      </c>
      <c r="BL58">
        <v>162</v>
      </c>
      <c r="BM58">
        <v>162</v>
      </c>
      <c r="BN58">
        <v>135</v>
      </c>
      <c r="BO58">
        <v>162</v>
      </c>
      <c r="BP58">
        <v>162</v>
      </c>
      <c r="BQ58">
        <f>(I58+J58+N58+O58)/4</f>
        <v>6.25</v>
      </c>
      <c r="BR58">
        <f>(K58+L58+M58)/3</f>
        <v>4.0444444444444443</v>
      </c>
      <c r="BS58">
        <f>BQ58/BR58</f>
        <v>1.5453296703296704</v>
      </c>
      <c r="BT58">
        <f>AQ58/I58</f>
        <v>81</v>
      </c>
      <c r="BU58" t="str">
        <f>IF(OR(A58=2, A58=12), "Central", IF(A58=3, "Semi-Central", "Periférica"))</f>
        <v>Periférica</v>
      </c>
    </row>
    <row r="59" spans="1:73" x14ac:dyDescent="0.3">
      <c r="A59" s="1">
        <v>3</v>
      </c>
      <c r="B59" s="1" t="s">
        <v>392</v>
      </c>
      <c r="C59" s="1" t="s">
        <v>392</v>
      </c>
      <c r="D59" t="s">
        <v>1</v>
      </c>
      <c r="E59" t="s">
        <v>0</v>
      </c>
      <c r="F59">
        <v>0</v>
      </c>
      <c r="G59">
        <v>0</v>
      </c>
      <c r="H59">
        <v>4</v>
      </c>
      <c r="I59">
        <v>14</v>
      </c>
      <c r="J59">
        <v>9.3333333333333339</v>
      </c>
      <c r="K59">
        <v>6.666666666666667</v>
      </c>
      <c r="L59">
        <v>6.666666666666667</v>
      </c>
      <c r="M59">
        <v>8</v>
      </c>
      <c r="N59">
        <v>10.5</v>
      </c>
      <c r="O59">
        <v>10</v>
      </c>
      <c r="P59">
        <v>6</v>
      </c>
      <c r="Q59">
        <v>3.5</v>
      </c>
      <c r="R59">
        <v>0</v>
      </c>
      <c r="S59">
        <v>0</v>
      </c>
      <c r="T59">
        <v>3</v>
      </c>
      <c r="U59">
        <v>3.6</v>
      </c>
      <c r="V59">
        <v>5.333333333333333</v>
      </c>
      <c r="W59">
        <v>5</v>
      </c>
      <c r="X59">
        <v>4.8888888888888893</v>
      </c>
      <c r="Y59">
        <v>3.6</v>
      </c>
      <c r="Z59">
        <v>1.5</v>
      </c>
      <c r="AA59">
        <v>0</v>
      </c>
      <c r="AB59">
        <v>0</v>
      </c>
      <c r="AC59">
        <v>4.5</v>
      </c>
      <c r="AD59">
        <v>4</v>
      </c>
      <c r="AE59">
        <v>3.8</v>
      </c>
      <c r="AF59">
        <v>3</v>
      </c>
      <c r="AG59">
        <v>3</v>
      </c>
      <c r="AH59">
        <v>1.5</v>
      </c>
      <c r="AI59" s="1">
        <v>3</v>
      </c>
      <c r="AJ59" s="1" t="s">
        <v>392</v>
      </c>
      <c r="AK59" s="1" t="s">
        <v>392</v>
      </c>
      <c r="AL59" t="s">
        <v>1</v>
      </c>
      <c r="AM59" t="s">
        <v>0</v>
      </c>
      <c r="AN59">
        <v>0</v>
      </c>
      <c r="AO59">
        <v>0</v>
      </c>
      <c r="AP59">
        <v>372</v>
      </c>
      <c r="AQ59">
        <v>1285.3333333333333</v>
      </c>
      <c r="AR59">
        <v>864.66666666666663</v>
      </c>
      <c r="AS59">
        <v>613.33333333333337</v>
      </c>
      <c r="AT59">
        <v>616.66666666666663</v>
      </c>
      <c r="AU59">
        <v>736</v>
      </c>
      <c r="AV59">
        <v>964</v>
      </c>
      <c r="AW59">
        <v>920</v>
      </c>
      <c r="AX59">
        <v>554.66666666666663</v>
      </c>
      <c r="AY59">
        <v>318</v>
      </c>
      <c r="AZ59">
        <v>0</v>
      </c>
      <c r="BA59">
        <v>0</v>
      </c>
      <c r="BB59">
        <v>274</v>
      </c>
      <c r="BC59">
        <v>330.8</v>
      </c>
      <c r="BD59">
        <v>487.66666666666669</v>
      </c>
      <c r="BE59">
        <v>460</v>
      </c>
      <c r="BF59">
        <v>450.22222222222223</v>
      </c>
      <c r="BG59">
        <v>330.8</v>
      </c>
      <c r="BH59">
        <v>137</v>
      </c>
      <c r="BI59">
        <v>0</v>
      </c>
      <c r="BJ59">
        <v>0</v>
      </c>
      <c r="BK59">
        <v>396</v>
      </c>
      <c r="BL59">
        <v>352</v>
      </c>
      <c r="BM59">
        <v>334.4</v>
      </c>
      <c r="BN59">
        <v>264</v>
      </c>
      <c r="BO59">
        <v>264</v>
      </c>
      <c r="BP59">
        <v>132</v>
      </c>
      <c r="BQ59">
        <f>(I59+J59+N59+O59)/4</f>
        <v>10.958333333333334</v>
      </c>
      <c r="BR59">
        <f>(K59+L59+M59)/3</f>
        <v>7.1111111111111116</v>
      </c>
      <c r="BS59">
        <f>BQ59/BR59</f>
        <v>1.541015625</v>
      </c>
      <c r="BT59">
        <f>AQ59/I59</f>
        <v>91.80952380952381</v>
      </c>
      <c r="BU59" t="str">
        <f>IF(OR(A59=2, A59=12), "Central", IF(A59=3, "Semi-Central", "Periférica"))</f>
        <v>Semi-Central</v>
      </c>
    </row>
    <row r="60" spans="1:73" x14ac:dyDescent="0.3">
      <c r="A60" s="1">
        <v>8</v>
      </c>
      <c r="B60" s="1" t="s">
        <v>375</v>
      </c>
      <c r="C60" s="1" t="s">
        <v>374</v>
      </c>
      <c r="D60" t="s">
        <v>5</v>
      </c>
      <c r="F60">
        <v>0</v>
      </c>
      <c r="G60">
        <v>0</v>
      </c>
      <c r="H60">
        <v>4</v>
      </c>
      <c r="I60">
        <v>6</v>
      </c>
      <c r="J60">
        <v>5.333333333333333</v>
      </c>
      <c r="K60">
        <v>3.666666666666667</v>
      </c>
      <c r="L60">
        <v>3.333333333333333</v>
      </c>
      <c r="M60">
        <v>3.2</v>
      </c>
      <c r="N60">
        <v>5</v>
      </c>
      <c r="O60">
        <v>4.5</v>
      </c>
      <c r="P60">
        <v>3.333333333333333</v>
      </c>
      <c r="Q60">
        <v>2</v>
      </c>
      <c r="R60">
        <v>0</v>
      </c>
      <c r="S60">
        <v>0</v>
      </c>
      <c r="T60">
        <v>2</v>
      </c>
      <c r="U60">
        <v>2</v>
      </c>
      <c r="V60">
        <v>3</v>
      </c>
      <c r="W60">
        <v>2.333333333333333</v>
      </c>
      <c r="X60">
        <v>2</v>
      </c>
      <c r="Y60">
        <v>2</v>
      </c>
      <c r="Z60">
        <v>1.5</v>
      </c>
      <c r="AA60">
        <v>1</v>
      </c>
      <c r="AB60">
        <v>0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2</v>
      </c>
      <c r="AI60" s="1">
        <v>8</v>
      </c>
      <c r="AJ60" s="1" t="s">
        <v>375</v>
      </c>
      <c r="AK60" s="1" t="s">
        <v>374</v>
      </c>
      <c r="AL60" t="s">
        <v>5</v>
      </c>
      <c r="AN60">
        <v>0</v>
      </c>
      <c r="AO60">
        <v>0</v>
      </c>
      <c r="AP60">
        <v>360</v>
      </c>
      <c r="AQ60">
        <v>540</v>
      </c>
      <c r="AR60">
        <v>480</v>
      </c>
      <c r="AS60">
        <v>330</v>
      </c>
      <c r="AT60">
        <v>300</v>
      </c>
      <c r="AU60">
        <v>288</v>
      </c>
      <c r="AV60">
        <v>450</v>
      </c>
      <c r="AW60">
        <v>405</v>
      </c>
      <c r="AX60">
        <v>300</v>
      </c>
      <c r="AY60">
        <v>180</v>
      </c>
      <c r="AZ60">
        <v>0</v>
      </c>
      <c r="BA60">
        <v>0</v>
      </c>
      <c r="BB60">
        <v>180</v>
      </c>
      <c r="BC60">
        <v>180</v>
      </c>
      <c r="BD60">
        <v>270</v>
      </c>
      <c r="BE60">
        <v>210</v>
      </c>
      <c r="BF60">
        <v>180</v>
      </c>
      <c r="BG60">
        <v>180</v>
      </c>
      <c r="BH60">
        <v>135</v>
      </c>
      <c r="BI60">
        <v>90</v>
      </c>
      <c r="BJ60">
        <v>0</v>
      </c>
      <c r="BK60">
        <v>180</v>
      </c>
      <c r="BL60">
        <v>180</v>
      </c>
      <c r="BM60">
        <v>180</v>
      </c>
      <c r="BN60">
        <v>180</v>
      </c>
      <c r="BO60">
        <v>180</v>
      </c>
      <c r="BP60">
        <v>180</v>
      </c>
      <c r="BQ60">
        <f>(I60+J60+N60+O60)/4</f>
        <v>5.208333333333333</v>
      </c>
      <c r="BR60">
        <f>(K60+L60+M60)/3</f>
        <v>3.4</v>
      </c>
      <c r="BS60">
        <f>BQ60/BR60</f>
        <v>1.5318627450980391</v>
      </c>
      <c r="BT60">
        <f>AQ60/I60</f>
        <v>90</v>
      </c>
      <c r="BU60" t="str">
        <f>IF(OR(A60=2, A60=12), "Central", IF(A60=3, "Semi-Central", "Periférica"))</f>
        <v>Periférica</v>
      </c>
    </row>
    <row r="61" spans="1:73" x14ac:dyDescent="0.3">
      <c r="A61" s="1">
        <v>5</v>
      </c>
      <c r="B61" s="1" t="s">
        <v>388</v>
      </c>
      <c r="C61" s="1" t="s">
        <v>387</v>
      </c>
      <c r="D61" t="s">
        <v>5</v>
      </c>
      <c r="E61" t="s">
        <v>0</v>
      </c>
      <c r="F61">
        <v>0</v>
      </c>
      <c r="G61">
        <v>0</v>
      </c>
      <c r="H61">
        <v>4</v>
      </c>
      <c r="I61">
        <v>8</v>
      </c>
      <c r="J61">
        <v>6</v>
      </c>
      <c r="K61">
        <v>4</v>
      </c>
      <c r="L61">
        <v>4</v>
      </c>
      <c r="M61">
        <v>4</v>
      </c>
      <c r="N61">
        <v>5</v>
      </c>
      <c r="O61">
        <v>5.5</v>
      </c>
      <c r="P61">
        <v>4</v>
      </c>
      <c r="Q61">
        <v>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s="1">
        <v>5</v>
      </c>
      <c r="AJ61" s="1" t="s">
        <v>388</v>
      </c>
      <c r="AK61" s="1" t="s">
        <v>387</v>
      </c>
      <c r="AL61" t="s">
        <v>5</v>
      </c>
      <c r="AM61" t="s">
        <v>0</v>
      </c>
      <c r="AN61">
        <v>0</v>
      </c>
      <c r="AO61">
        <v>0</v>
      </c>
      <c r="AP61">
        <v>324</v>
      </c>
      <c r="AQ61">
        <v>648</v>
      </c>
      <c r="AR61">
        <v>486</v>
      </c>
      <c r="AS61">
        <v>324</v>
      </c>
      <c r="AT61">
        <v>324</v>
      </c>
      <c r="AU61">
        <v>324</v>
      </c>
      <c r="AV61">
        <v>405</v>
      </c>
      <c r="AW61">
        <v>445.5</v>
      </c>
      <c r="AX61">
        <v>324</v>
      </c>
      <c r="AY61">
        <v>162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f>(I61+J61+N61+O61)/4</f>
        <v>6.125</v>
      </c>
      <c r="BR61">
        <f>(K61+L61+M61)/3</f>
        <v>4</v>
      </c>
      <c r="BS61">
        <f>BQ61/BR61</f>
        <v>1.53125</v>
      </c>
      <c r="BT61">
        <f>AQ61/I61</f>
        <v>81</v>
      </c>
      <c r="BU61" t="str">
        <f>IF(OR(A61=2, A61=12), "Central", IF(A61=3, "Semi-Central", "Periférica"))</f>
        <v>Periférica</v>
      </c>
    </row>
    <row r="62" spans="1:73" x14ac:dyDescent="0.3">
      <c r="A62" s="1">
        <v>11</v>
      </c>
      <c r="B62" s="1" t="s">
        <v>379</v>
      </c>
      <c r="C62" s="1" t="s">
        <v>378</v>
      </c>
      <c r="D62" t="s">
        <v>1</v>
      </c>
      <c r="F62">
        <v>0</v>
      </c>
      <c r="G62">
        <v>0</v>
      </c>
      <c r="H62">
        <v>0</v>
      </c>
      <c r="I62">
        <v>13.33333333333333</v>
      </c>
      <c r="J62">
        <v>14.66666666666667</v>
      </c>
      <c r="K62">
        <v>8</v>
      </c>
      <c r="L62">
        <v>8</v>
      </c>
      <c r="M62">
        <v>8</v>
      </c>
      <c r="N62">
        <v>11.5</v>
      </c>
      <c r="O62">
        <v>9.5</v>
      </c>
      <c r="P62">
        <v>3.333333333333333</v>
      </c>
      <c r="Q62">
        <v>0</v>
      </c>
      <c r="R62">
        <v>0</v>
      </c>
      <c r="S62">
        <v>0</v>
      </c>
      <c r="T62">
        <v>0</v>
      </c>
      <c r="U62">
        <v>6.4</v>
      </c>
      <c r="V62">
        <v>5.666666666666667</v>
      </c>
      <c r="W62">
        <v>5</v>
      </c>
      <c r="X62">
        <v>5.1111111111111107</v>
      </c>
      <c r="Y62">
        <v>3.6</v>
      </c>
      <c r="Z62">
        <v>1.5</v>
      </c>
      <c r="AA62">
        <v>0</v>
      </c>
      <c r="AB62">
        <v>0</v>
      </c>
      <c r="AC62">
        <v>1</v>
      </c>
      <c r="AD62">
        <v>3.2727272727272729</v>
      </c>
      <c r="AE62">
        <v>3.8</v>
      </c>
      <c r="AF62">
        <v>3</v>
      </c>
      <c r="AG62">
        <v>3</v>
      </c>
      <c r="AH62">
        <v>1.5</v>
      </c>
      <c r="AI62" s="1">
        <v>11</v>
      </c>
      <c r="AJ62" s="1" t="s">
        <v>379</v>
      </c>
      <c r="AK62" s="1" t="s">
        <v>378</v>
      </c>
      <c r="AL62" t="s">
        <v>1</v>
      </c>
      <c r="AN62">
        <v>0</v>
      </c>
      <c r="AO62">
        <v>0</v>
      </c>
      <c r="AP62">
        <v>0</v>
      </c>
      <c r="AQ62">
        <v>1200</v>
      </c>
      <c r="AR62">
        <v>1320</v>
      </c>
      <c r="AS62">
        <v>720</v>
      </c>
      <c r="AT62">
        <v>720</v>
      </c>
      <c r="AU62">
        <v>720</v>
      </c>
      <c r="AV62">
        <v>1035</v>
      </c>
      <c r="AW62">
        <v>855</v>
      </c>
      <c r="AX62">
        <v>300</v>
      </c>
      <c r="AY62">
        <v>0</v>
      </c>
      <c r="AZ62">
        <v>0</v>
      </c>
      <c r="BA62">
        <v>0</v>
      </c>
      <c r="BB62">
        <v>0</v>
      </c>
      <c r="BC62">
        <v>576</v>
      </c>
      <c r="BD62">
        <v>510</v>
      </c>
      <c r="BE62">
        <v>450</v>
      </c>
      <c r="BF62">
        <v>460</v>
      </c>
      <c r="BG62">
        <v>324</v>
      </c>
      <c r="BH62">
        <v>135</v>
      </c>
      <c r="BI62">
        <v>0</v>
      </c>
      <c r="BJ62">
        <v>0</v>
      </c>
      <c r="BK62">
        <v>90</v>
      </c>
      <c r="BL62">
        <v>294.54545454545462</v>
      </c>
      <c r="BM62">
        <v>342</v>
      </c>
      <c r="BN62">
        <v>270</v>
      </c>
      <c r="BO62">
        <v>270</v>
      </c>
      <c r="BP62">
        <v>135</v>
      </c>
      <c r="BQ62">
        <f>(I62+J62+N62+O62)/4</f>
        <v>12.25</v>
      </c>
      <c r="BR62">
        <f>(K62+L62+M62)/3</f>
        <v>8</v>
      </c>
      <c r="BS62">
        <f>BQ62/BR62</f>
        <v>1.53125</v>
      </c>
      <c r="BT62">
        <f>AQ62/I62</f>
        <v>90.000000000000014</v>
      </c>
      <c r="BU62" t="str">
        <f>IF(OR(A62=2, A62=12), "Central", IF(A62=3, "Semi-Central", "Periférica"))</f>
        <v>Periférica</v>
      </c>
    </row>
    <row r="63" spans="1:73" x14ac:dyDescent="0.3">
      <c r="A63" s="1">
        <v>5</v>
      </c>
      <c r="B63" s="1">
        <v>524</v>
      </c>
      <c r="C63" s="1" t="s">
        <v>370</v>
      </c>
      <c r="D63" t="s">
        <v>1</v>
      </c>
      <c r="E63" t="s">
        <v>0</v>
      </c>
      <c r="F63">
        <v>0</v>
      </c>
      <c r="G63">
        <v>0</v>
      </c>
      <c r="H63">
        <v>7</v>
      </c>
      <c r="I63">
        <v>10.666666666666666</v>
      </c>
      <c r="J63">
        <v>7.333333333333333</v>
      </c>
      <c r="K63">
        <v>5</v>
      </c>
      <c r="L63">
        <v>5.333333333333333</v>
      </c>
      <c r="M63">
        <v>5.6</v>
      </c>
      <c r="N63">
        <v>6.5</v>
      </c>
      <c r="O63">
        <v>8</v>
      </c>
      <c r="P63">
        <v>4</v>
      </c>
      <c r="Q63">
        <v>2</v>
      </c>
      <c r="R63">
        <v>0</v>
      </c>
      <c r="S63">
        <v>0</v>
      </c>
      <c r="T63">
        <v>3</v>
      </c>
      <c r="U63">
        <v>4.4000000000000004</v>
      </c>
      <c r="V63">
        <v>4</v>
      </c>
      <c r="W63">
        <v>4</v>
      </c>
      <c r="X63">
        <v>4</v>
      </c>
      <c r="Y63">
        <v>3.6</v>
      </c>
      <c r="Z63">
        <v>2</v>
      </c>
      <c r="AA63">
        <v>0</v>
      </c>
      <c r="AB63">
        <v>0</v>
      </c>
      <c r="AC63">
        <v>3.5</v>
      </c>
      <c r="AD63">
        <v>3.8181818181818183</v>
      </c>
      <c r="AE63">
        <v>3.2</v>
      </c>
      <c r="AF63">
        <v>3.3333333333333335</v>
      </c>
      <c r="AG63">
        <v>3</v>
      </c>
      <c r="AH63">
        <v>1</v>
      </c>
      <c r="AI63" s="1">
        <v>5</v>
      </c>
      <c r="AJ63" s="1">
        <v>524</v>
      </c>
      <c r="AK63" s="1" t="s">
        <v>370</v>
      </c>
      <c r="AL63" t="s">
        <v>1</v>
      </c>
      <c r="AM63" t="s">
        <v>0</v>
      </c>
      <c r="AN63">
        <v>0</v>
      </c>
      <c r="AO63">
        <v>0</v>
      </c>
      <c r="AP63">
        <v>567</v>
      </c>
      <c r="AQ63">
        <v>864</v>
      </c>
      <c r="AR63">
        <v>594</v>
      </c>
      <c r="AS63">
        <v>405</v>
      </c>
      <c r="AT63">
        <v>432</v>
      </c>
      <c r="AU63">
        <v>453.6</v>
      </c>
      <c r="AV63">
        <v>526.5</v>
      </c>
      <c r="AW63">
        <v>648</v>
      </c>
      <c r="AX63">
        <v>324</v>
      </c>
      <c r="AY63">
        <v>162</v>
      </c>
      <c r="AZ63">
        <v>0</v>
      </c>
      <c r="BA63">
        <v>0</v>
      </c>
      <c r="BB63">
        <v>243</v>
      </c>
      <c r="BC63">
        <v>356.4</v>
      </c>
      <c r="BD63">
        <v>324</v>
      </c>
      <c r="BE63">
        <v>324</v>
      </c>
      <c r="BF63">
        <v>324</v>
      </c>
      <c r="BG63">
        <v>291.60000000000002</v>
      </c>
      <c r="BH63">
        <v>162</v>
      </c>
      <c r="BI63">
        <v>0</v>
      </c>
      <c r="BJ63">
        <v>0</v>
      </c>
      <c r="BK63">
        <v>283.5</v>
      </c>
      <c r="BL63">
        <v>309.27272727272725</v>
      </c>
      <c r="BM63">
        <v>259.2</v>
      </c>
      <c r="BN63">
        <v>270</v>
      </c>
      <c r="BO63">
        <v>243</v>
      </c>
      <c r="BP63">
        <v>81</v>
      </c>
      <c r="BQ63">
        <f>(I63+J63+N63+O63)/4</f>
        <v>8.125</v>
      </c>
      <c r="BR63">
        <f>(K63+L63+M63)/3</f>
        <v>5.3111111111111109</v>
      </c>
      <c r="BS63">
        <f>BQ63/BR63</f>
        <v>1.5298117154811717</v>
      </c>
      <c r="BT63">
        <f>AQ63/I63</f>
        <v>81</v>
      </c>
      <c r="BU63" t="str">
        <f>IF(OR(A63=2, A63=12), "Central", IF(A63=3, "Semi-Central", "Periférica"))</f>
        <v>Periférica</v>
      </c>
    </row>
    <row r="64" spans="1:73" x14ac:dyDescent="0.3">
      <c r="A64" s="1">
        <v>19</v>
      </c>
      <c r="B64" s="1" t="s">
        <v>391</v>
      </c>
      <c r="C64" s="1" t="s">
        <v>390</v>
      </c>
      <c r="D64" t="s">
        <v>1</v>
      </c>
      <c r="E64" t="s">
        <v>0</v>
      </c>
      <c r="F64">
        <v>0</v>
      </c>
      <c r="G64">
        <v>0</v>
      </c>
      <c r="H64">
        <v>10</v>
      </c>
      <c r="I64">
        <v>10.66666666666667</v>
      </c>
      <c r="J64">
        <v>6.666666666666667</v>
      </c>
      <c r="K64">
        <v>6</v>
      </c>
      <c r="L64">
        <v>7.333333333333333</v>
      </c>
      <c r="M64">
        <v>6</v>
      </c>
      <c r="N64">
        <v>11.5</v>
      </c>
      <c r="O64">
        <v>10.5</v>
      </c>
      <c r="P64">
        <v>6</v>
      </c>
      <c r="Q64">
        <v>3</v>
      </c>
      <c r="R64">
        <v>0</v>
      </c>
      <c r="S64">
        <v>0</v>
      </c>
      <c r="T64">
        <v>3</v>
      </c>
      <c r="U64">
        <v>4</v>
      </c>
      <c r="V64">
        <v>4</v>
      </c>
      <c r="W64">
        <v>4</v>
      </c>
      <c r="X64">
        <v>4</v>
      </c>
      <c r="Y64">
        <v>4</v>
      </c>
      <c r="Z64">
        <v>1.5</v>
      </c>
      <c r="AA64">
        <v>0</v>
      </c>
      <c r="AB64">
        <v>0</v>
      </c>
      <c r="AC64">
        <v>3.5</v>
      </c>
      <c r="AD64">
        <v>4</v>
      </c>
      <c r="AE64">
        <v>4</v>
      </c>
      <c r="AF64">
        <v>4.333333333333333</v>
      </c>
      <c r="AG64">
        <v>3</v>
      </c>
      <c r="AH64">
        <v>1.5</v>
      </c>
      <c r="AI64" s="1">
        <v>19</v>
      </c>
      <c r="AJ64" s="1" t="s">
        <v>391</v>
      </c>
      <c r="AK64" s="1" t="s">
        <v>390</v>
      </c>
      <c r="AL64" t="s">
        <v>1</v>
      </c>
      <c r="AM64" t="s">
        <v>0</v>
      </c>
      <c r="AN64">
        <v>0</v>
      </c>
      <c r="AO64">
        <v>0</v>
      </c>
      <c r="AP64">
        <v>900</v>
      </c>
      <c r="AQ64">
        <v>960</v>
      </c>
      <c r="AR64">
        <v>600</v>
      </c>
      <c r="AS64">
        <v>540</v>
      </c>
      <c r="AT64">
        <v>660</v>
      </c>
      <c r="AU64">
        <v>540</v>
      </c>
      <c r="AV64">
        <v>1035</v>
      </c>
      <c r="AW64">
        <v>945</v>
      </c>
      <c r="AX64">
        <v>540</v>
      </c>
      <c r="AY64">
        <v>270</v>
      </c>
      <c r="AZ64">
        <v>0</v>
      </c>
      <c r="BA64">
        <v>0</v>
      </c>
      <c r="BB64">
        <v>270</v>
      </c>
      <c r="BC64">
        <v>360</v>
      </c>
      <c r="BD64">
        <v>360</v>
      </c>
      <c r="BE64">
        <v>360</v>
      </c>
      <c r="BF64">
        <v>360</v>
      </c>
      <c r="BG64">
        <v>360</v>
      </c>
      <c r="BH64">
        <v>135</v>
      </c>
      <c r="BI64">
        <v>0</v>
      </c>
      <c r="BJ64">
        <v>0</v>
      </c>
      <c r="BK64">
        <v>315</v>
      </c>
      <c r="BL64">
        <v>360</v>
      </c>
      <c r="BM64">
        <v>360</v>
      </c>
      <c r="BN64">
        <v>390</v>
      </c>
      <c r="BO64">
        <v>270</v>
      </c>
      <c r="BP64">
        <v>135</v>
      </c>
      <c r="BQ64">
        <f>(I64+J64+N64+O64)/4</f>
        <v>9.8333333333333339</v>
      </c>
      <c r="BR64">
        <f>(K64+L64+M64)/3</f>
        <v>6.4444444444444438</v>
      </c>
      <c r="BS64">
        <f>BQ64/BR64</f>
        <v>1.5258620689655176</v>
      </c>
      <c r="BT64">
        <f>AQ64/I64</f>
        <v>89.999999999999972</v>
      </c>
      <c r="BU64" t="str">
        <f>IF(OR(A64=2, A64=12), "Central", IF(A64=3, "Semi-Central", "Periférica"))</f>
        <v>Periférica</v>
      </c>
    </row>
    <row r="65" spans="1:73" x14ac:dyDescent="0.3">
      <c r="A65" s="1">
        <v>5</v>
      </c>
      <c r="B65" s="1">
        <v>532</v>
      </c>
      <c r="C65" s="1" t="s">
        <v>389</v>
      </c>
      <c r="D65" t="s">
        <v>1</v>
      </c>
      <c r="E65" t="s">
        <v>0</v>
      </c>
      <c r="F65">
        <v>0</v>
      </c>
      <c r="G65">
        <v>0</v>
      </c>
      <c r="H65">
        <v>3</v>
      </c>
      <c r="I65">
        <v>8</v>
      </c>
      <c r="J65">
        <v>6.666666666666667</v>
      </c>
      <c r="K65">
        <v>3.6666666666666665</v>
      </c>
      <c r="L65">
        <v>4</v>
      </c>
      <c r="M65">
        <v>5.2</v>
      </c>
      <c r="N65">
        <v>6</v>
      </c>
      <c r="O65">
        <v>5.5</v>
      </c>
      <c r="P65">
        <v>3.3333333333333335</v>
      </c>
      <c r="Q65">
        <v>2.5</v>
      </c>
      <c r="R65">
        <v>0</v>
      </c>
      <c r="S65">
        <v>0</v>
      </c>
      <c r="T65">
        <v>2</v>
      </c>
      <c r="U65">
        <v>2</v>
      </c>
      <c r="V65">
        <v>2</v>
      </c>
      <c r="W65">
        <v>2.6666666666666665</v>
      </c>
      <c r="X65">
        <v>2.6666666666666665</v>
      </c>
      <c r="Y65">
        <v>2.4</v>
      </c>
      <c r="Z65">
        <v>2</v>
      </c>
      <c r="AA65">
        <v>0</v>
      </c>
      <c r="AB65">
        <v>0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2</v>
      </c>
      <c r="AI65" s="1">
        <v>5</v>
      </c>
      <c r="AJ65" s="1">
        <v>532</v>
      </c>
      <c r="AK65" s="1" t="s">
        <v>389</v>
      </c>
      <c r="AL65" t="s">
        <v>1</v>
      </c>
      <c r="AM65" t="s">
        <v>0</v>
      </c>
      <c r="AN65">
        <v>0</v>
      </c>
      <c r="AO65">
        <v>0</v>
      </c>
      <c r="AP65">
        <v>243</v>
      </c>
      <c r="AQ65">
        <v>648</v>
      </c>
      <c r="AR65">
        <v>540</v>
      </c>
      <c r="AS65">
        <v>297</v>
      </c>
      <c r="AT65">
        <v>324</v>
      </c>
      <c r="AU65">
        <v>421.2</v>
      </c>
      <c r="AV65">
        <v>486</v>
      </c>
      <c r="AW65">
        <v>445.5</v>
      </c>
      <c r="AX65">
        <v>270</v>
      </c>
      <c r="AY65">
        <v>202.5</v>
      </c>
      <c r="AZ65">
        <v>0</v>
      </c>
      <c r="BA65">
        <v>0</v>
      </c>
      <c r="BB65">
        <v>162</v>
      </c>
      <c r="BC65">
        <v>162</v>
      </c>
      <c r="BD65">
        <v>162</v>
      </c>
      <c r="BE65">
        <v>216</v>
      </c>
      <c r="BF65">
        <v>216</v>
      </c>
      <c r="BG65">
        <v>194.4</v>
      </c>
      <c r="BH65">
        <v>162</v>
      </c>
      <c r="BI65">
        <v>0</v>
      </c>
      <c r="BJ65">
        <v>0</v>
      </c>
      <c r="BK65">
        <v>162</v>
      </c>
      <c r="BL65">
        <v>162</v>
      </c>
      <c r="BM65">
        <v>162</v>
      </c>
      <c r="BN65">
        <v>162</v>
      </c>
      <c r="BO65">
        <v>162</v>
      </c>
      <c r="BP65">
        <v>162</v>
      </c>
      <c r="BQ65">
        <f>(I65+J65+N65+O65)/4</f>
        <v>6.541666666666667</v>
      </c>
      <c r="BR65">
        <f>(K65+L65+M65)/3</f>
        <v>4.2888888888888888</v>
      </c>
      <c r="BS65">
        <f>BQ65/BR65</f>
        <v>1.525259067357513</v>
      </c>
      <c r="BT65">
        <f>AQ65/I65</f>
        <v>81</v>
      </c>
      <c r="BU65" t="str">
        <f>IF(OR(A65=2, A65=12), "Central", IF(A65=3, "Semi-Central", "Periférica"))</f>
        <v>Periférica</v>
      </c>
    </row>
    <row r="66" spans="1:73" x14ac:dyDescent="0.3">
      <c r="A66" s="1">
        <v>13</v>
      </c>
      <c r="B66" s="1">
        <v>1330</v>
      </c>
      <c r="C66" s="1">
        <v>430</v>
      </c>
      <c r="D66" t="s">
        <v>5</v>
      </c>
      <c r="F66">
        <v>0</v>
      </c>
      <c r="G66">
        <v>1.1111111111111109</v>
      </c>
      <c r="H66">
        <v>12</v>
      </c>
      <c r="I66">
        <v>14</v>
      </c>
      <c r="J66">
        <v>8.6666666666666661</v>
      </c>
      <c r="K66">
        <v>6</v>
      </c>
      <c r="L66">
        <v>6</v>
      </c>
      <c r="M66">
        <v>6.8</v>
      </c>
      <c r="N66">
        <v>9</v>
      </c>
      <c r="O66">
        <v>6</v>
      </c>
      <c r="P66">
        <v>3.333333333333333</v>
      </c>
      <c r="Q66">
        <v>1.5</v>
      </c>
      <c r="R66">
        <v>0</v>
      </c>
      <c r="S66">
        <v>0</v>
      </c>
      <c r="T66">
        <v>4</v>
      </c>
      <c r="U66">
        <v>6.4</v>
      </c>
      <c r="V66">
        <v>6</v>
      </c>
      <c r="W66">
        <v>5</v>
      </c>
      <c r="X66">
        <v>3.333333333333333</v>
      </c>
      <c r="Y66">
        <v>2</v>
      </c>
      <c r="Z66">
        <v>1.5</v>
      </c>
      <c r="AA66">
        <v>0</v>
      </c>
      <c r="AB66">
        <v>0</v>
      </c>
      <c r="AC66">
        <v>3</v>
      </c>
      <c r="AD66">
        <v>5.0909090909090908</v>
      </c>
      <c r="AE66">
        <v>4.2</v>
      </c>
      <c r="AF66">
        <v>2.666666666666667</v>
      </c>
      <c r="AG66">
        <v>2</v>
      </c>
      <c r="AH66">
        <v>1.5</v>
      </c>
      <c r="AI66" s="1">
        <v>13</v>
      </c>
      <c r="AJ66" s="1">
        <v>1330</v>
      </c>
      <c r="AK66" s="1">
        <v>430</v>
      </c>
      <c r="AL66" t="s">
        <v>5</v>
      </c>
      <c r="AN66">
        <v>0</v>
      </c>
      <c r="AO66">
        <v>166.66666666666671</v>
      </c>
      <c r="AP66">
        <v>1800</v>
      </c>
      <c r="AQ66">
        <v>2100</v>
      </c>
      <c r="AR66">
        <v>1300</v>
      </c>
      <c r="AS66">
        <v>900</v>
      </c>
      <c r="AT66">
        <v>900</v>
      </c>
      <c r="AU66">
        <v>1020</v>
      </c>
      <c r="AV66">
        <v>1350</v>
      </c>
      <c r="AW66">
        <v>900</v>
      </c>
      <c r="AX66">
        <v>500</v>
      </c>
      <c r="AY66">
        <v>225</v>
      </c>
      <c r="AZ66">
        <v>0</v>
      </c>
      <c r="BA66">
        <v>0</v>
      </c>
      <c r="BB66">
        <v>600</v>
      </c>
      <c r="BC66">
        <v>960</v>
      </c>
      <c r="BD66">
        <v>900</v>
      </c>
      <c r="BE66">
        <v>750</v>
      </c>
      <c r="BF66">
        <v>500</v>
      </c>
      <c r="BG66">
        <v>300</v>
      </c>
      <c r="BH66">
        <v>225</v>
      </c>
      <c r="BI66">
        <v>0</v>
      </c>
      <c r="BJ66">
        <v>0</v>
      </c>
      <c r="BK66">
        <v>270</v>
      </c>
      <c r="BL66">
        <v>458.18181818181819</v>
      </c>
      <c r="BM66">
        <v>378</v>
      </c>
      <c r="BN66">
        <v>240</v>
      </c>
      <c r="BO66">
        <v>180</v>
      </c>
      <c r="BP66">
        <v>135</v>
      </c>
      <c r="BQ66">
        <f>(I66+J66+N66+O66)/4</f>
        <v>9.4166666666666661</v>
      </c>
      <c r="BR66">
        <f>(K66+L66+M66)/3</f>
        <v>6.2666666666666666</v>
      </c>
      <c r="BS66">
        <f>BQ66/BR66</f>
        <v>1.5026595744680851</v>
      </c>
      <c r="BT66">
        <f>AQ66/I66</f>
        <v>150</v>
      </c>
      <c r="BU66" t="str">
        <f>IF(OR(A66=2, A66=12), "Central", IF(A66=3, "Semi-Central", "Periférica"))</f>
        <v>Periférica</v>
      </c>
    </row>
    <row r="67" spans="1:73" x14ac:dyDescent="0.3">
      <c r="A67" s="1">
        <v>2</v>
      </c>
      <c r="B67" s="1">
        <v>232</v>
      </c>
      <c r="C67" s="1" t="s">
        <v>384</v>
      </c>
      <c r="D67" t="s">
        <v>5</v>
      </c>
      <c r="E67" t="s">
        <v>0</v>
      </c>
      <c r="F67">
        <v>0</v>
      </c>
      <c r="G67">
        <v>0</v>
      </c>
      <c r="H67">
        <v>4</v>
      </c>
      <c r="I67">
        <v>8</v>
      </c>
      <c r="J67">
        <v>4</v>
      </c>
      <c r="K67">
        <v>4</v>
      </c>
      <c r="L67">
        <v>4</v>
      </c>
      <c r="M67">
        <v>4</v>
      </c>
      <c r="N67">
        <v>6</v>
      </c>
      <c r="O67">
        <v>6</v>
      </c>
      <c r="P67">
        <v>4</v>
      </c>
      <c r="Q67">
        <v>2</v>
      </c>
      <c r="R67">
        <v>0</v>
      </c>
      <c r="S67">
        <v>0</v>
      </c>
      <c r="T67">
        <v>3</v>
      </c>
      <c r="U67">
        <v>4</v>
      </c>
      <c r="V67">
        <v>4</v>
      </c>
      <c r="W67">
        <v>4</v>
      </c>
      <c r="X67">
        <v>3.5555555555555554</v>
      </c>
      <c r="Y67">
        <v>3.2</v>
      </c>
      <c r="Z67">
        <v>1.5</v>
      </c>
      <c r="AA67">
        <v>0</v>
      </c>
      <c r="AB67">
        <v>0</v>
      </c>
      <c r="AC67">
        <v>3</v>
      </c>
      <c r="AD67">
        <v>3.2727272727272729</v>
      </c>
      <c r="AE67">
        <v>3.6</v>
      </c>
      <c r="AF67">
        <v>3</v>
      </c>
      <c r="AG67">
        <v>4</v>
      </c>
      <c r="AH67">
        <v>1.5</v>
      </c>
      <c r="AI67" s="1">
        <v>2</v>
      </c>
      <c r="AJ67" s="1">
        <v>232</v>
      </c>
      <c r="AK67" s="1" t="s">
        <v>384</v>
      </c>
      <c r="AL67" t="s">
        <v>5</v>
      </c>
      <c r="AM67" t="s">
        <v>0</v>
      </c>
      <c r="AN67">
        <v>0</v>
      </c>
      <c r="AO67">
        <v>0</v>
      </c>
      <c r="AP67">
        <v>368</v>
      </c>
      <c r="AQ67">
        <v>736</v>
      </c>
      <c r="AR67">
        <v>368</v>
      </c>
      <c r="AS67">
        <v>368</v>
      </c>
      <c r="AT67">
        <v>368</v>
      </c>
      <c r="AU67">
        <v>368</v>
      </c>
      <c r="AV67">
        <v>552</v>
      </c>
      <c r="AW67">
        <v>552</v>
      </c>
      <c r="AX67">
        <v>368</v>
      </c>
      <c r="AY67">
        <v>184</v>
      </c>
      <c r="AZ67">
        <v>0</v>
      </c>
      <c r="BA67">
        <v>0</v>
      </c>
      <c r="BB67">
        <v>276</v>
      </c>
      <c r="BC67">
        <v>368</v>
      </c>
      <c r="BD67">
        <v>368</v>
      </c>
      <c r="BE67">
        <v>368</v>
      </c>
      <c r="BF67">
        <v>327.11111111111109</v>
      </c>
      <c r="BG67">
        <v>294.39999999999998</v>
      </c>
      <c r="BH67">
        <v>138</v>
      </c>
      <c r="BI67">
        <v>0</v>
      </c>
      <c r="BJ67">
        <v>0</v>
      </c>
      <c r="BK67">
        <v>276</v>
      </c>
      <c r="BL67">
        <v>301.09090909090907</v>
      </c>
      <c r="BM67">
        <v>331.2</v>
      </c>
      <c r="BN67">
        <v>276</v>
      </c>
      <c r="BO67">
        <v>368</v>
      </c>
      <c r="BP67">
        <v>138</v>
      </c>
      <c r="BQ67">
        <f>(I67+J67+N67+O67)/4</f>
        <v>6</v>
      </c>
      <c r="BR67">
        <f>(K67+L67+M67)/3</f>
        <v>4</v>
      </c>
      <c r="BS67">
        <f>BQ67/BR67</f>
        <v>1.5</v>
      </c>
      <c r="BT67">
        <f>AQ67/I67</f>
        <v>92</v>
      </c>
      <c r="BU67" t="str">
        <f>IF(OR(A67=2, A67=12), "Central", IF(A67=3, "Semi-Central", "Periférica"))</f>
        <v>Central</v>
      </c>
    </row>
    <row r="68" spans="1:73" x14ac:dyDescent="0.3">
      <c r="A68" s="1">
        <v>5</v>
      </c>
      <c r="B68" s="1" t="s">
        <v>388</v>
      </c>
      <c r="C68" s="1" t="s">
        <v>387</v>
      </c>
      <c r="D68" t="s">
        <v>1</v>
      </c>
      <c r="E68" t="s">
        <v>0</v>
      </c>
      <c r="F68">
        <v>0</v>
      </c>
      <c r="G68">
        <v>0</v>
      </c>
      <c r="H68">
        <v>2</v>
      </c>
      <c r="I68">
        <v>5.333333333333333</v>
      </c>
      <c r="J68">
        <v>4.666666666666667</v>
      </c>
      <c r="K68">
        <v>4</v>
      </c>
      <c r="L68">
        <v>4</v>
      </c>
      <c r="M68">
        <v>4</v>
      </c>
      <c r="N68">
        <v>6</v>
      </c>
      <c r="O68">
        <v>8</v>
      </c>
      <c r="P68">
        <v>4.666666666666667</v>
      </c>
      <c r="Q68">
        <v>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s="1">
        <v>5</v>
      </c>
      <c r="AJ68" s="1" t="s">
        <v>388</v>
      </c>
      <c r="AK68" s="1" t="s">
        <v>387</v>
      </c>
      <c r="AL68" t="s">
        <v>1</v>
      </c>
      <c r="AM68" t="s">
        <v>0</v>
      </c>
      <c r="AN68">
        <v>0</v>
      </c>
      <c r="AO68">
        <v>0</v>
      </c>
      <c r="AP68">
        <v>162</v>
      </c>
      <c r="AQ68">
        <v>432</v>
      </c>
      <c r="AR68">
        <v>378</v>
      </c>
      <c r="AS68">
        <v>324</v>
      </c>
      <c r="AT68">
        <v>324</v>
      </c>
      <c r="AU68">
        <v>324</v>
      </c>
      <c r="AV68">
        <v>486</v>
      </c>
      <c r="AW68">
        <v>648</v>
      </c>
      <c r="AX68">
        <v>378</v>
      </c>
      <c r="AY68">
        <v>162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f>(I68+J68+N68+O68)/4</f>
        <v>6</v>
      </c>
      <c r="BR68">
        <f>(K68+L68+M68)/3</f>
        <v>4</v>
      </c>
      <c r="BS68">
        <f>BQ68/BR68</f>
        <v>1.5</v>
      </c>
      <c r="BT68">
        <f>AQ68/I68</f>
        <v>81</v>
      </c>
      <c r="BU68" t="str">
        <f>IF(OR(A68=2, A68=12), "Central", IF(A68=3, "Semi-Central", "Periférica"))</f>
        <v>Periférica</v>
      </c>
    </row>
    <row r="69" spans="1:73" x14ac:dyDescent="0.3">
      <c r="A69" s="1">
        <v>9</v>
      </c>
      <c r="B69" s="1" t="s">
        <v>144</v>
      </c>
      <c r="C69" s="1" t="s">
        <v>143</v>
      </c>
      <c r="D69" t="s">
        <v>5</v>
      </c>
      <c r="F69">
        <v>0</v>
      </c>
      <c r="G69">
        <v>0.22222222222222221</v>
      </c>
      <c r="H69">
        <v>5</v>
      </c>
      <c r="I69">
        <v>5.333333333333333</v>
      </c>
      <c r="J69">
        <v>3.333333333333333</v>
      </c>
      <c r="K69">
        <v>3</v>
      </c>
      <c r="L69">
        <v>3.333333333333333</v>
      </c>
      <c r="M69">
        <v>2.8</v>
      </c>
      <c r="N69">
        <v>4</v>
      </c>
      <c r="O69">
        <v>5.5</v>
      </c>
      <c r="P69">
        <v>3.333333333333333</v>
      </c>
      <c r="Q69">
        <v>2</v>
      </c>
      <c r="R69">
        <v>0</v>
      </c>
      <c r="S69">
        <v>0</v>
      </c>
      <c r="T69">
        <v>2</v>
      </c>
      <c r="U69">
        <v>3.2</v>
      </c>
      <c r="V69">
        <v>3</v>
      </c>
      <c r="W69">
        <v>3</v>
      </c>
      <c r="X69">
        <v>2.2222222222222219</v>
      </c>
      <c r="Y69">
        <v>2</v>
      </c>
      <c r="Z69">
        <v>1</v>
      </c>
      <c r="AA69">
        <v>0</v>
      </c>
      <c r="AB69">
        <v>0</v>
      </c>
      <c r="AC69">
        <v>2.5</v>
      </c>
      <c r="AD69">
        <v>2</v>
      </c>
      <c r="AE69">
        <v>2</v>
      </c>
      <c r="AF69">
        <v>2</v>
      </c>
      <c r="AG69">
        <v>2</v>
      </c>
      <c r="AH69">
        <v>0.5</v>
      </c>
      <c r="AI69" s="1">
        <v>9</v>
      </c>
      <c r="AJ69" s="1" t="s">
        <v>144</v>
      </c>
      <c r="AK69" s="1" t="s">
        <v>143</v>
      </c>
      <c r="AL69" t="s">
        <v>5</v>
      </c>
      <c r="AN69">
        <v>0</v>
      </c>
      <c r="AO69">
        <v>13.33333333333333</v>
      </c>
      <c r="AP69">
        <v>300</v>
      </c>
      <c r="AQ69">
        <v>320</v>
      </c>
      <c r="AR69">
        <v>200</v>
      </c>
      <c r="AS69">
        <v>180</v>
      </c>
      <c r="AT69">
        <v>200</v>
      </c>
      <c r="AU69">
        <v>168</v>
      </c>
      <c r="AV69">
        <v>240</v>
      </c>
      <c r="AW69">
        <v>330</v>
      </c>
      <c r="AX69">
        <v>200</v>
      </c>
      <c r="AY69">
        <v>120</v>
      </c>
      <c r="AZ69">
        <v>0</v>
      </c>
      <c r="BA69">
        <v>0</v>
      </c>
      <c r="BB69">
        <v>120</v>
      </c>
      <c r="BC69">
        <v>192</v>
      </c>
      <c r="BD69">
        <v>180</v>
      </c>
      <c r="BE69">
        <v>180</v>
      </c>
      <c r="BF69">
        <v>133.33333333333329</v>
      </c>
      <c r="BG69">
        <v>120</v>
      </c>
      <c r="BH69">
        <v>60</v>
      </c>
      <c r="BI69">
        <v>0</v>
      </c>
      <c r="BJ69">
        <v>0</v>
      </c>
      <c r="BK69">
        <v>150</v>
      </c>
      <c r="BL69">
        <v>120</v>
      </c>
      <c r="BM69">
        <v>120</v>
      </c>
      <c r="BN69">
        <v>120</v>
      </c>
      <c r="BO69">
        <v>120</v>
      </c>
      <c r="BP69">
        <v>30</v>
      </c>
      <c r="BQ69">
        <f>(I69+J69+N69+O69)/4</f>
        <v>4.5416666666666661</v>
      </c>
      <c r="BR69">
        <f>(K69+L69+M69)/3</f>
        <v>3.0444444444444443</v>
      </c>
      <c r="BS69">
        <f>BQ69/BR69</f>
        <v>1.4917883211678831</v>
      </c>
      <c r="BT69">
        <f>AQ69/I69</f>
        <v>60</v>
      </c>
      <c r="BU69" t="str">
        <f>IF(OR(A69=2, A69=12), "Central", IF(A69=3, "Semi-Central", "Periférica"))</f>
        <v>Periférica</v>
      </c>
    </row>
    <row r="70" spans="1:73" x14ac:dyDescent="0.3">
      <c r="A70" s="1">
        <v>15</v>
      </c>
      <c r="B70" s="1">
        <v>1541</v>
      </c>
      <c r="C70" s="1" t="s">
        <v>386</v>
      </c>
      <c r="D70" t="s">
        <v>1</v>
      </c>
      <c r="E70" t="s">
        <v>0</v>
      </c>
      <c r="F70">
        <v>0</v>
      </c>
      <c r="G70">
        <v>0.22222222222222221</v>
      </c>
      <c r="H70">
        <v>5</v>
      </c>
      <c r="I70">
        <v>11.33333333333333</v>
      </c>
      <c r="J70">
        <v>8</v>
      </c>
      <c r="K70">
        <v>5.666666666666667</v>
      </c>
      <c r="L70">
        <v>5.333333333333333</v>
      </c>
      <c r="M70">
        <v>6.8</v>
      </c>
      <c r="N70">
        <v>8.5</v>
      </c>
      <c r="O70">
        <v>7.5</v>
      </c>
      <c r="P70">
        <v>5.333333333333333</v>
      </c>
      <c r="Q70">
        <v>4.5</v>
      </c>
      <c r="R70">
        <v>0</v>
      </c>
      <c r="S70">
        <v>0.22222222222222221</v>
      </c>
      <c r="T70">
        <v>4</v>
      </c>
      <c r="U70">
        <v>4.4000000000000004</v>
      </c>
      <c r="V70">
        <v>4</v>
      </c>
      <c r="W70">
        <v>4</v>
      </c>
      <c r="X70">
        <v>4.4444444444444446</v>
      </c>
      <c r="Y70">
        <v>4.4000000000000004</v>
      </c>
      <c r="Z70">
        <v>3.5</v>
      </c>
      <c r="AA70">
        <v>0</v>
      </c>
      <c r="AB70">
        <v>0.22222222222222221</v>
      </c>
      <c r="AC70">
        <v>3.5</v>
      </c>
      <c r="AD70">
        <v>4</v>
      </c>
      <c r="AE70">
        <v>4</v>
      </c>
      <c r="AF70">
        <v>4</v>
      </c>
      <c r="AG70">
        <v>3</v>
      </c>
      <c r="AH70">
        <v>3</v>
      </c>
      <c r="AI70" s="1">
        <v>15</v>
      </c>
      <c r="AJ70" s="1">
        <v>1541</v>
      </c>
      <c r="AK70" s="1" t="s">
        <v>386</v>
      </c>
      <c r="AL70" t="s">
        <v>1</v>
      </c>
      <c r="AM70" t="s">
        <v>0</v>
      </c>
      <c r="AN70">
        <v>0</v>
      </c>
      <c r="AO70">
        <v>20</v>
      </c>
      <c r="AP70">
        <v>450</v>
      </c>
      <c r="AQ70">
        <v>1020</v>
      </c>
      <c r="AR70">
        <v>720</v>
      </c>
      <c r="AS70">
        <v>510</v>
      </c>
      <c r="AT70">
        <v>480</v>
      </c>
      <c r="AU70">
        <v>612</v>
      </c>
      <c r="AV70">
        <v>765</v>
      </c>
      <c r="AW70">
        <v>675</v>
      </c>
      <c r="AX70">
        <v>480</v>
      </c>
      <c r="AY70">
        <v>405</v>
      </c>
      <c r="AZ70">
        <v>0</v>
      </c>
      <c r="BA70">
        <v>20</v>
      </c>
      <c r="BB70">
        <v>360</v>
      </c>
      <c r="BC70">
        <v>396</v>
      </c>
      <c r="BD70">
        <v>360</v>
      </c>
      <c r="BE70">
        <v>360</v>
      </c>
      <c r="BF70">
        <v>400</v>
      </c>
      <c r="BG70">
        <v>396</v>
      </c>
      <c r="BH70">
        <v>315</v>
      </c>
      <c r="BI70">
        <v>0</v>
      </c>
      <c r="BJ70">
        <v>20</v>
      </c>
      <c r="BK70">
        <v>315</v>
      </c>
      <c r="BL70">
        <v>360</v>
      </c>
      <c r="BM70">
        <v>360</v>
      </c>
      <c r="BN70">
        <v>360</v>
      </c>
      <c r="BO70">
        <v>270</v>
      </c>
      <c r="BP70">
        <v>270</v>
      </c>
      <c r="BQ70">
        <f>(I70+J70+N70+O70)/4</f>
        <v>8.8333333333333321</v>
      </c>
      <c r="BR70">
        <f>(K70+L70+M70)/3</f>
        <v>5.9333333333333336</v>
      </c>
      <c r="BS70">
        <f>BQ70/BR70</f>
        <v>1.48876404494382</v>
      </c>
      <c r="BT70">
        <f>AQ70/I70</f>
        <v>90.000000000000028</v>
      </c>
      <c r="BU70" t="str">
        <f>IF(OR(A70=2, A70=12), "Central", IF(A70=3, "Semi-Central", "Periférica"))</f>
        <v>Periférica</v>
      </c>
    </row>
    <row r="71" spans="1:73" x14ac:dyDescent="0.3">
      <c r="A71" s="1">
        <v>3</v>
      </c>
      <c r="B71" s="1">
        <v>303</v>
      </c>
      <c r="C71" s="1">
        <v>303</v>
      </c>
      <c r="D71" t="s">
        <v>5</v>
      </c>
      <c r="E71" t="s">
        <v>0</v>
      </c>
      <c r="F71">
        <v>2</v>
      </c>
      <c r="G71">
        <v>2</v>
      </c>
      <c r="H71">
        <v>7</v>
      </c>
      <c r="I71">
        <v>10</v>
      </c>
      <c r="J71">
        <v>6.666666666666667</v>
      </c>
      <c r="K71">
        <v>5</v>
      </c>
      <c r="L71">
        <v>6</v>
      </c>
      <c r="M71">
        <v>6</v>
      </c>
      <c r="N71">
        <v>10</v>
      </c>
      <c r="O71">
        <v>7</v>
      </c>
      <c r="P71">
        <v>4.666666666666667</v>
      </c>
      <c r="Q71">
        <v>4</v>
      </c>
      <c r="R71">
        <v>2</v>
      </c>
      <c r="S71">
        <v>2</v>
      </c>
      <c r="T71">
        <v>5</v>
      </c>
      <c r="U71">
        <v>5.2</v>
      </c>
      <c r="V71">
        <v>5</v>
      </c>
      <c r="W71">
        <v>5</v>
      </c>
      <c r="X71">
        <v>4.666666666666667</v>
      </c>
      <c r="Y71">
        <v>3.6</v>
      </c>
      <c r="Z71">
        <v>3</v>
      </c>
      <c r="AA71">
        <v>2</v>
      </c>
      <c r="AB71">
        <v>2</v>
      </c>
      <c r="AC71">
        <v>4</v>
      </c>
      <c r="AD71">
        <v>4</v>
      </c>
      <c r="AE71">
        <v>4</v>
      </c>
      <c r="AF71">
        <v>4</v>
      </c>
      <c r="AG71">
        <v>3</v>
      </c>
      <c r="AH71">
        <v>2.5</v>
      </c>
      <c r="AI71" s="1">
        <v>3</v>
      </c>
      <c r="AJ71" s="1">
        <v>303</v>
      </c>
      <c r="AK71" s="1">
        <v>303</v>
      </c>
      <c r="AL71" t="s">
        <v>5</v>
      </c>
      <c r="AM71" t="s">
        <v>0</v>
      </c>
      <c r="AN71">
        <v>196</v>
      </c>
      <c r="AO71">
        <v>196</v>
      </c>
      <c r="AP71">
        <v>686</v>
      </c>
      <c r="AQ71">
        <v>980</v>
      </c>
      <c r="AR71">
        <v>653.33333333333337</v>
      </c>
      <c r="AS71">
        <v>490</v>
      </c>
      <c r="AT71">
        <v>588</v>
      </c>
      <c r="AU71">
        <v>588</v>
      </c>
      <c r="AV71">
        <v>980</v>
      </c>
      <c r="AW71">
        <v>686</v>
      </c>
      <c r="AX71">
        <v>457.33333333333331</v>
      </c>
      <c r="AY71">
        <v>392</v>
      </c>
      <c r="AZ71">
        <v>196</v>
      </c>
      <c r="BA71">
        <v>196</v>
      </c>
      <c r="BB71">
        <v>490</v>
      </c>
      <c r="BC71">
        <v>509.6</v>
      </c>
      <c r="BD71">
        <v>490</v>
      </c>
      <c r="BE71">
        <v>490</v>
      </c>
      <c r="BF71">
        <v>457.33333333333331</v>
      </c>
      <c r="BG71">
        <v>352.8</v>
      </c>
      <c r="BH71">
        <v>294</v>
      </c>
      <c r="BI71">
        <v>196</v>
      </c>
      <c r="BJ71">
        <v>196</v>
      </c>
      <c r="BK71">
        <v>392</v>
      </c>
      <c r="BL71">
        <v>392</v>
      </c>
      <c r="BM71">
        <v>392</v>
      </c>
      <c r="BN71">
        <v>392</v>
      </c>
      <c r="BO71">
        <v>294</v>
      </c>
      <c r="BP71">
        <v>245</v>
      </c>
      <c r="BQ71">
        <f>(I71+J71+N71+O71)/4</f>
        <v>8.4166666666666679</v>
      </c>
      <c r="BR71">
        <f>(K71+L71+M71)/3</f>
        <v>5.666666666666667</v>
      </c>
      <c r="BS71">
        <f>BQ71/BR71</f>
        <v>1.4852941176470589</v>
      </c>
      <c r="BT71">
        <f>AQ71/I71</f>
        <v>98</v>
      </c>
      <c r="BU71" t="str">
        <f>IF(OR(A71=2, A71=12), "Central", IF(A71=3, "Semi-Central", "Periférica"))</f>
        <v>Semi-Central</v>
      </c>
    </row>
    <row r="72" spans="1:73" x14ac:dyDescent="0.3">
      <c r="A72" s="1">
        <v>9</v>
      </c>
      <c r="B72" s="1">
        <v>953</v>
      </c>
      <c r="C72" s="1" t="s">
        <v>381</v>
      </c>
      <c r="D72" t="s">
        <v>5</v>
      </c>
      <c r="F72">
        <v>0</v>
      </c>
      <c r="G72">
        <v>0.44444444444444442</v>
      </c>
      <c r="H72">
        <v>10</v>
      </c>
      <c r="I72">
        <v>11.33333333333333</v>
      </c>
      <c r="J72">
        <v>6.666666666666667</v>
      </c>
      <c r="K72">
        <v>5</v>
      </c>
      <c r="L72">
        <v>4.666666666666667</v>
      </c>
      <c r="M72">
        <v>5.2</v>
      </c>
      <c r="N72">
        <v>5</v>
      </c>
      <c r="O72">
        <v>6</v>
      </c>
      <c r="P72">
        <v>4.666666666666667</v>
      </c>
      <c r="Q72">
        <v>3</v>
      </c>
      <c r="R72">
        <v>0</v>
      </c>
      <c r="S72">
        <v>0.22222222222222221</v>
      </c>
      <c r="T72">
        <v>4</v>
      </c>
      <c r="U72">
        <v>4</v>
      </c>
      <c r="V72">
        <v>4</v>
      </c>
      <c r="W72">
        <v>4</v>
      </c>
      <c r="X72">
        <v>4</v>
      </c>
      <c r="Y72">
        <v>3.2</v>
      </c>
      <c r="Z72">
        <v>2</v>
      </c>
      <c r="AA72">
        <v>0</v>
      </c>
      <c r="AB72">
        <v>0.22222222222222221</v>
      </c>
      <c r="AC72">
        <v>2</v>
      </c>
      <c r="AD72">
        <v>2.7272727272727271</v>
      </c>
      <c r="AE72">
        <v>3</v>
      </c>
      <c r="AF72">
        <v>3</v>
      </c>
      <c r="AG72">
        <v>2</v>
      </c>
      <c r="AH72">
        <v>2</v>
      </c>
      <c r="AI72" s="1">
        <v>9</v>
      </c>
      <c r="AJ72" s="1">
        <v>953</v>
      </c>
      <c r="AK72" s="1" t="s">
        <v>381</v>
      </c>
      <c r="AL72" t="s">
        <v>5</v>
      </c>
      <c r="AN72">
        <v>0</v>
      </c>
      <c r="AO72">
        <v>40</v>
      </c>
      <c r="AP72">
        <v>900</v>
      </c>
      <c r="AQ72">
        <v>1020</v>
      </c>
      <c r="AR72">
        <v>600</v>
      </c>
      <c r="AS72">
        <v>450</v>
      </c>
      <c r="AT72">
        <v>420</v>
      </c>
      <c r="AU72">
        <v>468</v>
      </c>
      <c r="AV72">
        <v>450</v>
      </c>
      <c r="AW72">
        <v>540</v>
      </c>
      <c r="AX72">
        <v>420</v>
      </c>
      <c r="AY72">
        <v>270</v>
      </c>
      <c r="AZ72">
        <v>0</v>
      </c>
      <c r="BA72">
        <v>20</v>
      </c>
      <c r="BB72">
        <v>360</v>
      </c>
      <c r="BC72">
        <v>360</v>
      </c>
      <c r="BD72">
        <v>360</v>
      </c>
      <c r="BE72">
        <v>360</v>
      </c>
      <c r="BF72">
        <v>360</v>
      </c>
      <c r="BG72">
        <v>288</v>
      </c>
      <c r="BH72">
        <v>180</v>
      </c>
      <c r="BI72">
        <v>0</v>
      </c>
      <c r="BJ72">
        <v>20</v>
      </c>
      <c r="BK72">
        <v>180</v>
      </c>
      <c r="BL72">
        <v>245.4545454545455</v>
      </c>
      <c r="BM72">
        <v>270</v>
      </c>
      <c r="BN72">
        <v>270</v>
      </c>
      <c r="BO72">
        <v>180</v>
      </c>
      <c r="BP72">
        <v>180</v>
      </c>
      <c r="BQ72">
        <f>(I72+J72+N72+O72)/4</f>
        <v>7.2499999999999991</v>
      </c>
      <c r="BR72">
        <f>(K72+L72+M72)/3</f>
        <v>4.9555555555555557</v>
      </c>
      <c r="BS72">
        <f>BQ72/BR72</f>
        <v>1.4630044843049326</v>
      </c>
      <c r="BT72">
        <f>AQ72/I72</f>
        <v>90.000000000000028</v>
      </c>
      <c r="BU72" t="str">
        <f>IF(OR(A72=2, A72=12), "Central", IF(A72=3, "Semi-Central", "Periférica"))</f>
        <v>Periférica</v>
      </c>
    </row>
    <row r="73" spans="1:73" x14ac:dyDescent="0.3">
      <c r="A73" s="1">
        <v>10</v>
      </c>
      <c r="B73" s="1">
        <v>1057</v>
      </c>
      <c r="C73" s="1" t="s">
        <v>125</v>
      </c>
      <c r="D73" t="s">
        <v>5</v>
      </c>
      <c r="E73" t="s">
        <v>0</v>
      </c>
      <c r="F73">
        <v>0</v>
      </c>
      <c r="G73">
        <v>0.66666666666666663</v>
      </c>
      <c r="H73">
        <v>13</v>
      </c>
      <c r="I73">
        <v>11.33333333333333</v>
      </c>
      <c r="J73">
        <v>7.333333333333333</v>
      </c>
      <c r="K73">
        <v>6</v>
      </c>
      <c r="L73">
        <v>6</v>
      </c>
      <c r="M73">
        <v>6.8</v>
      </c>
      <c r="N73">
        <v>9</v>
      </c>
      <c r="O73">
        <v>9</v>
      </c>
      <c r="P73">
        <v>6.666666666666667</v>
      </c>
      <c r="Q73">
        <v>4</v>
      </c>
      <c r="R73">
        <v>0</v>
      </c>
      <c r="S73">
        <v>0.22222222222222221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3</v>
      </c>
      <c r="AA73">
        <v>0</v>
      </c>
      <c r="AB73">
        <v>0.22222222222222221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3</v>
      </c>
      <c r="AI73" s="1">
        <v>10</v>
      </c>
      <c r="AJ73" s="1">
        <v>1057</v>
      </c>
      <c r="AK73" s="1" t="s">
        <v>125</v>
      </c>
      <c r="AL73" t="s">
        <v>5</v>
      </c>
      <c r="AM73" t="s">
        <v>0</v>
      </c>
      <c r="AN73">
        <v>0</v>
      </c>
      <c r="AO73">
        <v>40</v>
      </c>
      <c r="AP73">
        <v>780</v>
      </c>
      <c r="AQ73">
        <v>680</v>
      </c>
      <c r="AR73">
        <v>440</v>
      </c>
      <c r="AS73">
        <v>360</v>
      </c>
      <c r="AT73">
        <v>360</v>
      </c>
      <c r="AU73">
        <v>408</v>
      </c>
      <c r="AV73">
        <v>540</v>
      </c>
      <c r="AW73">
        <v>540</v>
      </c>
      <c r="AX73">
        <v>400</v>
      </c>
      <c r="AY73">
        <v>240</v>
      </c>
      <c r="AZ73">
        <v>0</v>
      </c>
      <c r="BA73">
        <v>13.33333333333333</v>
      </c>
      <c r="BB73">
        <v>240</v>
      </c>
      <c r="BC73">
        <v>240</v>
      </c>
      <c r="BD73">
        <v>240</v>
      </c>
      <c r="BE73">
        <v>240</v>
      </c>
      <c r="BF73">
        <v>240</v>
      </c>
      <c r="BG73">
        <v>240</v>
      </c>
      <c r="BH73">
        <v>180</v>
      </c>
      <c r="BI73">
        <v>0</v>
      </c>
      <c r="BJ73">
        <v>13.33333333333333</v>
      </c>
      <c r="BK73">
        <v>240</v>
      </c>
      <c r="BL73">
        <v>240</v>
      </c>
      <c r="BM73">
        <v>240</v>
      </c>
      <c r="BN73">
        <v>240</v>
      </c>
      <c r="BO73">
        <v>240</v>
      </c>
      <c r="BP73">
        <v>180</v>
      </c>
      <c r="BQ73">
        <f>(I73+J73+N73+O73)/4</f>
        <v>9.1666666666666661</v>
      </c>
      <c r="BR73">
        <f>(K73+L73+M73)/3</f>
        <v>6.2666666666666666</v>
      </c>
      <c r="BS73">
        <f>BQ73/BR73</f>
        <v>1.4627659574468084</v>
      </c>
      <c r="BT73">
        <f>AQ73/I73</f>
        <v>60.000000000000014</v>
      </c>
      <c r="BU73" t="str">
        <f>IF(OR(A73=2, A73=12), "Central", IF(A73=3, "Semi-Central", "Periférica"))</f>
        <v>Periférica</v>
      </c>
    </row>
    <row r="74" spans="1:73" x14ac:dyDescent="0.3">
      <c r="A74" s="1">
        <v>2</v>
      </c>
      <c r="B74" s="1">
        <v>284</v>
      </c>
      <c r="C74" s="1" t="s">
        <v>247</v>
      </c>
      <c r="D74" t="s">
        <v>5</v>
      </c>
      <c r="F74">
        <v>0</v>
      </c>
      <c r="G74">
        <v>0.44444444444444442</v>
      </c>
      <c r="H74">
        <v>6</v>
      </c>
      <c r="I74">
        <v>7.333333333333333</v>
      </c>
      <c r="J74">
        <v>7.333333333333333</v>
      </c>
      <c r="K74">
        <v>4.333333333333333</v>
      </c>
      <c r="L74">
        <v>4</v>
      </c>
      <c r="M74">
        <v>5.6</v>
      </c>
      <c r="N74">
        <v>6</v>
      </c>
      <c r="O74">
        <v>6.5</v>
      </c>
      <c r="P74">
        <v>4</v>
      </c>
      <c r="Q74">
        <v>1.5</v>
      </c>
      <c r="R74">
        <v>0</v>
      </c>
      <c r="S74">
        <v>0.44444444444444442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2</v>
      </c>
      <c r="AA74">
        <v>0</v>
      </c>
      <c r="AB74">
        <v>0</v>
      </c>
      <c r="AC74">
        <v>1</v>
      </c>
      <c r="AD74">
        <v>3.2727272727272729</v>
      </c>
      <c r="AE74">
        <v>3</v>
      </c>
      <c r="AF74">
        <v>3</v>
      </c>
      <c r="AG74">
        <v>3</v>
      </c>
      <c r="AH74">
        <v>1.5</v>
      </c>
      <c r="AI74" s="1">
        <v>2</v>
      </c>
      <c r="AJ74" s="1">
        <v>284</v>
      </c>
      <c r="AK74" s="1" t="s">
        <v>247</v>
      </c>
      <c r="AL74" t="s">
        <v>5</v>
      </c>
      <c r="AN74">
        <v>0</v>
      </c>
      <c r="AO74">
        <v>44.888888888888886</v>
      </c>
      <c r="AP74">
        <v>606</v>
      </c>
      <c r="AQ74">
        <v>740.66666666666663</v>
      </c>
      <c r="AR74">
        <v>740.66666666666663</v>
      </c>
      <c r="AS74">
        <v>437.66666666666669</v>
      </c>
      <c r="AT74">
        <v>404</v>
      </c>
      <c r="AU74">
        <v>565.6</v>
      </c>
      <c r="AV74">
        <v>606</v>
      </c>
      <c r="AW74">
        <v>656.5</v>
      </c>
      <c r="AX74">
        <v>404</v>
      </c>
      <c r="AY74">
        <v>151.5</v>
      </c>
      <c r="AZ74">
        <v>0</v>
      </c>
      <c r="BA74">
        <v>44.888888888888886</v>
      </c>
      <c r="BB74">
        <v>404</v>
      </c>
      <c r="BC74">
        <v>404</v>
      </c>
      <c r="BD74">
        <v>404</v>
      </c>
      <c r="BE74">
        <v>404</v>
      </c>
      <c r="BF74">
        <v>404</v>
      </c>
      <c r="BG74">
        <v>404</v>
      </c>
      <c r="BH74">
        <v>202</v>
      </c>
      <c r="BI74">
        <v>0</v>
      </c>
      <c r="BJ74">
        <v>0</v>
      </c>
      <c r="BK74">
        <v>101</v>
      </c>
      <c r="BL74">
        <v>330.54545454545456</v>
      </c>
      <c r="BM74">
        <v>303</v>
      </c>
      <c r="BN74">
        <v>303</v>
      </c>
      <c r="BO74">
        <v>303</v>
      </c>
      <c r="BP74">
        <v>151.5</v>
      </c>
      <c r="BQ74">
        <f>(I74+J74+N74+O74)/4</f>
        <v>6.7916666666666661</v>
      </c>
      <c r="BR74">
        <f>(K74+L74+M74)/3</f>
        <v>4.6444444444444439</v>
      </c>
      <c r="BS74">
        <f>BQ74/BR74</f>
        <v>1.4623205741626795</v>
      </c>
      <c r="BT74">
        <f>AQ74/I74</f>
        <v>101</v>
      </c>
      <c r="BU74" t="str">
        <f>IF(OR(A74=2, A74=12), "Central", IF(A74=3, "Semi-Central", "Periférica"))</f>
        <v>Central</v>
      </c>
    </row>
    <row r="75" spans="1:73" x14ac:dyDescent="0.3">
      <c r="A75" s="1">
        <v>19</v>
      </c>
      <c r="B75" s="1">
        <v>1972</v>
      </c>
      <c r="C75" s="1">
        <v>272</v>
      </c>
      <c r="D75" t="s">
        <v>5</v>
      </c>
      <c r="E75" t="s">
        <v>0</v>
      </c>
      <c r="F75">
        <v>0</v>
      </c>
      <c r="G75">
        <v>0</v>
      </c>
      <c r="H75">
        <v>5</v>
      </c>
      <c r="I75">
        <v>7.333333333333333</v>
      </c>
      <c r="J75">
        <v>6</v>
      </c>
      <c r="K75">
        <v>4.666666666666667</v>
      </c>
      <c r="L75">
        <v>4.666666666666667</v>
      </c>
      <c r="M75">
        <v>5.2</v>
      </c>
      <c r="N75">
        <v>7.5</v>
      </c>
      <c r="O75">
        <v>7.5</v>
      </c>
      <c r="P75">
        <v>4.666666666666667</v>
      </c>
      <c r="Q75">
        <v>4</v>
      </c>
      <c r="R75">
        <v>0</v>
      </c>
      <c r="S75">
        <v>0</v>
      </c>
      <c r="T75">
        <v>4</v>
      </c>
      <c r="U75">
        <v>4</v>
      </c>
      <c r="V75">
        <v>4</v>
      </c>
      <c r="W75">
        <v>4</v>
      </c>
      <c r="X75">
        <v>4</v>
      </c>
      <c r="Y75">
        <v>4</v>
      </c>
      <c r="Z75">
        <v>3.5</v>
      </c>
      <c r="AA75">
        <v>0</v>
      </c>
      <c r="AB75">
        <v>0</v>
      </c>
      <c r="AC75">
        <v>4</v>
      </c>
      <c r="AD75">
        <v>4</v>
      </c>
      <c r="AE75">
        <v>4</v>
      </c>
      <c r="AF75">
        <v>4</v>
      </c>
      <c r="AG75">
        <v>4</v>
      </c>
      <c r="AH75">
        <v>3</v>
      </c>
      <c r="AI75" s="1">
        <v>19</v>
      </c>
      <c r="AJ75" s="1">
        <v>1972</v>
      </c>
      <c r="AK75" s="1">
        <v>272</v>
      </c>
      <c r="AL75" t="s">
        <v>5</v>
      </c>
      <c r="AM75" t="s">
        <v>0</v>
      </c>
      <c r="AN75">
        <v>0</v>
      </c>
      <c r="AO75">
        <v>0</v>
      </c>
      <c r="AP75">
        <v>450</v>
      </c>
      <c r="AQ75">
        <v>660</v>
      </c>
      <c r="AR75">
        <v>540</v>
      </c>
      <c r="AS75">
        <v>420</v>
      </c>
      <c r="AT75">
        <v>420</v>
      </c>
      <c r="AU75">
        <v>468</v>
      </c>
      <c r="AV75">
        <v>675</v>
      </c>
      <c r="AW75">
        <v>675</v>
      </c>
      <c r="AX75">
        <v>420</v>
      </c>
      <c r="AY75">
        <v>360</v>
      </c>
      <c r="AZ75">
        <v>0</v>
      </c>
      <c r="BA75">
        <v>0</v>
      </c>
      <c r="BB75">
        <v>360</v>
      </c>
      <c r="BC75">
        <v>360</v>
      </c>
      <c r="BD75">
        <v>360</v>
      </c>
      <c r="BE75">
        <v>360</v>
      </c>
      <c r="BF75">
        <v>360</v>
      </c>
      <c r="BG75">
        <v>360</v>
      </c>
      <c r="BH75">
        <v>315</v>
      </c>
      <c r="BI75">
        <v>0</v>
      </c>
      <c r="BJ75">
        <v>0</v>
      </c>
      <c r="BK75">
        <v>360</v>
      </c>
      <c r="BL75">
        <v>360</v>
      </c>
      <c r="BM75">
        <v>360</v>
      </c>
      <c r="BN75">
        <v>360</v>
      </c>
      <c r="BO75">
        <v>360</v>
      </c>
      <c r="BP75">
        <v>270</v>
      </c>
      <c r="BQ75">
        <f>(I75+J75+N75+O75)/4</f>
        <v>7.083333333333333</v>
      </c>
      <c r="BR75">
        <f>(K75+L75+M75)/3</f>
        <v>4.844444444444445</v>
      </c>
      <c r="BS75">
        <f>BQ75/BR75</f>
        <v>1.4621559633027521</v>
      </c>
      <c r="BT75">
        <f>AQ75/I75</f>
        <v>90</v>
      </c>
      <c r="BU75" t="str">
        <f>IF(OR(A75=2, A75=12), "Central", IF(A75=3, "Semi-Central", "Periférica"))</f>
        <v>Periférica</v>
      </c>
    </row>
    <row r="76" spans="1:73" x14ac:dyDescent="0.3">
      <c r="A76" s="1">
        <v>4</v>
      </c>
      <c r="B76" s="1">
        <v>465</v>
      </c>
      <c r="C76" s="1" t="s">
        <v>385</v>
      </c>
      <c r="D76" t="s">
        <v>1</v>
      </c>
      <c r="E76" t="s">
        <v>0</v>
      </c>
      <c r="F76">
        <v>0</v>
      </c>
      <c r="G76">
        <v>0</v>
      </c>
      <c r="H76">
        <v>6</v>
      </c>
      <c r="I76">
        <v>9.3333333333333339</v>
      </c>
      <c r="J76">
        <v>8</v>
      </c>
      <c r="K76">
        <v>5</v>
      </c>
      <c r="L76">
        <v>5.333333333333333</v>
      </c>
      <c r="M76">
        <v>6.8</v>
      </c>
      <c r="N76">
        <v>8</v>
      </c>
      <c r="O76">
        <v>8</v>
      </c>
      <c r="P76">
        <v>5.333333333333333</v>
      </c>
      <c r="Q76">
        <v>4</v>
      </c>
      <c r="R76">
        <v>0</v>
      </c>
      <c r="S76">
        <v>0</v>
      </c>
      <c r="T76">
        <v>3</v>
      </c>
      <c r="U76">
        <v>4.4000000000000004</v>
      </c>
      <c r="V76">
        <v>6.333333333333333</v>
      </c>
      <c r="W76">
        <v>6</v>
      </c>
      <c r="X76">
        <v>5.333333333333333</v>
      </c>
      <c r="Y76">
        <v>5.6</v>
      </c>
      <c r="Z76">
        <v>4.5</v>
      </c>
      <c r="AA76">
        <v>0</v>
      </c>
      <c r="AB76">
        <v>0</v>
      </c>
      <c r="AC76">
        <v>4</v>
      </c>
      <c r="AD76">
        <v>4.9090909090909092</v>
      </c>
      <c r="AE76">
        <v>4.8</v>
      </c>
      <c r="AF76">
        <v>4.666666666666667</v>
      </c>
      <c r="AG76">
        <v>5</v>
      </c>
      <c r="AH76">
        <v>3.5</v>
      </c>
      <c r="AI76" s="1">
        <v>4</v>
      </c>
      <c r="AJ76" s="1">
        <v>465</v>
      </c>
      <c r="AK76" s="1" t="s">
        <v>385</v>
      </c>
      <c r="AL76" t="s">
        <v>1</v>
      </c>
      <c r="AM76" t="s">
        <v>0</v>
      </c>
      <c r="AN76">
        <v>0</v>
      </c>
      <c r="AO76">
        <v>0</v>
      </c>
      <c r="AP76">
        <v>594</v>
      </c>
      <c r="AQ76">
        <v>924</v>
      </c>
      <c r="AR76">
        <v>792</v>
      </c>
      <c r="AS76">
        <v>495</v>
      </c>
      <c r="AT76">
        <v>528</v>
      </c>
      <c r="AU76">
        <v>673.2</v>
      </c>
      <c r="AV76">
        <v>792</v>
      </c>
      <c r="AW76">
        <v>792</v>
      </c>
      <c r="AX76">
        <v>528</v>
      </c>
      <c r="AY76">
        <v>396</v>
      </c>
      <c r="AZ76">
        <v>0</v>
      </c>
      <c r="BA76">
        <v>0</v>
      </c>
      <c r="BB76">
        <v>297</v>
      </c>
      <c r="BC76">
        <v>435.6</v>
      </c>
      <c r="BD76">
        <v>627</v>
      </c>
      <c r="BE76">
        <v>594</v>
      </c>
      <c r="BF76">
        <v>528</v>
      </c>
      <c r="BG76">
        <v>554.4</v>
      </c>
      <c r="BH76">
        <v>445.5</v>
      </c>
      <c r="BI76">
        <v>0</v>
      </c>
      <c r="BJ76">
        <v>0</v>
      </c>
      <c r="BK76">
        <v>396</v>
      </c>
      <c r="BL76">
        <v>486</v>
      </c>
      <c r="BM76">
        <v>475.2</v>
      </c>
      <c r="BN76">
        <v>462</v>
      </c>
      <c r="BO76">
        <v>495</v>
      </c>
      <c r="BP76">
        <v>346.5</v>
      </c>
      <c r="BQ76">
        <f>(I76+J76+N76+O76)/4</f>
        <v>8.3333333333333339</v>
      </c>
      <c r="BR76">
        <f>(K76+L76+M76)/3</f>
        <v>5.7111111111111112</v>
      </c>
      <c r="BS76">
        <f>BQ76/BR76</f>
        <v>1.4591439688715955</v>
      </c>
      <c r="BT76">
        <f>AQ76/I76</f>
        <v>99</v>
      </c>
      <c r="BU76" t="str">
        <f>IF(OR(A76=2, A76=12), "Central", IF(A76=3, "Semi-Central", "Periférica"))</f>
        <v>Periférica</v>
      </c>
    </row>
    <row r="77" spans="1:73" x14ac:dyDescent="0.3">
      <c r="A77" s="1">
        <v>5</v>
      </c>
      <c r="B77" s="1">
        <v>506</v>
      </c>
      <c r="C77" s="1">
        <v>506</v>
      </c>
      <c r="D77" t="s">
        <v>5</v>
      </c>
      <c r="E77" t="s">
        <v>0</v>
      </c>
      <c r="F77">
        <v>2</v>
      </c>
      <c r="G77">
        <v>2.4444444444444446</v>
      </c>
      <c r="H77">
        <v>12</v>
      </c>
      <c r="I77">
        <v>12.666666666666666</v>
      </c>
      <c r="J77">
        <v>6.666666666666667</v>
      </c>
      <c r="K77">
        <v>5</v>
      </c>
      <c r="L77">
        <v>5.333333333333333</v>
      </c>
      <c r="M77">
        <v>7.6</v>
      </c>
      <c r="N77">
        <v>9</v>
      </c>
      <c r="O77">
        <v>6.5</v>
      </c>
      <c r="P77">
        <v>4</v>
      </c>
      <c r="Q77">
        <v>2.5</v>
      </c>
      <c r="R77">
        <v>2</v>
      </c>
      <c r="S77">
        <v>2.2222222222222223</v>
      </c>
      <c r="T77">
        <v>6</v>
      </c>
      <c r="U77">
        <v>6</v>
      </c>
      <c r="V77">
        <v>4.666666666666667</v>
      </c>
      <c r="W77">
        <v>4.666666666666667</v>
      </c>
      <c r="X77">
        <v>4.8888888888888893</v>
      </c>
      <c r="Y77">
        <v>4.4000000000000004</v>
      </c>
      <c r="Z77">
        <v>3</v>
      </c>
      <c r="AA77">
        <v>2</v>
      </c>
      <c r="AB77">
        <v>2.2222222222222223</v>
      </c>
      <c r="AC77">
        <v>4.5</v>
      </c>
      <c r="AD77">
        <v>4.5454545454545459</v>
      </c>
      <c r="AE77">
        <v>4.5999999999999996</v>
      </c>
      <c r="AF77">
        <v>4</v>
      </c>
      <c r="AG77">
        <v>4</v>
      </c>
      <c r="AH77">
        <v>2</v>
      </c>
      <c r="AI77" s="1">
        <v>5</v>
      </c>
      <c r="AJ77" s="1">
        <v>506</v>
      </c>
      <c r="AK77" s="1">
        <v>506</v>
      </c>
      <c r="AL77" t="s">
        <v>5</v>
      </c>
      <c r="AM77" t="s">
        <v>0</v>
      </c>
      <c r="AN77">
        <v>162</v>
      </c>
      <c r="AO77">
        <v>198</v>
      </c>
      <c r="AP77">
        <v>1692</v>
      </c>
      <c r="AQ77">
        <v>1786</v>
      </c>
      <c r="AR77">
        <v>940</v>
      </c>
      <c r="AS77">
        <v>705</v>
      </c>
      <c r="AT77">
        <v>752</v>
      </c>
      <c r="AU77">
        <v>1071.5999999999999</v>
      </c>
      <c r="AV77">
        <v>1269</v>
      </c>
      <c r="AW77">
        <v>916.5</v>
      </c>
      <c r="AX77">
        <v>564</v>
      </c>
      <c r="AY77">
        <v>352.5</v>
      </c>
      <c r="AZ77">
        <v>162</v>
      </c>
      <c r="BA77">
        <v>180</v>
      </c>
      <c r="BB77">
        <v>846</v>
      </c>
      <c r="BC77">
        <v>846</v>
      </c>
      <c r="BD77">
        <v>658</v>
      </c>
      <c r="BE77">
        <v>658</v>
      </c>
      <c r="BF77">
        <v>689.33333333333337</v>
      </c>
      <c r="BG77">
        <v>620.4</v>
      </c>
      <c r="BH77">
        <v>423</v>
      </c>
      <c r="BI77">
        <v>162</v>
      </c>
      <c r="BJ77">
        <v>180</v>
      </c>
      <c r="BK77">
        <v>634.5</v>
      </c>
      <c r="BL77">
        <v>640.90909090909088</v>
      </c>
      <c r="BM77">
        <v>648.6</v>
      </c>
      <c r="BN77">
        <v>564</v>
      </c>
      <c r="BO77">
        <v>564</v>
      </c>
      <c r="BP77">
        <v>282</v>
      </c>
      <c r="BQ77">
        <f>(I77+J77+N77+O77)/4</f>
        <v>8.7083333333333321</v>
      </c>
      <c r="BR77">
        <f>(K77+L77+M77)/3</f>
        <v>5.977777777777777</v>
      </c>
      <c r="BS77">
        <f>BQ77/BR77</f>
        <v>1.4567843866171004</v>
      </c>
      <c r="BT77">
        <f>AQ77/I77</f>
        <v>141</v>
      </c>
      <c r="BU77" t="str">
        <f>IF(OR(A77=2, A77=12), "Central", IF(A77=3, "Semi-Central", "Periférica"))</f>
        <v>Periférica</v>
      </c>
    </row>
    <row r="78" spans="1:73" x14ac:dyDescent="0.3">
      <c r="A78" s="1">
        <v>18</v>
      </c>
      <c r="B78" s="1">
        <v>1816</v>
      </c>
      <c r="C78" s="1">
        <v>216</v>
      </c>
      <c r="D78" t="s">
        <v>5</v>
      </c>
      <c r="E78" t="s">
        <v>0</v>
      </c>
      <c r="F78">
        <v>0</v>
      </c>
      <c r="G78">
        <v>0.66666666666666663</v>
      </c>
      <c r="H78">
        <v>14</v>
      </c>
      <c r="I78">
        <v>15.33333333333333</v>
      </c>
      <c r="J78">
        <v>8.6666666666666661</v>
      </c>
      <c r="K78">
        <v>7</v>
      </c>
      <c r="L78">
        <v>7.333333333333333</v>
      </c>
      <c r="M78">
        <v>7.6</v>
      </c>
      <c r="N78">
        <v>10</v>
      </c>
      <c r="O78">
        <v>8.5</v>
      </c>
      <c r="P78">
        <v>6</v>
      </c>
      <c r="Q78">
        <v>4</v>
      </c>
      <c r="R78">
        <v>0</v>
      </c>
      <c r="S78">
        <v>0</v>
      </c>
      <c r="T78">
        <v>7</v>
      </c>
      <c r="U78">
        <v>6</v>
      </c>
      <c r="V78">
        <v>4</v>
      </c>
      <c r="W78">
        <v>4</v>
      </c>
      <c r="X78">
        <v>4.8888888888888893</v>
      </c>
      <c r="Y78">
        <v>4.8</v>
      </c>
      <c r="Z78">
        <v>3</v>
      </c>
      <c r="AA78">
        <v>0</v>
      </c>
      <c r="AB78">
        <v>0</v>
      </c>
      <c r="AC78">
        <v>5</v>
      </c>
      <c r="AD78">
        <v>4</v>
      </c>
      <c r="AE78">
        <v>4.2</v>
      </c>
      <c r="AF78">
        <v>4</v>
      </c>
      <c r="AG78">
        <v>4</v>
      </c>
      <c r="AH78">
        <v>3</v>
      </c>
      <c r="AI78" s="1">
        <v>18</v>
      </c>
      <c r="AJ78" s="1">
        <v>1816</v>
      </c>
      <c r="AK78" s="1">
        <v>216</v>
      </c>
      <c r="AL78" t="s">
        <v>5</v>
      </c>
      <c r="AM78" t="s">
        <v>0</v>
      </c>
      <c r="AN78">
        <v>0</v>
      </c>
      <c r="AO78">
        <v>100</v>
      </c>
      <c r="AP78">
        <v>2100</v>
      </c>
      <c r="AQ78">
        <v>2300</v>
      </c>
      <c r="AR78">
        <v>1300</v>
      </c>
      <c r="AS78">
        <v>1050</v>
      </c>
      <c r="AT78">
        <v>1100</v>
      </c>
      <c r="AU78">
        <v>1140</v>
      </c>
      <c r="AV78">
        <v>1500</v>
      </c>
      <c r="AW78">
        <v>1275</v>
      </c>
      <c r="AX78">
        <v>900</v>
      </c>
      <c r="AY78">
        <v>600</v>
      </c>
      <c r="AZ78">
        <v>0</v>
      </c>
      <c r="BA78">
        <v>0</v>
      </c>
      <c r="BB78">
        <v>630</v>
      </c>
      <c r="BC78">
        <v>540</v>
      </c>
      <c r="BD78">
        <v>360</v>
      </c>
      <c r="BE78">
        <v>360</v>
      </c>
      <c r="BF78">
        <v>440</v>
      </c>
      <c r="BG78">
        <v>432</v>
      </c>
      <c r="BH78">
        <v>270</v>
      </c>
      <c r="BI78">
        <v>0</v>
      </c>
      <c r="BJ78">
        <v>0</v>
      </c>
      <c r="BK78">
        <v>450</v>
      </c>
      <c r="BL78">
        <v>360</v>
      </c>
      <c r="BM78">
        <v>378</v>
      </c>
      <c r="BN78">
        <v>360</v>
      </c>
      <c r="BO78">
        <v>360</v>
      </c>
      <c r="BP78">
        <v>270</v>
      </c>
      <c r="BQ78">
        <f>(I78+J78+N78+O78)/4</f>
        <v>10.625</v>
      </c>
      <c r="BR78">
        <f>(K78+L78+M78)/3</f>
        <v>7.31111111111111</v>
      </c>
      <c r="BS78">
        <f>BQ78/BR78</f>
        <v>1.4532674772036476</v>
      </c>
      <c r="BT78">
        <f>AQ78/I78</f>
        <v>150.00000000000003</v>
      </c>
      <c r="BU78" t="str">
        <f>IF(OR(A78=2, A78=12), "Central", IF(A78=3, "Semi-Central", "Periférica"))</f>
        <v>Periférica</v>
      </c>
    </row>
    <row r="79" spans="1:73" x14ac:dyDescent="0.3">
      <c r="A79" s="1">
        <v>4</v>
      </c>
      <c r="B79" s="1">
        <v>464</v>
      </c>
      <c r="C79" s="1" t="s">
        <v>365</v>
      </c>
      <c r="D79" t="s">
        <v>1</v>
      </c>
      <c r="E79" t="s">
        <v>0</v>
      </c>
      <c r="F79">
        <v>0</v>
      </c>
      <c r="G79">
        <v>0.66666666666666663</v>
      </c>
      <c r="H79">
        <v>13</v>
      </c>
      <c r="I79">
        <v>14</v>
      </c>
      <c r="J79">
        <v>12.666666666666666</v>
      </c>
      <c r="K79">
        <v>7.666666666666667</v>
      </c>
      <c r="L79">
        <v>8.6666666666666661</v>
      </c>
      <c r="M79">
        <v>9.1999999999999993</v>
      </c>
      <c r="N79">
        <v>10.5</v>
      </c>
      <c r="O79">
        <v>12</v>
      </c>
      <c r="P79">
        <v>5.333333333333333</v>
      </c>
      <c r="Q79">
        <v>4</v>
      </c>
      <c r="R79">
        <v>0</v>
      </c>
      <c r="S79">
        <v>0.66666666666666663</v>
      </c>
      <c r="T79">
        <v>4</v>
      </c>
      <c r="U79">
        <v>6.4</v>
      </c>
      <c r="V79">
        <v>5.333333333333333</v>
      </c>
      <c r="W79">
        <v>6</v>
      </c>
      <c r="X79">
        <v>5.5555555555555554</v>
      </c>
      <c r="Y79">
        <v>4.8</v>
      </c>
      <c r="Z79">
        <v>3.5</v>
      </c>
      <c r="AA79">
        <v>0</v>
      </c>
      <c r="AB79">
        <v>0</v>
      </c>
      <c r="AC79">
        <v>4</v>
      </c>
      <c r="AD79">
        <v>4.9090909090909092</v>
      </c>
      <c r="AE79">
        <v>5</v>
      </c>
      <c r="AF79">
        <v>4.666666666666667</v>
      </c>
      <c r="AG79">
        <v>5</v>
      </c>
      <c r="AH79">
        <v>3</v>
      </c>
      <c r="AI79" s="1">
        <v>4</v>
      </c>
      <c r="AJ79" s="1">
        <v>464</v>
      </c>
      <c r="AK79" s="1" t="s">
        <v>365</v>
      </c>
      <c r="AL79" t="s">
        <v>1</v>
      </c>
      <c r="AM79" t="s">
        <v>0</v>
      </c>
      <c r="AN79">
        <v>0</v>
      </c>
      <c r="AO79">
        <v>50.666666666666664</v>
      </c>
      <c r="AP79">
        <v>1218</v>
      </c>
      <c r="AQ79">
        <v>1370.6666666666667</v>
      </c>
      <c r="AR79">
        <v>1146.6666666666667</v>
      </c>
      <c r="AS79">
        <v>682.33333333333337</v>
      </c>
      <c r="AT79">
        <v>766</v>
      </c>
      <c r="AU79">
        <v>874</v>
      </c>
      <c r="AV79">
        <v>1016.5</v>
      </c>
      <c r="AW79">
        <v>1107.5</v>
      </c>
      <c r="AX79">
        <v>482</v>
      </c>
      <c r="AY79">
        <v>327</v>
      </c>
      <c r="AZ79">
        <v>0</v>
      </c>
      <c r="BA79">
        <v>50.666666666666664</v>
      </c>
      <c r="BB79">
        <v>396</v>
      </c>
      <c r="BC79">
        <v>541.6</v>
      </c>
      <c r="BD79">
        <v>451.33333333333331</v>
      </c>
      <c r="BE79">
        <v>502</v>
      </c>
      <c r="BF79">
        <v>478.44444444444446</v>
      </c>
      <c r="BG79">
        <v>410.8</v>
      </c>
      <c r="BH79">
        <v>289</v>
      </c>
      <c r="BI79">
        <v>0</v>
      </c>
      <c r="BJ79">
        <v>0</v>
      </c>
      <c r="BK79">
        <v>350</v>
      </c>
      <c r="BL79">
        <v>440</v>
      </c>
      <c r="BM79">
        <v>449</v>
      </c>
      <c r="BN79">
        <v>416</v>
      </c>
      <c r="BO79">
        <v>472</v>
      </c>
      <c r="BP79">
        <v>262.5</v>
      </c>
      <c r="BQ79">
        <f>(I79+J79+N79+O79)/4</f>
        <v>12.291666666666666</v>
      </c>
      <c r="BR79">
        <f>(K79+L79+M79)/3</f>
        <v>8.5111111111111111</v>
      </c>
      <c r="BS79">
        <f>BQ79/BR79</f>
        <v>1.4441906005221932</v>
      </c>
      <c r="BT79">
        <f>AQ79/I79</f>
        <v>97.904761904761912</v>
      </c>
      <c r="BU79" t="str">
        <f>IF(OR(A79=2, A79=12), "Central", IF(A79=3, "Semi-Central", "Periférica"))</f>
        <v>Periférica</v>
      </c>
    </row>
    <row r="80" spans="1:73" x14ac:dyDescent="0.3">
      <c r="A80" s="1">
        <v>4</v>
      </c>
      <c r="B80" s="1">
        <v>473</v>
      </c>
      <c r="C80" s="1" t="s">
        <v>382</v>
      </c>
      <c r="D80" t="s">
        <v>1</v>
      </c>
      <c r="E80" t="s">
        <v>0</v>
      </c>
      <c r="F80">
        <v>0</v>
      </c>
      <c r="G80">
        <v>0</v>
      </c>
      <c r="H80">
        <v>14</v>
      </c>
      <c r="I80">
        <v>12.666666666666666</v>
      </c>
      <c r="J80">
        <v>12.666666666666666</v>
      </c>
      <c r="K80">
        <v>8.3333333333333339</v>
      </c>
      <c r="L80">
        <v>8</v>
      </c>
      <c r="M80">
        <v>8.8000000000000007</v>
      </c>
      <c r="N80">
        <v>10</v>
      </c>
      <c r="O80">
        <v>13</v>
      </c>
      <c r="P80">
        <v>7.333333333333333</v>
      </c>
      <c r="Q80">
        <v>3</v>
      </c>
      <c r="R80">
        <v>0</v>
      </c>
      <c r="S80">
        <v>0</v>
      </c>
      <c r="T80">
        <v>5</v>
      </c>
      <c r="U80">
        <v>5.2</v>
      </c>
      <c r="V80">
        <v>5</v>
      </c>
      <c r="W80">
        <v>6</v>
      </c>
      <c r="X80">
        <v>6.2222222222222223</v>
      </c>
      <c r="Y80">
        <v>4</v>
      </c>
      <c r="Z80">
        <v>2</v>
      </c>
      <c r="AA80">
        <v>0</v>
      </c>
      <c r="AB80">
        <v>0</v>
      </c>
      <c r="AC80">
        <v>5</v>
      </c>
      <c r="AD80">
        <v>4.9090909090909092</v>
      </c>
      <c r="AE80">
        <v>4.8</v>
      </c>
      <c r="AF80">
        <v>4.333333333333333</v>
      </c>
      <c r="AG80">
        <v>4</v>
      </c>
      <c r="AH80">
        <v>2</v>
      </c>
      <c r="AI80" s="1">
        <v>4</v>
      </c>
      <c r="AJ80" s="1">
        <v>473</v>
      </c>
      <c r="AK80" s="1" t="s">
        <v>382</v>
      </c>
      <c r="AL80" t="s">
        <v>1</v>
      </c>
      <c r="AM80" t="s">
        <v>0</v>
      </c>
      <c r="AN80">
        <v>0</v>
      </c>
      <c r="AO80">
        <v>0</v>
      </c>
      <c r="AP80">
        <v>1386</v>
      </c>
      <c r="AQ80">
        <v>1254</v>
      </c>
      <c r="AR80">
        <v>1254</v>
      </c>
      <c r="AS80">
        <v>825</v>
      </c>
      <c r="AT80">
        <v>792</v>
      </c>
      <c r="AU80">
        <v>871.2</v>
      </c>
      <c r="AV80">
        <v>990</v>
      </c>
      <c r="AW80">
        <v>1287</v>
      </c>
      <c r="AX80">
        <v>726</v>
      </c>
      <c r="AY80">
        <v>297</v>
      </c>
      <c r="AZ80">
        <v>0</v>
      </c>
      <c r="BA80">
        <v>0</v>
      </c>
      <c r="BB80">
        <v>495</v>
      </c>
      <c r="BC80">
        <v>514.79999999999995</v>
      </c>
      <c r="BD80">
        <v>495</v>
      </c>
      <c r="BE80">
        <v>594</v>
      </c>
      <c r="BF80">
        <v>616</v>
      </c>
      <c r="BG80">
        <v>396</v>
      </c>
      <c r="BH80">
        <v>198</v>
      </c>
      <c r="BI80">
        <v>0</v>
      </c>
      <c r="BJ80">
        <v>0</v>
      </c>
      <c r="BK80">
        <v>495</v>
      </c>
      <c r="BL80">
        <v>486</v>
      </c>
      <c r="BM80">
        <v>475.2</v>
      </c>
      <c r="BN80">
        <v>429</v>
      </c>
      <c r="BO80">
        <v>396</v>
      </c>
      <c r="BP80">
        <v>198</v>
      </c>
      <c r="BQ80">
        <f>(I80+J80+N80+O80)/4</f>
        <v>12.083333333333332</v>
      </c>
      <c r="BR80">
        <f>(K80+L80+M80)/3</f>
        <v>8.3777777777777782</v>
      </c>
      <c r="BS80">
        <f>BQ80/BR80</f>
        <v>1.4423076923076921</v>
      </c>
      <c r="BT80">
        <f>AQ80/I80</f>
        <v>99</v>
      </c>
      <c r="BU80" t="str">
        <f>IF(OR(A80=2, A80=12), "Central", IF(A80=3, "Semi-Central", "Periférica"))</f>
        <v>Periférica</v>
      </c>
    </row>
    <row r="81" spans="1:73" x14ac:dyDescent="0.3">
      <c r="A81" s="1">
        <v>3</v>
      </c>
      <c r="B81" s="1">
        <v>317</v>
      </c>
      <c r="C81" s="1" t="s">
        <v>242</v>
      </c>
      <c r="D81" t="s">
        <v>5</v>
      </c>
      <c r="E81" t="s">
        <v>0</v>
      </c>
      <c r="F81">
        <v>0</v>
      </c>
      <c r="G81">
        <v>0.44444444444444442</v>
      </c>
      <c r="H81">
        <v>5</v>
      </c>
      <c r="I81">
        <v>10</v>
      </c>
      <c r="J81">
        <v>5.333333333333333</v>
      </c>
      <c r="K81">
        <v>5</v>
      </c>
      <c r="L81">
        <v>4.666666666666667</v>
      </c>
      <c r="M81">
        <v>5.6</v>
      </c>
      <c r="N81">
        <v>8</v>
      </c>
      <c r="O81">
        <v>6</v>
      </c>
      <c r="P81">
        <v>4.666666666666667</v>
      </c>
      <c r="Q81">
        <v>2</v>
      </c>
      <c r="R81">
        <v>0</v>
      </c>
      <c r="S81">
        <v>0.22222222222222221</v>
      </c>
      <c r="T81">
        <v>3</v>
      </c>
      <c r="U81">
        <v>4</v>
      </c>
      <c r="V81">
        <v>4</v>
      </c>
      <c r="W81">
        <v>4</v>
      </c>
      <c r="X81">
        <v>3.1111111111111112</v>
      </c>
      <c r="Y81">
        <v>3.2</v>
      </c>
      <c r="Z81">
        <v>1.5</v>
      </c>
      <c r="AA81">
        <v>0</v>
      </c>
      <c r="AB81">
        <v>0</v>
      </c>
      <c r="AC81">
        <v>3</v>
      </c>
      <c r="AD81">
        <v>3.4545454545454546</v>
      </c>
      <c r="AE81">
        <v>3.4</v>
      </c>
      <c r="AF81">
        <v>3.3333333333333335</v>
      </c>
      <c r="AG81">
        <v>2</v>
      </c>
      <c r="AH81">
        <v>1</v>
      </c>
      <c r="AI81" s="1">
        <v>3</v>
      </c>
      <c r="AJ81" s="1">
        <v>317</v>
      </c>
      <c r="AK81" s="1" t="s">
        <v>242</v>
      </c>
      <c r="AL81" t="s">
        <v>5</v>
      </c>
      <c r="AM81" t="s">
        <v>0</v>
      </c>
      <c r="AN81">
        <v>0</v>
      </c>
      <c r="AO81">
        <v>40</v>
      </c>
      <c r="AP81">
        <v>450</v>
      </c>
      <c r="AQ81">
        <v>900</v>
      </c>
      <c r="AR81">
        <v>480</v>
      </c>
      <c r="AS81">
        <v>450</v>
      </c>
      <c r="AT81">
        <v>420</v>
      </c>
      <c r="AU81">
        <v>504</v>
      </c>
      <c r="AV81">
        <v>720</v>
      </c>
      <c r="AW81">
        <v>540</v>
      </c>
      <c r="AX81">
        <v>420</v>
      </c>
      <c r="AY81">
        <v>180</v>
      </c>
      <c r="AZ81">
        <v>0</v>
      </c>
      <c r="BA81">
        <v>20</v>
      </c>
      <c r="BB81">
        <v>270</v>
      </c>
      <c r="BC81">
        <v>360</v>
      </c>
      <c r="BD81">
        <v>360</v>
      </c>
      <c r="BE81">
        <v>360</v>
      </c>
      <c r="BF81">
        <v>280</v>
      </c>
      <c r="BG81">
        <v>288</v>
      </c>
      <c r="BH81">
        <v>135</v>
      </c>
      <c r="BI81">
        <v>0</v>
      </c>
      <c r="BJ81">
        <v>0</v>
      </c>
      <c r="BK81">
        <v>270</v>
      </c>
      <c r="BL81">
        <v>310.90909090909093</v>
      </c>
      <c r="BM81">
        <v>306</v>
      </c>
      <c r="BN81">
        <v>300</v>
      </c>
      <c r="BO81">
        <v>180</v>
      </c>
      <c r="BP81">
        <v>90</v>
      </c>
      <c r="BQ81">
        <f>(I81+J81+N81+O81)/4</f>
        <v>7.333333333333333</v>
      </c>
      <c r="BR81">
        <f>(K81+L81+M81)/3</f>
        <v>5.0888888888888895</v>
      </c>
      <c r="BS81">
        <f>BQ81/BR81</f>
        <v>1.4410480349344976</v>
      </c>
      <c r="BT81">
        <f>AQ81/I81</f>
        <v>90</v>
      </c>
      <c r="BU81" t="str">
        <f>IF(OR(A81=2, A81=12), "Central", IF(A81=3, "Semi-Central", "Periférica"))</f>
        <v>Semi-Central</v>
      </c>
    </row>
    <row r="82" spans="1:73" x14ac:dyDescent="0.3">
      <c r="A82" s="1">
        <v>2</v>
      </c>
      <c r="B82" s="1">
        <v>232</v>
      </c>
      <c r="C82" s="1" t="s">
        <v>384</v>
      </c>
      <c r="D82" t="s">
        <v>1</v>
      </c>
      <c r="E82" t="s">
        <v>0</v>
      </c>
      <c r="F82">
        <v>0</v>
      </c>
      <c r="G82">
        <v>0</v>
      </c>
      <c r="H82">
        <v>5</v>
      </c>
      <c r="I82">
        <v>9.3333333333333339</v>
      </c>
      <c r="J82">
        <v>4</v>
      </c>
      <c r="K82">
        <v>4.666666666666667</v>
      </c>
      <c r="L82">
        <v>4</v>
      </c>
      <c r="M82">
        <v>4</v>
      </c>
      <c r="N82">
        <v>5.5</v>
      </c>
      <c r="O82">
        <v>5.5</v>
      </c>
      <c r="P82">
        <v>4</v>
      </c>
      <c r="Q82">
        <v>2</v>
      </c>
      <c r="R82">
        <v>0</v>
      </c>
      <c r="S82">
        <v>0</v>
      </c>
      <c r="T82">
        <v>4</v>
      </c>
      <c r="U82">
        <v>4.4000000000000004</v>
      </c>
      <c r="V82">
        <v>4</v>
      </c>
      <c r="W82">
        <v>4.333333333333333</v>
      </c>
      <c r="X82">
        <v>3.3333333333333335</v>
      </c>
      <c r="Y82">
        <v>3.2</v>
      </c>
      <c r="Z82">
        <v>1.5</v>
      </c>
      <c r="AA82">
        <v>0</v>
      </c>
      <c r="AB82">
        <v>0</v>
      </c>
      <c r="AC82">
        <v>3</v>
      </c>
      <c r="AD82">
        <v>3.0909090909090908</v>
      </c>
      <c r="AE82">
        <v>3.2</v>
      </c>
      <c r="AF82">
        <v>3</v>
      </c>
      <c r="AG82">
        <v>3</v>
      </c>
      <c r="AH82">
        <v>1.5</v>
      </c>
      <c r="AI82" s="1">
        <v>2</v>
      </c>
      <c r="AJ82" s="1">
        <v>232</v>
      </c>
      <c r="AK82" s="1" t="s">
        <v>384</v>
      </c>
      <c r="AL82" t="s">
        <v>1</v>
      </c>
      <c r="AM82" t="s">
        <v>0</v>
      </c>
      <c r="AN82">
        <v>0</v>
      </c>
      <c r="AO82">
        <v>0</v>
      </c>
      <c r="AP82">
        <v>460</v>
      </c>
      <c r="AQ82">
        <v>858.66666666666663</v>
      </c>
      <c r="AR82">
        <v>368</v>
      </c>
      <c r="AS82">
        <v>429.33333333333331</v>
      </c>
      <c r="AT82">
        <v>368</v>
      </c>
      <c r="AU82">
        <v>368</v>
      </c>
      <c r="AV82">
        <v>506</v>
      </c>
      <c r="AW82">
        <v>506</v>
      </c>
      <c r="AX82">
        <v>368</v>
      </c>
      <c r="AY82">
        <v>184</v>
      </c>
      <c r="AZ82">
        <v>0</v>
      </c>
      <c r="BA82">
        <v>0</v>
      </c>
      <c r="BB82">
        <v>368</v>
      </c>
      <c r="BC82">
        <v>404.8</v>
      </c>
      <c r="BD82">
        <v>368</v>
      </c>
      <c r="BE82">
        <v>398.66666666666669</v>
      </c>
      <c r="BF82">
        <v>306.66666666666669</v>
      </c>
      <c r="BG82">
        <v>294.39999999999998</v>
      </c>
      <c r="BH82">
        <v>138</v>
      </c>
      <c r="BI82">
        <v>0</v>
      </c>
      <c r="BJ82">
        <v>0</v>
      </c>
      <c r="BK82">
        <v>276</v>
      </c>
      <c r="BL82">
        <v>284.36363636363637</v>
      </c>
      <c r="BM82">
        <v>294.39999999999998</v>
      </c>
      <c r="BN82">
        <v>276</v>
      </c>
      <c r="BO82">
        <v>276</v>
      </c>
      <c r="BP82">
        <v>138</v>
      </c>
      <c r="BQ82">
        <f>(I82+J82+N82+O82)/4</f>
        <v>6.0833333333333339</v>
      </c>
      <c r="BR82">
        <f>(K82+L82+M82)/3</f>
        <v>4.2222222222222223</v>
      </c>
      <c r="BS82">
        <f>BQ82/BR82</f>
        <v>1.4407894736842106</v>
      </c>
      <c r="BT82">
        <f>AQ82/I82</f>
        <v>91.999999999999986</v>
      </c>
      <c r="BU82" t="str">
        <f>IF(OR(A82=2, A82=12), "Central", IF(A82=3, "Semi-Central", "Periférica"))</f>
        <v>Central</v>
      </c>
    </row>
    <row r="83" spans="1:73" x14ac:dyDescent="0.3">
      <c r="A83" s="1">
        <v>11</v>
      </c>
      <c r="B83" s="1">
        <v>1117</v>
      </c>
      <c r="C83" s="1" t="s">
        <v>383</v>
      </c>
      <c r="D83" t="s">
        <v>5</v>
      </c>
      <c r="F83">
        <v>0</v>
      </c>
      <c r="G83">
        <v>0</v>
      </c>
      <c r="H83">
        <v>3</v>
      </c>
      <c r="I83">
        <v>3.333333333333333</v>
      </c>
      <c r="J83">
        <v>2.666666666666667</v>
      </c>
      <c r="K83">
        <v>2</v>
      </c>
      <c r="L83">
        <v>2</v>
      </c>
      <c r="M83">
        <v>2</v>
      </c>
      <c r="N83">
        <v>3</v>
      </c>
      <c r="O83">
        <v>2.5</v>
      </c>
      <c r="P83">
        <v>2</v>
      </c>
      <c r="Q83">
        <v>1.5</v>
      </c>
      <c r="R83">
        <v>0</v>
      </c>
      <c r="S83">
        <v>0</v>
      </c>
      <c r="T83">
        <v>2</v>
      </c>
      <c r="U83">
        <v>2</v>
      </c>
      <c r="V83">
        <v>2</v>
      </c>
      <c r="W83">
        <v>2</v>
      </c>
      <c r="X83">
        <v>2</v>
      </c>
      <c r="Y83">
        <v>2</v>
      </c>
      <c r="Z83">
        <v>1.5</v>
      </c>
      <c r="AA83">
        <v>0</v>
      </c>
      <c r="AB83">
        <v>0</v>
      </c>
      <c r="AC83">
        <v>2</v>
      </c>
      <c r="AD83">
        <v>2</v>
      </c>
      <c r="AE83">
        <v>2</v>
      </c>
      <c r="AF83">
        <v>2</v>
      </c>
      <c r="AG83">
        <v>2</v>
      </c>
      <c r="AH83">
        <v>1.5</v>
      </c>
      <c r="AI83" s="1">
        <v>11</v>
      </c>
      <c r="AJ83" s="1">
        <v>1117</v>
      </c>
      <c r="AK83" s="1" t="s">
        <v>383</v>
      </c>
      <c r="AL83" t="s">
        <v>5</v>
      </c>
      <c r="AN83">
        <v>0</v>
      </c>
      <c r="AO83">
        <v>0</v>
      </c>
      <c r="AP83">
        <v>180</v>
      </c>
      <c r="AQ83">
        <v>200</v>
      </c>
      <c r="AR83">
        <v>160</v>
      </c>
      <c r="AS83">
        <v>120</v>
      </c>
      <c r="AT83">
        <v>120</v>
      </c>
      <c r="AU83">
        <v>120</v>
      </c>
      <c r="AV83">
        <v>180</v>
      </c>
      <c r="AW83">
        <v>150</v>
      </c>
      <c r="AX83">
        <v>120</v>
      </c>
      <c r="AY83">
        <v>90</v>
      </c>
      <c r="AZ83">
        <v>0</v>
      </c>
      <c r="BA83">
        <v>0</v>
      </c>
      <c r="BB83">
        <v>120</v>
      </c>
      <c r="BC83">
        <v>120</v>
      </c>
      <c r="BD83">
        <v>120</v>
      </c>
      <c r="BE83">
        <v>120</v>
      </c>
      <c r="BF83">
        <v>120</v>
      </c>
      <c r="BG83">
        <v>120</v>
      </c>
      <c r="BH83">
        <v>90</v>
      </c>
      <c r="BI83">
        <v>0</v>
      </c>
      <c r="BJ83">
        <v>0</v>
      </c>
      <c r="BK83">
        <v>120</v>
      </c>
      <c r="BL83">
        <v>120</v>
      </c>
      <c r="BM83">
        <v>120</v>
      </c>
      <c r="BN83">
        <v>120</v>
      </c>
      <c r="BO83">
        <v>120</v>
      </c>
      <c r="BP83">
        <v>90</v>
      </c>
      <c r="BQ83">
        <f>(I83+J83+N83+O83)/4</f>
        <v>2.875</v>
      </c>
      <c r="BR83">
        <f>(K83+L83+M83)/3</f>
        <v>2</v>
      </c>
      <c r="BS83">
        <f>BQ83/BR83</f>
        <v>1.4375</v>
      </c>
      <c r="BT83">
        <f>AQ83/I83</f>
        <v>60.000000000000007</v>
      </c>
      <c r="BU83" t="str">
        <f>IF(OR(A83=2, A83=12), "Central", IF(A83=3, "Semi-Central", "Periférica"))</f>
        <v>Periférica</v>
      </c>
    </row>
    <row r="84" spans="1:73" x14ac:dyDescent="0.3">
      <c r="A84" s="1">
        <v>11</v>
      </c>
      <c r="B84" s="1">
        <v>1117</v>
      </c>
      <c r="C84" s="1" t="s">
        <v>383</v>
      </c>
      <c r="D84" t="s">
        <v>1</v>
      </c>
      <c r="F84">
        <v>0</v>
      </c>
      <c r="G84">
        <v>0</v>
      </c>
      <c r="H84">
        <v>3</v>
      </c>
      <c r="I84">
        <v>3.333333333333333</v>
      </c>
      <c r="J84">
        <v>2.666666666666667</v>
      </c>
      <c r="K84">
        <v>2</v>
      </c>
      <c r="L84">
        <v>2</v>
      </c>
      <c r="M84">
        <v>2</v>
      </c>
      <c r="N84">
        <v>3</v>
      </c>
      <c r="O84">
        <v>2.5</v>
      </c>
      <c r="P84">
        <v>2</v>
      </c>
      <c r="Q84">
        <v>1.5</v>
      </c>
      <c r="R84">
        <v>0</v>
      </c>
      <c r="S84">
        <v>0</v>
      </c>
      <c r="T84">
        <v>2</v>
      </c>
      <c r="U84">
        <v>2</v>
      </c>
      <c r="V84">
        <v>2</v>
      </c>
      <c r="W84">
        <v>2</v>
      </c>
      <c r="X84">
        <v>2</v>
      </c>
      <c r="Y84">
        <v>2</v>
      </c>
      <c r="Z84">
        <v>1.5</v>
      </c>
      <c r="AA84">
        <v>0</v>
      </c>
      <c r="AB84">
        <v>0</v>
      </c>
      <c r="AC84">
        <v>2</v>
      </c>
      <c r="AD84">
        <v>2</v>
      </c>
      <c r="AE84">
        <v>2</v>
      </c>
      <c r="AF84">
        <v>2</v>
      </c>
      <c r="AG84">
        <v>2</v>
      </c>
      <c r="AH84">
        <v>1.5</v>
      </c>
      <c r="AI84" s="1">
        <v>11</v>
      </c>
      <c r="AJ84" s="1">
        <v>1117</v>
      </c>
      <c r="AK84" s="1" t="s">
        <v>383</v>
      </c>
      <c r="AL84" t="s">
        <v>1</v>
      </c>
      <c r="AN84">
        <v>0</v>
      </c>
      <c r="AO84">
        <v>0</v>
      </c>
      <c r="AP84">
        <v>180</v>
      </c>
      <c r="AQ84">
        <v>200</v>
      </c>
      <c r="AR84">
        <v>160</v>
      </c>
      <c r="AS84">
        <v>120</v>
      </c>
      <c r="AT84">
        <v>120</v>
      </c>
      <c r="AU84">
        <v>120</v>
      </c>
      <c r="AV84">
        <v>180</v>
      </c>
      <c r="AW84">
        <v>150</v>
      </c>
      <c r="AX84">
        <v>120</v>
      </c>
      <c r="AY84">
        <v>90</v>
      </c>
      <c r="AZ84">
        <v>0</v>
      </c>
      <c r="BA84">
        <v>0</v>
      </c>
      <c r="BB84">
        <v>120</v>
      </c>
      <c r="BC84">
        <v>120</v>
      </c>
      <c r="BD84">
        <v>120</v>
      </c>
      <c r="BE84">
        <v>120</v>
      </c>
      <c r="BF84">
        <v>120</v>
      </c>
      <c r="BG84">
        <v>120</v>
      </c>
      <c r="BH84">
        <v>90</v>
      </c>
      <c r="BI84">
        <v>0</v>
      </c>
      <c r="BJ84">
        <v>0</v>
      </c>
      <c r="BK84">
        <v>120</v>
      </c>
      <c r="BL84">
        <v>120</v>
      </c>
      <c r="BM84">
        <v>120</v>
      </c>
      <c r="BN84">
        <v>120</v>
      </c>
      <c r="BO84">
        <v>120</v>
      </c>
      <c r="BP84">
        <v>90</v>
      </c>
      <c r="BQ84">
        <f>(I84+J84+N84+O84)/4</f>
        <v>2.875</v>
      </c>
      <c r="BR84">
        <f>(K84+L84+M84)/3</f>
        <v>2</v>
      </c>
      <c r="BS84">
        <f>BQ84/BR84</f>
        <v>1.4375</v>
      </c>
      <c r="BT84">
        <f>AQ84/I84</f>
        <v>60.000000000000007</v>
      </c>
      <c r="BU84" t="str">
        <f>IF(OR(A84=2, A84=12), "Central", IF(A84=3, "Semi-Central", "Periférica"))</f>
        <v>Periférica</v>
      </c>
    </row>
    <row r="85" spans="1:73" x14ac:dyDescent="0.3">
      <c r="A85" s="1">
        <v>13</v>
      </c>
      <c r="B85" s="1">
        <v>1328</v>
      </c>
      <c r="C85" s="1">
        <v>428</v>
      </c>
      <c r="D85" t="s">
        <v>1</v>
      </c>
      <c r="F85">
        <v>2</v>
      </c>
      <c r="G85">
        <v>1.333333333333333</v>
      </c>
      <c r="H85">
        <v>8</v>
      </c>
      <c r="I85">
        <v>12</v>
      </c>
      <c r="J85">
        <v>7.333333333333333</v>
      </c>
      <c r="K85">
        <v>6</v>
      </c>
      <c r="L85">
        <v>6</v>
      </c>
      <c r="M85">
        <v>6.8</v>
      </c>
      <c r="N85">
        <v>8</v>
      </c>
      <c r="O85">
        <v>8.5</v>
      </c>
      <c r="P85">
        <v>5.333333333333333</v>
      </c>
      <c r="Q85">
        <v>4.5</v>
      </c>
      <c r="R85">
        <v>2</v>
      </c>
      <c r="S85">
        <v>0.88888888888888884</v>
      </c>
      <c r="T85">
        <v>7</v>
      </c>
      <c r="U85">
        <v>6.8</v>
      </c>
      <c r="V85">
        <v>6.333333333333333</v>
      </c>
      <c r="W85">
        <v>7.333333333333333</v>
      </c>
      <c r="X85">
        <v>6</v>
      </c>
      <c r="Y85">
        <v>6</v>
      </c>
      <c r="Z85">
        <v>4</v>
      </c>
      <c r="AA85">
        <v>2</v>
      </c>
      <c r="AB85">
        <v>0.88888888888888884</v>
      </c>
      <c r="AC85">
        <v>4.5</v>
      </c>
      <c r="AD85">
        <v>5.0909090909090908</v>
      </c>
      <c r="AE85">
        <v>5.2</v>
      </c>
      <c r="AF85">
        <v>5</v>
      </c>
      <c r="AG85">
        <v>5</v>
      </c>
      <c r="AH85">
        <v>3.5</v>
      </c>
      <c r="AI85" s="1">
        <v>13</v>
      </c>
      <c r="AJ85" s="1">
        <v>1328</v>
      </c>
      <c r="AK85" s="1">
        <v>428</v>
      </c>
      <c r="AL85" t="s">
        <v>1</v>
      </c>
      <c r="AN85">
        <v>180</v>
      </c>
      <c r="AO85">
        <v>120</v>
      </c>
      <c r="AP85">
        <v>720</v>
      </c>
      <c r="AQ85">
        <v>1080</v>
      </c>
      <c r="AR85">
        <v>660</v>
      </c>
      <c r="AS85">
        <v>540</v>
      </c>
      <c r="AT85">
        <v>540</v>
      </c>
      <c r="AU85">
        <v>612</v>
      </c>
      <c r="AV85">
        <v>720</v>
      </c>
      <c r="AW85">
        <v>765</v>
      </c>
      <c r="AX85">
        <v>480</v>
      </c>
      <c r="AY85">
        <v>405</v>
      </c>
      <c r="AZ85">
        <v>180</v>
      </c>
      <c r="BA85">
        <v>80</v>
      </c>
      <c r="BB85">
        <v>630</v>
      </c>
      <c r="BC85">
        <v>612</v>
      </c>
      <c r="BD85">
        <v>570</v>
      </c>
      <c r="BE85">
        <v>660</v>
      </c>
      <c r="BF85">
        <v>540</v>
      </c>
      <c r="BG85">
        <v>540</v>
      </c>
      <c r="BH85">
        <v>360</v>
      </c>
      <c r="BI85">
        <v>180</v>
      </c>
      <c r="BJ85">
        <v>80</v>
      </c>
      <c r="BK85">
        <v>405</v>
      </c>
      <c r="BL85">
        <v>458.18181818181819</v>
      </c>
      <c r="BM85">
        <v>468</v>
      </c>
      <c r="BN85">
        <v>450</v>
      </c>
      <c r="BO85">
        <v>450</v>
      </c>
      <c r="BP85">
        <v>315</v>
      </c>
      <c r="BQ85">
        <f>(I85+J85+N85+O85)/4</f>
        <v>8.9583333333333321</v>
      </c>
      <c r="BR85">
        <f>(K85+L85+M85)/3</f>
        <v>6.2666666666666666</v>
      </c>
      <c r="BS85">
        <f>BQ85/BR85</f>
        <v>1.4295212765957446</v>
      </c>
      <c r="BT85">
        <f>AQ85/I85</f>
        <v>90</v>
      </c>
      <c r="BU85" t="str">
        <f>IF(OR(A85=2, A85=12), "Central", IF(A85=3, "Semi-Central", "Periférica"))</f>
        <v>Periférica</v>
      </c>
    </row>
    <row r="86" spans="1:73" x14ac:dyDescent="0.3">
      <c r="A86" s="1">
        <v>16</v>
      </c>
      <c r="B86" s="1">
        <v>1612</v>
      </c>
      <c r="C86" s="1" t="s">
        <v>41</v>
      </c>
      <c r="D86" t="s">
        <v>5</v>
      </c>
      <c r="E86" t="s">
        <v>0</v>
      </c>
      <c r="F86">
        <v>0</v>
      </c>
      <c r="G86">
        <v>0.44444444444444442</v>
      </c>
      <c r="H86">
        <v>7</v>
      </c>
      <c r="I86">
        <v>8.6666666666666661</v>
      </c>
      <c r="J86">
        <v>6.666666666666667</v>
      </c>
      <c r="K86">
        <v>4</v>
      </c>
      <c r="L86">
        <v>4.666666666666667</v>
      </c>
      <c r="M86">
        <v>6</v>
      </c>
      <c r="N86">
        <v>7</v>
      </c>
      <c r="O86">
        <v>5.5</v>
      </c>
      <c r="P86">
        <v>6</v>
      </c>
      <c r="Q86">
        <v>3</v>
      </c>
      <c r="R86">
        <v>0</v>
      </c>
      <c r="S86">
        <v>0.22222222222222221</v>
      </c>
      <c r="T86">
        <v>3</v>
      </c>
      <c r="U86">
        <v>4.4000000000000004</v>
      </c>
      <c r="V86">
        <v>4</v>
      </c>
      <c r="W86">
        <v>4</v>
      </c>
      <c r="X86">
        <v>4.4444444444444446</v>
      </c>
      <c r="Y86">
        <v>4.4000000000000004</v>
      </c>
      <c r="Z86">
        <v>2.5</v>
      </c>
      <c r="AA86">
        <v>0</v>
      </c>
      <c r="AB86">
        <v>0.22222222222222221</v>
      </c>
      <c r="AC86">
        <v>3</v>
      </c>
      <c r="AD86">
        <v>3.6363636363636358</v>
      </c>
      <c r="AE86">
        <v>4</v>
      </c>
      <c r="AF86">
        <v>3.666666666666667</v>
      </c>
      <c r="AG86">
        <v>3</v>
      </c>
      <c r="AH86">
        <v>3</v>
      </c>
      <c r="AI86" s="1">
        <v>16</v>
      </c>
      <c r="AJ86" s="1">
        <v>1612</v>
      </c>
      <c r="AK86" s="1" t="s">
        <v>41</v>
      </c>
      <c r="AL86" t="s">
        <v>5</v>
      </c>
      <c r="AM86" t="s">
        <v>0</v>
      </c>
      <c r="AN86">
        <v>0</v>
      </c>
      <c r="AO86">
        <v>40</v>
      </c>
      <c r="AP86">
        <v>630</v>
      </c>
      <c r="AQ86">
        <v>780</v>
      </c>
      <c r="AR86">
        <v>600</v>
      </c>
      <c r="AS86">
        <v>360</v>
      </c>
      <c r="AT86">
        <v>420</v>
      </c>
      <c r="AU86">
        <v>540</v>
      </c>
      <c r="AV86">
        <v>630</v>
      </c>
      <c r="AW86">
        <v>495</v>
      </c>
      <c r="AX86">
        <v>540</v>
      </c>
      <c r="AY86">
        <v>270</v>
      </c>
      <c r="AZ86">
        <v>0</v>
      </c>
      <c r="BA86">
        <v>20</v>
      </c>
      <c r="BB86">
        <v>270</v>
      </c>
      <c r="BC86">
        <v>396</v>
      </c>
      <c r="BD86">
        <v>360</v>
      </c>
      <c r="BE86">
        <v>360</v>
      </c>
      <c r="BF86">
        <v>400</v>
      </c>
      <c r="BG86">
        <v>396</v>
      </c>
      <c r="BH86">
        <v>225</v>
      </c>
      <c r="BI86">
        <v>0</v>
      </c>
      <c r="BJ86">
        <v>20</v>
      </c>
      <c r="BK86">
        <v>270</v>
      </c>
      <c r="BL86">
        <v>327.27272727272731</v>
      </c>
      <c r="BM86">
        <v>360</v>
      </c>
      <c r="BN86">
        <v>330</v>
      </c>
      <c r="BO86">
        <v>270</v>
      </c>
      <c r="BP86">
        <v>270</v>
      </c>
      <c r="BQ86">
        <f>(I86+J86+N86+O86)/4</f>
        <v>6.958333333333333</v>
      </c>
      <c r="BR86">
        <f>(K86+L86+M86)/3</f>
        <v>4.8888888888888893</v>
      </c>
      <c r="BS86">
        <f>BQ86/BR86</f>
        <v>1.4232954545454544</v>
      </c>
      <c r="BT86">
        <f>AQ86/I86</f>
        <v>90</v>
      </c>
      <c r="BU86" t="str">
        <f>IF(OR(A86=2, A86=12), "Central", IF(A86=3, "Semi-Central", "Periférica"))</f>
        <v>Periférica</v>
      </c>
    </row>
    <row r="87" spans="1:73" x14ac:dyDescent="0.3">
      <c r="A87" s="1">
        <v>19</v>
      </c>
      <c r="B87" s="1">
        <v>1910</v>
      </c>
      <c r="C87" s="1">
        <v>210</v>
      </c>
      <c r="D87" t="s">
        <v>1</v>
      </c>
      <c r="E87" t="s">
        <v>0</v>
      </c>
      <c r="F87">
        <v>3</v>
      </c>
      <c r="G87">
        <v>2.4444444444444451</v>
      </c>
      <c r="H87">
        <v>12</v>
      </c>
      <c r="I87">
        <v>14</v>
      </c>
      <c r="J87">
        <v>12.66666666666667</v>
      </c>
      <c r="K87">
        <v>8.3333333333333339</v>
      </c>
      <c r="L87">
        <v>8</v>
      </c>
      <c r="M87">
        <v>8</v>
      </c>
      <c r="N87">
        <v>9.5</v>
      </c>
      <c r="O87">
        <v>10</v>
      </c>
      <c r="P87">
        <v>7.333333333333333</v>
      </c>
      <c r="Q87">
        <v>4.5</v>
      </c>
      <c r="R87">
        <v>3</v>
      </c>
      <c r="S87">
        <v>2.2222222222222219</v>
      </c>
      <c r="T87">
        <v>7</v>
      </c>
      <c r="U87">
        <v>5.2</v>
      </c>
      <c r="V87">
        <v>6.666666666666667</v>
      </c>
      <c r="W87">
        <v>6.666666666666667</v>
      </c>
      <c r="X87">
        <v>5.5555555555555554</v>
      </c>
      <c r="Y87">
        <v>6</v>
      </c>
      <c r="Z87">
        <v>4</v>
      </c>
      <c r="AA87">
        <v>3</v>
      </c>
      <c r="AB87">
        <v>2.2222222222222219</v>
      </c>
      <c r="AC87">
        <v>7</v>
      </c>
      <c r="AD87">
        <v>4.5454545454545459</v>
      </c>
      <c r="AE87">
        <v>4.4000000000000004</v>
      </c>
      <c r="AF87">
        <v>4</v>
      </c>
      <c r="AG87">
        <v>4</v>
      </c>
      <c r="AH87">
        <v>3.5</v>
      </c>
      <c r="AI87" s="1">
        <v>19</v>
      </c>
      <c r="AJ87" s="1">
        <v>1910</v>
      </c>
      <c r="AK87" s="1">
        <v>210</v>
      </c>
      <c r="AL87" t="s">
        <v>1</v>
      </c>
      <c r="AM87" t="s">
        <v>0</v>
      </c>
      <c r="AN87">
        <v>450</v>
      </c>
      <c r="AO87">
        <v>366.66666666666669</v>
      </c>
      <c r="AP87">
        <v>1800</v>
      </c>
      <c r="AQ87">
        <v>2100</v>
      </c>
      <c r="AR87">
        <v>1900</v>
      </c>
      <c r="AS87">
        <v>1250</v>
      </c>
      <c r="AT87">
        <v>1200</v>
      </c>
      <c r="AU87">
        <v>1200</v>
      </c>
      <c r="AV87">
        <v>1425</v>
      </c>
      <c r="AW87">
        <v>1500</v>
      </c>
      <c r="AX87">
        <v>1100</v>
      </c>
      <c r="AY87">
        <v>675</v>
      </c>
      <c r="AZ87">
        <v>270</v>
      </c>
      <c r="BA87">
        <v>200</v>
      </c>
      <c r="BB87">
        <v>630</v>
      </c>
      <c r="BC87">
        <v>468</v>
      </c>
      <c r="BD87">
        <v>600</v>
      </c>
      <c r="BE87">
        <v>600</v>
      </c>
      <c r="BF87">
        <v>500</v>
      </c>
      <c r="BG87">
        <v>540</v>
      </c>
      <c r="BH87">
        <v>360</v>
      </c>
      <c r="BI87">
        <v>270</v>
      </c>
      <c r="BJ87">
        <v>200</v>
      </c>
      <c r="BK87">
        <v>630</v>
      </c>
      <c r="BL87">
        <v>409.09090909090912</v>
      </c>
      <c r="BM87">
        <v>396</v>
      </c>
      <c r="BN87">
        <v>360</v>
      </c>
      <c r="BO87">
        <v>360</v>
      </c>
      <c r="BP87">
        <v>315</v>
      </c>
      <c r="BQ87">
        <f>(I87+J87+N87+O87)/4</f>
        <v>11.541666666666668</v>
      </c>
      <c r="BR87">
        <f>(K87+L87+M87)/3</f>
        <v>8.1111111111111125</v>
      </c>
      <c r="BS87">
        <f>BQ87/BR87</f>
        <v>1.422945205479452</v>
      </c>
      <c r="BT87">
        <f>AQ87/I87</f>
        <v>150</v>
      </c>
      <c r="BU87" t="str">
        <f>IF(OR(A87=2, A87=12), "Central", IF(A87=3, "Semi-Central", "Periférica"))</f>
        <v>Periférica</v>
      </c>
    </row>
    <row r="88" spans="1:73" x14ac:dyDescent="0.3">
      <c r="A88" s="1">
        <v>3</v>
      </c>
      <c r="B88" s="1">
        <v>303</v>
      </c>
      <c r="C88" s="1">
        <v>303</v>
      </c>
      <c r="D88" t="s">
        <v>1</v>
      </c>
      <c r="E88" t="s">
        <v>0</v>
      </c>
      <c r="F88">
        <v>2</v>
      </c>
      <c r="G88">
        <v>2</v>
      </c>
      <c r="H88">
        <v>5</v>
      </c>
      <c r="I88">
        <v>10</v>
      </c>
      <c r="J88">
        <v>7.333333333333333</v>
      </c>
      <c r="K88">
        <v>5.333333333333333</v>
      </c>
      <c r="L88">
        <v>6.666666666666667</v>
      </c>
      <c r="M88">
        <v>6.4</v>
      </c>
      <c r="N88">
        <v>10</v>
      </c>
      <c r="O88">
        <v>7.5</v>
      </c>
      <c r="P88">
        <v>5.333333333333333</v>
      </c>
      <c r="Q88">
        <v>4.5</v>
      </c>
      <c r="R88">
        <v>2</v>
      </c>
      <c r="S88">
        <v>2</v>
      </c>
      <c r="T88">
        <v>4</v>
      </c>
      <c r="U88">
        <v>5.2</v>
      </c>
      <c r="V88">
        <v>5</v>
      </c>
      <c r="W88">
        <v>5</v>
      </c>
      <c r="X88">
        <v>4.666666666666667</v>
      </c>
      <c r="Y88">
        <v>4</v>
      </c>
      <c r="Z88">
        <v>3.5</v>
      </c>
      <c r="AA88">
        <v>2</v>
      </c>
      <c r="AB88">
        <v>2</v>
      </c>
      <c r="AC88">
        <v>3</v>
      </c>
      <c r="AD88">
        <v>4</v>
      </c>
      <c r="AE88">
        <v>4</v>
      </c>
      <c r="AF88">
        <v>4</v>
      </c>
      <c r="AG88">
        <v>3</v>
      </c>
      <c r="AH88">
        <v>3</v>
      </c>
      <c r="AI88" s="1">
        <v>3</v>
      </c>
      <c r="AJ88" s="1">
        <v>303</v>
      </c>
      <c r="AK88" s="1">
        <v>303</v>
      </c>
      <c r="AL88" t="s">
        <v>1</v>
      </c>
      <c r="AM88" t="s">
        <v>0</v>
      </c>
      <c r="AN88">
        <v>196</v>
      </c>
      <c r="AO88">
        <v>196</v>
      </c>
      <c r="AP88">
        <v>490</v>
      </c>
      <c r="AQ88">
        <v>980</v>
      </c>
      <c r="AR88">
        <v>718.66666666666663</v>
      </c>
      <c r="AS88">
        <v>522.66666666666663</v>
      </c>
      <c r="AT88">
        <v>653.33333333333337</v>
      </c>
      <c r="AU88">
        <v>627.20000000000005</v>
      </c>
      <c r="AV88">
        <v>980</v>
      </c>
      <c r="AW88">
        <v>735</v>
      </c>
      <c r="AX88">
        <v>522.66666666666663</v>
      </c>
      <c r="AY88">
        <v>441</v>
      </c>
      <c r="AZ88">
        <v>196</v>
      </c>
      <c r="BA88">
        <v>196</v>
      </c>
      <c r="BB88">
        <v>392</v>
      </c>
      <c r="BC88">
        <v>509.6</v>
      </c>
      <c r="BD88">
        <v>490</v>
      </c>
      <c r="BE88">
        <v>490</v>
      </c>
      <c r="BF88">
        <v>457.33333333333331</v>
      </c>
      <c r="BG88">
        <v>392</v>
      </c>
      <c r="BH88">
        <v>343</v>
      </c>
      <c r="BI88">
        <v>196</v>
      </c>
      <c r="BJ88">
        <v>196</v>
      </c>
      <c r="BK88">
        <v>294</v>
      </c>
      <c r="BL88">
        <v>392</v>
      </c>
      <c r="BM88">
        <v>392</v>
      </c>
      <c r="BN88">
        <v>392</v>
      </c>
      <c r="BO88">
        <v>294</v>
      </c>
      <c r="BP88">
        <v>294</v>
      </c>
      <c r="BQ88">
        <f>(I88+J88+N88+O88)/4</f>
        <v>8.7083333333333321</v>
      </c>
      <c r="BR88">
        <f>(K88+L88+M88)/3</f>
        <v>6.1333333333333329</v>
      </c>
      <c r="BS88">
        <f>BQ88/BR88</f>
        <v>1.419836956521739</v>
      </c>
      <c r="BT88">
        <f>AQ88/I88</f>
        <v>98</v>
      </c>
      <c r="BU88" t="str">
        <f>IF(OR(A88=2, A88=12), "Central", IF(A88=3, "Semi-Central", "Periférica"))</f>
        <v>Semi-Central</v>
      </c>
    </row>
    <row r="89" spans="1:73" x14ac:dyDescent="0.3">
      <c r="A89" s="1">
        <v>4</v>
      </c>
      <c r="B89" s="1">
        <v>473</v>
      </c>
      <c r="C89" s="1" t="s">
        <v>382</v>
      </c>
      <c r="D89" t="s">
        <v>5</v>
      </c>
      <c r="E89" t="s">
        <v>0</v>
      </c>
      <c r="F89">
        <v>0</v>
      </c>
      <c r="G89">
        <v>0</v>
      </c>
      <c r="H89">
        <v>7</v>
      </c>
      <c r="I89">
        <v>11.333333333333334</v>
      </c>
      <c r="J89">
        <v>10.666666666666666</v>
      </c>
      <c r="K89">
        <v>7.666666666666667</v>
      </c>
      <c r="L89">
        <v>7.333333333333333</v>
      </c>
      <c r="M89">
        <v>8.8000000000000007</v>
      </c>
      <c r="N89">
        <v>10</v>
      </c>
      <c r="O89">
        <v>13</v>
      </c>
      <c r="P89">
        <v>7.333333333333333</v>
      </c>
      <c r="Q89">
        <v>5</v>
      </c>
      <c r="R89">
        <v>0</v>
      </c>
      <c r="S89">
        <v>0</v>
      </c>
      <c r="T89">
        <v>3</v>
      </c>
      <c r="U89">
        <v>5.2</v>
      </c>
      <c r="V89">
        <v>5</v>
      </c>
      <c r="W89">
        <v>6</v>
      </c>
      <c r="X89">
        <v>6.2222222222222223</v>
      </c>
      <c r="Y89">
        <v>4</v>
      </c>
      <c r="Z89">
        <v>3.5</v>
      </c>
      <c r="AA89">
        <v>0</v>
      </c>
      <c r="AB89">
        <v>0</v>
      </c>
      <c r="AC89">
        <v>5</v>
      </c>
      <c r="AD89">
        <v>4.9090909090909092</v>
      </c>
      <c r="AE89">
        <v>4.8</v>
      </c>
      <c r="AF89">
        <v>4.333333333333333</v>
      </c>
      <c r="AG89">
        <v>4</v>
      </c>
      <c r="AH89">
        <v>3.5</v>
      </c>
      <c r="AI89" s="1">
        <v>4</v>
      </c>
      <c r="AJ89" s="1">
        <v>473</v>
      </c>
      <c r="AK89" s="1" t="s">
        <v>382</v>
      </c>
      <c r="AL89" t="s">
        <v>5</v>
      </c>
      <c r="AM89" t="s">
        <v>0</v>
      </c>
      <c r="AN89">
        <v>0</v>
      </c>
      <c r="AO89">
        <v>0</v>
      </c>
      <c r="AP89">
        <v>693</v>
      </c>
      <c r="AQ89">
        <v>1122</v>
      </c>
      <c r="AR89">
        <v>1056</v>
      </c>
      <c r="AS89">
        <v>759</v>
      </c>
      <c r="AT89">
        <v>726</v>
      </c>
      <c r="AU89">
        <v>871.2</v>
      </c>
      <c r="AV89">
        <v>990</v>
      </c>
      <c r="AW89">
        <v>1287</v>
      </c>
      <c r="AX89">
        <v>726</v>
      </c>
      <c r="AY89">
        <v>495</v>
      </c>
      <c r="AZ89">
        <v>0</v>
      </c>
      <c r="BA89">
        <v>0</v>
      </c>
      <c r="BB89">
        <v>297</v>
      </c>
      <c r="BC89">
        <v>514.79999999999995</v>
      </c>
      <c r="BD89">
        <v>495</v>
      </c>
      <c r="BE89">
        <v>594</v>
      </c>
      <c r="BF89">
        <v>616</v>
      </c>
      <c r="BG89">
        <v>396</v>
      </c>
      <c r="BH89">
        <v>346.5</v>
      </c>
      <c r="BI89">
        <v>0</v>
      </c>
      <c r="BJ89">
        <v>0</v>
      </c>
      <c r="BK89">
        <v>495</v>
      </c>
      <c r="BL89">
        <v>486</v>
      </c>
      <c r="BM89">
        <v>475.2</v>
      </c>
      <c r="BN89">
        <v>429</v>
      </c>
      <c r="BO89">
        <v>396</v>
      </c>
      <c r="BP89">
        <v>346.5</v>
      </c>
      <c r="BQ89">
        <f>(I89+J89+N89+O89)/4</f>
        <v>11.25</v>
      </c>
      <c r="BR89">
        <f>(K89+L89+M89)/3</f>
        <v>7.9333333333333336</v>
      </c>
      <c r="BS89">
        <f>BQ89/BR89</f>
        <v>1.4180672268907561</v>
      </c>
      <c r="BT89">
        <f>AQ89/I89</f>
        <v>99</v>
      </c>
      <c r="BU89" t="str">
        <f>IF(OR(A89=2, A89=12), "Central", IF(A89=3, "Semi-Central", "Periférica"))</f>
        <v>Periférica</v>
      </c>
    </row>
    <row r="90" spans="1:73" x14ac:dyDescent="0.3">
      <c r="A90" s="1">
        <v>9</v>
      </c>
      <c r="B90" s="1">
        <v>953</v>
      </c>
      <c r="C90" s="1" t="s">
        <v>381</v>
      </c>
      <c r="D90" t="s">
        <v>1</v>
      </c>
      <c r="F90">
        <v>1</v>
      </c>
      <c r="G90">
        <v>0</v>
      </c>
      <c r="H90">
        <v>3</v>
      </c>
      <c r="I90">
        <v>6</v>
      </c>
      <c r="J90">
        <v>6.666666666666667</v>
      </c>
      <c r="K90">
        <v>5.333333333333333</v>
      </c>
      <c r="L90">
        <v>4.666666666666667</v>
      </c>
      <c r="M90">
        <v>5.2</v>
      </c>
      <c r="N90">
        <v>7</v>
      </c>
      <c r="O90">
        <v>9</v>
      </c>
      <c r="P90">
        <v>5.333333333333333</v>
      </c>
      <c r="Q90">
        <v>3.5</v>
      </c>
      <c r="R90">
        <v>1</v>
      </c>
      <c r="S90">
        <v>0</v>
      </c>
      <c r="T90">
        <v>2</v>
      </c>
      <c r="U90">
        <v>3.2</v>
      </c>
      <c r="V90">
        <v>3.666666666666667</v>
      </c>
      <c r="W90">
        <v>4</v>
      </c>
      <c r="X90">
        <v>4</v>
      </c>
      <c r="Y90">
        <v>3.2</v>
      </c>
      <c r="Z90">
        <v>2</v>
      </c>
      <c r="AA90">
        <v>1</v>
      </c>
      <c r="AB90">
        <v>0</v>
      </c>
      <c r="AC90">
        <v>2</v>
      </c>
      <c r="AD90">
        <v>2.7272727272727271</v>
      </c>
      <c r="AE90">
        <v>3</v>
      </c>
      <c r="AF90">
        <v>3</v>
      </c>
      <c r="AG90">
        <v>2</v>
      </c>
      <c r="AH90">
        <v>2</v>
      </c>
      <c r="AI90" s="1">
        <v>9</v>
      </c>
      <c r="AJ90" s="1">
        <v>953</v>
      </c>
      <c r="AK90" s="1" t="s">
        <v>381</v>
      </c>
      <c r="AL90" t="s">
        <v>1</v>
      </c>
      <c r="AN90">
        <v>90</v>
      </c>
      <c r="AO90">
        <v>0</v>
      </c>
      <c r="AP90">
        <v>270</v>
      </c>
      <c r="AQ90">
        <v>540</v>
      </c>
      <c r="AR90">
        <v>600</v>
      </c>
      <c r="AS90">
        <v>480</v>
      </c>
      <c r="AT90">
        <v>420</v>
      </c>
      <c r="AU90">
        <v>468</v>
      </c>
      <c r="AV90">
        <v>630</v>
      </c>
      <c r="AW90">
        <v>810</v>
      </c>
      <c r="AX90">
        <v>480</v>
      </c>
      <c r="AY90">
        <v>315</v>
      </c>
      <c r="AZ90">
        <v>90</v>
      </c>
      <c r="BA90">
        <v>0</v>
      </c>
      <c r="BB90">
        <v>180</v>
      </c>
      <c r="BC90">
        <v>288</v>
      </c>
      <c r="BD90">
        <v>330</v>
      </c>
      <c r="BE90">
        <v>360</v>
      </c>
      <c r="BF90">
        <v>360</v>
      </c>
      <c r="BG90">
        <v>288</v>
      </c>
      <c r="BH90">
        <v>180</v>
      </c>
      <c r="BI90">
        <v>90</v>
      </c>
      <c r="BJ90">
        <v>0</v>
      </c>
      <c r="BK90">
        <v>180</v>
      </c>
      <c r="BL90">
        <v>245.4545454545455</v>
      </c>
      <c r="BM90">
        <v>270</v>
      </c>
      <c r="BN90">
        <v>270</v>
      </c>
      <c r="BO90">
        <v>180</v>
      </c>
      <c r="BP90">
        <v>180</v>
      </c>
      <c r="BQ90">
        <f>(I90+J90+N90+O90)/4</f>
        <v>7.166666666666667</v>
      </c>
      <c r="BR90">
        <f>(K90+L90+M90)/3</f>
        <v>5.0666666666666664</v>
      </c>
      <c r="BS90">
        <f>BQ90/BR90</f>
        <v>1.4144736842105265</v>
      </c>
      <c r="BT90">
        <f>AQ90/I90</f>
        <v>90</v>
      </c>
      <c r="BU90" t="str">
        <f>IF(OR(A90=2, A90=12), "Central", IF(A90=3, "Semi-Central", "Periférica"))</f>
        <v>Periférica</v>
      </c>
    </row>
    <row r="91" spans="1:73" x14ac:dyDescent="0.3">
      <c r="A91" s="1">
        <v>18</v>
      </c>
      <c r="B91" s="1">
        <v>1823</v>
      </c>
      <c r="C91" s="1" t="s">
        <v>380</v>
      </c>
      <c r="D91" t="s">
        <v>5</v>
      </c>
      <c r="E91" t="s">
        <v>0</v>
      </c>
      <c r="F91">
        <v>0</v>
      </c>
      <c r="G91">
        <v>0</v>
      </c>
      <c r="H91">
        <v>4</v>
      </c>
      <c r="I91">
        <v>9.3333333333333339</v>
      </c>
      <c r="J91">
        <v>6</v>
      </c>
      <c r="K91">
        <v>4.666666666666667</v>
      </c>
      <c r="L91">
        <v>4.666666666666667</v>
      </c>
      <c r="M91">
        <v>5.2</v>
      </c>
      <c r="N91">
        <v>6</v>
      </c>
      <c r="O91">
        <v>6</v>
      </c>
      <c r="P91">
        <v>4</v>
      </c>
      <c r="Q91">
        <v>3.5</v>
      </c>
      <c r="R91">
        <v>0</v>
      </c>
      <c r="S91">
        <v>0</v>
      </c>
      <c r="T91">
        <v>3</v>
      </c>
      <c r="U91">
        <v>4.4000000000000004</v>
      </c>
      <c r="V91">
        <v>4.666666666666667</v>
      </c>
      <c r="W91">
        <v>4</v>
      </c>
      <c r="X91">
        <v>4.2222222222222223</v>
      </c>
      <c r="Y91">
        <v>4</v>
      </c>
      <c r="Z91">
        <v>2.5</v>
      </c>
      <c r="AA91">
        <v>0</v>
      </c>
      <c r="AB91">
        <v>0</v>
      </c>
      <c r="AC91">
        <v>3</v>
      </c>
      <c r="AD91">
        <v>4</v>
      </c>
      <c r="AE91">
        <v>4.8</v>
      </c>
      <c r="AF91">
        <v>4.666666666666667</v>
      </c>
      <c r="AG91">
        <v>4</v>
      </c>
      <c r="AH91">
        <v>3</v>
      </c>
      <c r="AI91" s="1">
        <v>18</v>
      </c>
      <c r="AJ91" s="1">
        <v>1823</v>
      </c>
      <c r="AK91" s="1" t="s">
        <v>380</v>
      </c>
      <c r="AL91" t="s">
        <v>5</v>
      </c>
      <c r="AM91" t="s">
        <v>0</v>
      </c>
      <c r="AN91">
        <v>0</v>
      </c>
      <c r="AO91">
        <v>0</v>
      </c>
      <c r="AP91">
        <v>360</v>
      </c>
      <c r="AQ91">
        <v>840</v>
      </c>
      <c r="AR91">
        <v>540</v>
      </c>
      <c r="AS91">
        <v>420</v>
      </c>
      <c r="AT91">
        <v>420</v>
      </c>
      <c r="AU91">
        <v>468</v>
      </c>
      <c r="AV91">
        <v>540</v>
      </c>
      <c r="AW91">
        <v>540</v>
      </c>
      <c r="AX91">
        <v>360</v>
      </c>
      <c r="AY91">
        <v>315</v>
      </c>
      <c r="AZ91">
        <v>0</v>
      </c>
      <c r="BA91">
        <v>0</v>
      </c>
      <c r="BB91">
        <v>270</v>
      </c>
      <c r="BC91">
        <v>396</v>
      </c>
      <c r="BD91">
        <v>420</v>
      </c>
      <c r="BE91">
        <v>360</v>
      </c>
      <c r="BF91">
        <v>380</v>
      </c>
      <c r="BG91">
        <v>360</v>
      </c>
      <c r="BH91">
        <v>225</v>
      </c>
      <c r="BI91">
        <v>0</v>
      </c>
      <c r="BJ91">
        <v>0</v>
      </c>
      <c r="BK91">
        <v>270</v>
      </c>
      <c r="BL91">
        <v>360</v>
      </c>
      <c r="BM91">
        <v>432</v>
      </c>
      <c r="BN91">
        <v>420</v>
      </c>
      <c r="BO91">
        <v>360</v>
      </c>
      <c r="BP91">
        <v>270</v>
      </c>
      <c r="BQ91">
        <f>(I91+J91+N91+O91)/4</f>
        <v>6.8333333333333339</v>
      </c>
      <c r="BR91">
        <f>(K91+L91+M91)/3</f>
        <v>4.844444444444445</v>
      </c>
      <c r="BS91">
        <f>BQ91/BR91</f>
        <v>1.4105504587155964</v>
      </c>
      <c r="BT91">
        <f>AQ91/I91</f>
        <v>90</v>
      </c>
      <c r="BU91" t="str">
        <f>IF(OR(A91=2, A91=12), "Central", IF(A91=3, "Semi-Central", "Periférica"))</f>
        <v>Periférica</v>
      </c>
    </row>
    <row r="92" spans="1:73" x14ac:dyDescent="0.3">
      <c r="A92" s="1">
        <v>18</v>
      </c>
      <c r="B92" s="1">
        <v>1823</v>
      </c>
      <c r="C92" s="1" t="s">
        <v>380</v>
      </c>
      <c r="D92" t="s">
        <v>1</v>
      </c>
      <c r="E92" t="s">
        <v>0</v>
      </c>
      <c r="F92">
        <v>0</v>
      </c>
      <c r="G92">
        <v>0</v>
      </c>
      <c r="H92">
        <v>8</v>
      </c>
      <c r="I92">
        <v>9.3333333333333339</v>
      </c>
      <c r="J92">
        <v>6</v>
      </c>
      <c r="K92">
        <v>4.666666666666667</v>
      </c>
      <c r="L92">
        <v>4.666666666666667</v>
      </c>
      <c r="M92">
        <v>5.2</v>
      </c>
      <c r="N92">
        <v>6</v>
      </c>
      <c r="O92">
        <v>6</v>
      </c>
      <c r="P92">
        <v>4</v>
      </c>
      <c r="Q92">
        <v>2</v>
      </c>
      <c r="R92">
        <v>0</v>
      </c>
      <c r="S92">
        <v>0</v>
      </c>
      <c r="T92">
        <v>4</v>
      </c>
      <c r="U92">
        <v>4.8</v>
      </c>
      <c r="V92">
        <v>4.666666666666667</v>
      </c>
      <c r="W92">
        <v>4</v>
      </c>
      <c r="X92">
        <v>4</v>
      </c>
      <c r="Y92">
        <v>3.2</v>
      </c>
      <c r="Z92">
        <v>1.5</v>
      </c>
      <c r="AA92">
        <v>0</v>
      </c>
      <c r="AB92">
        <v>0</v>
      </c>
      <c r="AC92">
        <v>3</v>
      </c>
      <c r="AD92">
        <v>4</v>
      </c>
      <c r="AE92">
        <v>4.8</v>
      </c>
      <c r="AF92">
        <v>4.666666666666667</v>
      </c>
      <c r="AG92">
        <v>4</v>
      </c>
      <c r="AH92">
        <v>1.5</v>
      </c>
      <c r="AI92" s="1">
        <v>18</v>
      </c>
      <c r="AJ92" s="1">
        <v>1823</v>
      </c>
      <c r="AK92" s="1" t="s">
        <v>380</v>
      </c>
      <c r="AL92" t="s">
        <v>1</v>
      </c>
      <c r="AM92" t="s">
        <v>0</v>
      </c>
      <c r="AN92">
        <v>0</v>
      </c>
      <c r="AO92">
        <v>0</v>
      </c>
      <c r="AP92">
        <v>720</v>
      </c>
      <c r="AQ92">
        <v>840</v>
      </c>
      <c r="AR92">
        <v>540</v>
      </c>
      <c r="AS92">
        <v>420</v>
      </c>
      <c r="AT92">
        <v>420</v>
      </c>
      <c r="AU92">
        <v>468</v>
      </c>
      <c r="AV92">
        <v>540</v>
      </c>
      <c r="AW92">
        <v>540</v>
      </c>
      <c r="AX92">
        <v>360</v>
      </c>
      <c r="AY92">
        <v>180</v>
      </c>
      <c r="AZ92">
        <v>0</v>
      </c>
      <c r="BA92">
        <v>0</v>
      </c>
      <c r="BB92">
        <v>360</v>
      </c>
      <c r="BC92">
        <v>432</v>
      </c>
      <c r="BD92">
        <v>420</v>
      </c>
      <c r="BE92">
        <v>360</v>
      </c>
      <c r="BF92">
        <v>360</v>
      </c>
      <c r="BG92">
        <v>288</v>
      </c>
      <c r="BH92">
        <v>135</v>
      </c>
      <c r="BI92">
        <v>0</v>
      </c>
      <c r="BJ92">
        <v>0</v>
      </c>
      <c r="BK92">
        <v>270</v>
      </c>
      <c r="BL92">
        <v>360</v>
      </c>
      <c r="BM92">
        <v>432</v>
      </c>
      <c r="BN92">
        <v>420</v>
      </c>
      <c r="BO92">
        <v>360</v>
      </c>
      <c r="BP92">
        <v>135</v>
      </c>
      <c r="BQ92">
        <f>(I92+J92+N92+O92)/4</f>
        <v>6.8333333333333339</v>
      </c>
      <c r="BR92">
        <f>(K92+L92+M92)/3</f>
        <v>4.844444444444445</v>
      </c>
      <c r="BS92">
        <f>BQ92/BR92</f>
        <v>1.4105504587155964</v>
      </c>
      <c r="BT92">
        <f>AQ92/I92</f>
        <v>90</v>
      </c>
      <c r="BU92" t="str">
        <f>IF(OR(A92=2, A92=12), "Central", IF(A92=3, "Semi-Central", "Periférica"))</f>
        <v>Periférica</v>
      </c>
    </row>
    <row r="93" spans="1:73" x14ac:dyDescent="0.3">
      <c r="A93" s="1">
        <v>14</v>
      </c>
      <c r="B93" s="1">
        <v>1411</v>
      </c>
      <c r="C93" s="1">
        <v>401</v>
      </c>
      <c r="D93" t="s">
        <v>5</v>
      </c>
      <c r="F93">
        <v>2</v>
      </c>
      <c r="G93">
        <v>2.666666666666667</v>
      </c>
      <c r="H93">
        <v>8</v>
      </c>
      <c r="I93">
        <v>11.33333333333333</v>
      </c>
      <c r="J93">
        <v>6.666666666666667</v>
      </c>
      <c r="K93">
        <v>5.333333333333333</v>
      </c>
      <c r="L93">
        <v>5.333333333333333</v>
      </c>
      <c r="M93">
        <v>5.6</v>
      </c>
      <c r="N93">
        <v>7.5</v>
      </c>
      <c r="O93">
        <v>5</v>
      </c>
      <c r="P93">
        <v>3.333333333333333</v>
      </c>
      <c r="Q93">
        <v>3</v>
      </c>
      <c r="R93">
        <v>2</v>
      </c>
      <c r="S93">
        <v>2.4444444444444451</v>
      </c>
      <c r="T93">
        <v>5</v>
      </c>
      <c r="U93">
        <v>5.2</v>
      </c>
      <c r="V93">
        <v>5</v>
      </c>
      <c r="W93">
        <v>4.666666666666667</v>
      </c>
      <c r="X93">
        <v>4.4444444444444446</v>
      </c>
      <c r="Y93">
        <v>4.4000000000000004</v>
      </c>
      <c r="Z93">
        <v>2.5</v>
      </c>
      <c r="AA93">
        <v>2</v>
      </c>
      <c r="AB93">
        <v>2.2222222222222219</v>
      </c>
      <c r="AC93">
        <v>6</v>
      </c>
      <c r="AD93">
        <v>4</v>
      </c>
      <c r="AE93">
        <v>4.2</v>
      </c>
      <c r="AF93">
        <v>4.333333333333333</v>
      </c>
      <c r="AG93">
        <v>3</v>
      </c>
      <c r="AH93">
        <v>2.5</v>
      </c>
      <c r="AI93" s="1">
        <v>14</v>
      </c>
      <c r="AJ93" s="1">
        <v>1411</v>
      </c>
      <c r="AK93" s="1">
        <v>401</v>
      </c>
      <c r="AL93" t="s">
        <v>5</v>
      </c>
      <c r="AN93">
        <v>300</v>
      </c>
      <c r="AO93">
        <v>400</v>
      </c>
      <c r="AP93">
        <v>1200</v>
      </c>
      <c r="AQ93">
        <v>1700</v>
      </c>
      <c r="AR93">
        <v>1000</v>
      </c>
      <c r="AS93">
        <v>800</v>
      </c>
      <c r="AT93">
        <v>800</v>
      </c>
      <c r="AU93">
        <v>840</v>
      </c>
      <c r="AV93">
        <v>1125</v>
      </c>
      <c r="AW93">
        <v>750</v>
      </c>
      <c r="AX93">
        <v>500</v>
      </c>
      <c r="AY93">
        <v>450</v>
      </c>
      <c r="AZ93">
        <v>180</v>
      </c>
      <c r="BA93">
        <v>220</v>
      </c>
      <c r="BB93">
        <v>450</v>
      </c>
      <c r="BC93">
        <v>468</v>
      </c>
      <c r="BD93">
        <v>450</v>
      </c>
      <c r="BE93">
        <v>420</v>
      </c>
      <c r="BF93">
        <v>400</v>
      </c>
      <c r="BG93">
        <v>396</v>
      </c>
      <c r="BH93">
        <v>225</v>
      </c>
      <c r="BI93">
        <v>180</v>
      </c>
      <c r="BJ93">
        <v>200</v>
      </c>
      <c r="BK93">
        <v>540</v>
      </c>
      <c r="BL93">
        <v>360</v>
      </c>
      <c r="BM93">
        <v>378</v>
      </c>
      <c r="BN93">
        <v>390</v>
      </c>
      <c r="BO93">
        <v>270</v>
      </c>
      <c r="BP93">
        <v>315</v>
      </c>
      <c r="BQ93">
        <f>(I93+J93+N93+O93)/4</f>
        <v>7.6249999999999991</v>
      </c>
      <c r="BR93">
        <f>(K93+L93+M93)/3</f>
        <v>5.4222222222222216</v>
      </c>
      <c r="BS93">
        <f>BQ93/BR93</f>
        <v>1.40625</v>
      </c>
      <c r="BT93">
        <f>AQ93/I93</f>
        <v>150.00000000000003</v>
      </c>
      <c r="BU93" t="str">
        <f>IF(OR(A93=2, A93=12), "Central", IF(A93=3, "Semi-Central", "Periférica"))</f>
        <v>Periférica</v>
      </c>
    </row>
    <row r="94" spans="1:73" x14ac:dyDescent="0.3">
      <c r="A94" s="1">
        <v>19</v>
      </c>
      <c r="B94" s="1">
        <v>1905</v>
      </c>
      <c r="C94" s="1">
        <v>205</v>
      </c>
      <c r="D94" t="s">
        <v>5</v>
      </c>
      <c r="E94" t="s">
        <v>0</v>
      </c>
      <c r="F94">
        <v>3</v>
      </c>
      <c r="G94">
        <v>0</v>
      </c>
      <c r="H94">
        <v>3</v>
      </c>
      <c r="I94">
        <v>7.333333333333333</v>
      </c>
      <c r="J94">
        <v>6.666666666666667</v>
      </c>
      <c r="K94">
        <v>5</v>
      </c>
      <c r="L94">
        <v>4.666666666666667</v>
      </c>
      <c r="M94">
        <v>5.2</v>
      </c>
      <c r="N94">
        <v>7</v>
      </c>
      <c r="O94">
        <v>6.5</v>
      </c>
      <c r="P94">
        <v>4.666666666666667</v>
      </c>
      <c r="Q94">
        <v>3</v>
      </c>
      <c r="R94">
        <v>3</v>
      </c>
      <c r="S94">
        <v>0</v>
      </c>
      <c r="T94">
        <v>4</v>
      </c>
      <c r="U94">
        <v>4.8</v>
      </c>
      <c r="V94">
        <v>4</v>
      </c>
      <c r="W94">
        <v>4</v>
      </c>
      <c r="X94">
        <v>4</v>
      </c>
      <c r="Y94">
        <v>3.2</v>
      </c>
      <c r="Z94">
        <v>3</v>
      </c>
      <c r="AA94">
        <v>3</v>
      </c>
      <c r="AB94">
        <v>0</v>
      </c>
      <c r="AC94">
        <v>3</v>
      </c>
      <c r="AD94">
        <v>3.0909090909090908</v>
      </c>
      <c r="AE94">
        <v>3</v>
      </c>
      <c r="AF94">
        <v>3</v>
      </c>
      <c r="AG94">
        <v>3</v>
      </c>
      <c r="AH94">
        <v>2.5</v>
      </c>
      <c r="AI94" s="1">
        <v>19</v>
      </c>
      <c r="AJ94" s="1">
        <v>1905</v>
      </c>
      <c r="AK94" s="1">
        <v>205</v>
      </c>
      <c r="AL94" t="s">
        <v>5</v>
      </c>
      <c r="AM94" t="s">
        <v>0</v>
      </c>
      <c r="AN94">
        <v>450</v>
      </c>
      <c r="AO94">
        <v>0</v>
      </c>
      <c r="AP94">
        <v>450</v>
      </c>
      <c r="AQ94">
        <v>1100</v>
      </c>
      <c r="AR94">
        <v>1000</v>
      </c>
      <c r="AS94">
        <v>750</v>
      </c>
      <c r="AT94">
        <v>700</v>
      </c>
      <c r="AU94">
        <v>780</v>
      </c>
      <c r="AV94">
        <v>1050</v>
      </c>
      <c r="AW94">
        <v>975</v>
      </c>
      <c r="AX94">
        <v>700</v>
      </c>
      <c r="AY94">
        <v>450</v>
      </c>
      <c r="AZ94">
        <v>270</v>
      </c>
      <c r="BA94">
        <v>0</v>
      </c>
      <c r="BB94">
        <v>360</v>
      </c>
      <c r="BC94">
        <v>432</v>
      </c>
      <c r="BD94">
        <v>360</v>
      </c>
      <c r="BE94">
        <v>360</v>
      </c>
      <c r="BF94">
        <v>360</v>
      </c>
      <c r="BG94">
        <v>288</v>
      </c>
      <c r="BH94">
        <v>270</v>
      </c>
      <c r="BI94">
        <v>270</v>
      </c>
      <c r="BJ94">
        <v>0</v>
      </c>
      <c r="BK94">
        <v>270</v>
      </c>
      <c r="BL94">
        <v>278.18181818181819</v>
      </c>
      <c r="BM94">
        <v>270</v>
      </c>
      <c r="BN94">
        <v>270</v>
      </c>
      <c r="BO94">
        <v>270</v>
      </c>
      <c r="BP94">
        <v>225</v>
      </c>
      <c r="BQ94">
        <f>(I94+J94+N94+O94)/4</f>
        <v>6.875</v>
      </c>
      <c r="BR94">
        <f>(K94+L94+M94)/3</f>
        <v>4.9555555555555557</v>
      </c>
      <c r="BS94">
        <f>BQ94/BR94</f>
        <v>1.3873318385650224</v>
      </c>
      <c r="BT94">
        <f>AQ94/I94</f>
        <v>150</v>
      </c>
      <c r="BU94" t="str">
        <f>IF(OR(A94=2, A94=12), "Central", IF(A94=3, "Semi-Central", "Periférica"))</f>
        <v>Periférica</v>
      </c>
    </row>
    <row r="95" spans="1:73" x14ac:dyDescent="0.3">
      <c r="A95" s="1">
        <v>11</v>
      </c>
      <c r="B95" s="1" t="s">
        <v>379</v>
      </c>
      <c r="C95" s="1" t="s">
        <v>378</v>
      </c>
      <c r="D95" t="s">
        <v>5</v>
      </c>
      <c r="F95">
        <v>0</v>
      </c>
      <c r="G95">
        <v>0</v>
      </c>
      <c r="H95">
        <v>0</v>
      </c>
      <c r="I95">
        <v>10</v>
      </c>
      <c r="J95">
        <v>11.33333333333333</v>
      </c>
      <c r="K95">
        <v>8</v>
      </c>
      <c r="L95">
        <v>7.333333333333333</v>
      </c>
      <c r="M95">
        <v>8.4</v>
      </c>
      <c r="N95">
        <v>12.5</v>
      </c>
      <c r="O95">
        <v>10</v>
      </c>
      <c r="P95">
        <v>3.333333333333333</v>
      </c>
      <c r="Q95">
        <v>0</v>
      </c>
      <c r="R95">
        <v>0</v>
      </c>
      <c r="S95">
        <v>0</v>
      </c>
      <c r="T95">
        <v>0</v>
      </c>
      <c r="U95">
        <v>6.4</v>
      </c>
      <c r="V95">
        <v>5.666666666666667</v>
      </c>
      <c r="W95">
        <v>5</v>
      </c>
      <c r="X95">
        <v>5.1111111111111107</v>
      </c>
      <c r="Y95">
        <v>3.6</v>
      </c>
      <c r="Z95">
        <v>1.5</v>
      </c>
      <c r="AA95">
        <v>0</v>
      </c>
      <c r="AB95">
        <v>0</v>
      </c>
      <c r="AC95">
        <v>1</v>
      </c>
      <c r="AD95">
        <v>3.2727272727272729</v>
      </c>
      <c r="AE95">
        <v>3.8</v>
      </c>
      <c r="AF95">
        <v>3</v>
      </c>
      <c r="AG95">
        <v>3</v>
      </c>
      <c r="AH95">
        <v>1.5</v>
      </c>
      <c r="AI95" s="1">
        <v>11</v>
      </c>
      <c r="AJ95" s="1" t="s">
        <v>379</v>
      </c>
      <c r="AK95" s="1" t="s">
        <v>378</v>
      </c>
      <c r="AL95" t="s">
        <v>5</v>
      </c>
      <c r="AN95">
        <v>0</v>
      </c>
      <c r="AO95">
        <v>0</v>
      </c>
      <c r="AP95">
        <v>0</v>
      </c>
      <c r="AQ95">
        <v>900</v>
      </c>
      <c r="AR95">
        <v>1020</v>
      </c>
      <c r="AS95">
        <v>720</v>
      </c>
      <c r="AT95">
        <v>660</v>
      </c>
      <c r="AU95">
        <v>756</v>
      </c>
      <c r="AV95">
        <v>1125</v>
      </c>
      <c r="AW95">
        <v>900</v>
      </c>
      <c r="AX95">
        <v>300</v>
      </c>
      <c r="AY95">
        <v>0</v>
      </c>
      <c r="AZ95">
        <v>0</v>
      </c>
      <c r="BA95">
        <v>0</v>
      </c>
      <c r="BB95">
        <v>0</v>
      </c>
      <c r="BC95">
        <v>576</v>
      </c>
      <c r="BD95">
        <v>510</v>
      </c>
      <c r="BE95">
        <v>450</v>
      </c>
      <c r="BF95">
        <v>460</v>
      </c>
      <c r="BG95">
        <v>324</v>
      </c>
      <c r="BH95">
        <v>135</v>
      </c>
      <c r="BI95">
        <v>0</v>
      </c>
      <c r="BJ95">
        <v>0</v>
      </c>
      <c r="BK95">
        <v>90</v>
      </c>
      <c r="BL95">
        <v>294.54545454545462</v>
      </c>
      <c r="BM95">
        <v>342</v>
      </c>
      <c r="BN95">
        <v>270</v>
      </c>
      <c r="BO95">
        <v>270</v>
      </c>
      <c r="BP95">
        <v>135</v>
      </c>
      <c r="BQ95">
        <f>(I95+J95+N95+O95)/4</f>
        <v>10.958333333333332</v>
      </c>
      <c r="BR95">
        <f>(K95+L95+M95)/3</f>
        <v>7.9111111111111114</v>
      </c>
      <c r="BS95">
        <f>BQ95/BR95</f>
        <v>1.3851825842696628</v>
      </c>
      <c r="BT95">
        <f>AQ95/I95</f>
        <v>90</v>
      </c>
      <c r="BU95" t="str">
        <f>IF(OR(A95=2, A95=12), "Central", IF(A95=3, "Semi-Central", "Periférica"))</f>
        <v>Periférica</v>
      </c>
    </row>
    <row r="96" spans="1:73" x14ac:dyDescent="0.3">
      <c r="A96" s="1">
        <v>18</v>
      </c>
      <c r="B96" s="1" t="s">
        <v>377</v>
      </c>
      <c r="C96" s="1" t="s">
        <v>376</v>
      </c>
      <c r="D96" t="s">
        <v>5</v>
      </c>
      <c r="E96" t="s">
        <v>0</v>
      </c>
      <c r="F96">
        <v>0</v>
      </c>
      <c r="G96">
        <v>0</v>
      </c>
      <c r="H96">
        <v>5</v>
      </c>
      <c r="I96">
        <v>6.666666666666667</v>
      </c>
      <c r="J96">
        <v>6</v>
      </c>
      <c r="K96">
        <v>6</v>
      </c>
      <c r="L96">
        <v>6</v>
      </c>
      <c r="M96">
        <v>6</v>
      </c>
      <c r="N96">
        <v>10.5</v>
      </c>
      <c r="O96">
        <v>10</v>
      </c>
      <c r="P96">
        <v>6.666666666666667</v>
      </c>
      <c r="Q96">
        <v>4</v>
      </c>
      <c r="R96">
        <v>0</v>
      </c>
      <c r="S96">
        <v>0</v>
      </c>
      <c r="T96">
        <v>0</v>
      </c>
      <c r="U96">
        <v>4</v>
      </c>
      <c r="V96">
        <v>4</v>
      </c>
      <c r="W96">
        <v>4</v>
      </c>
      <c r="X96">
        <v>4</v>
      </c>
      <c r="Y96">
        <v>4</v>
      </c>
      <c r="Z96">
        <v>3.5</v>
      </c>
      <c r="AA96">
        <v>0</v>
      </c>
      <c r="AB96">
        <v>0</v>
      </c>
      <c r="AC96">
        <v>0</v>
      </c>
      <c r="AD96">
        <v>4</v>
      </c>
      <c r="AE96">
        <v>4</v>
      </c>
      <c r="AF96">
        <v>4</v>
      </c>
      <c r="AG96">
        <v>3</v>
      </c>
      <c r="AH96">
        <v>2.5</v>
      </c>
      <c r="AI96" s="1">
        <v>18</v>
      </c>
      <c r="AJ96" s="1" t="s">
        <v>377</v>
      </c>
      <c r="AK96" s="1" t="s">
        <v>376</v>
      </c>
      <c r="AL96" t="s">
        <v>5</v>
      </c>
      <c r="AM96" t="s">
        <v>0</v>
      </c>
      <c r="AN96">
        <v>0</v>
      </c>
      <c r="AO96">
        <v>0</v>
      </c>
      <c r="AP96">
        <v>450</v>
      </c>
      <c r="AQ96">
        <v>600</v>
      </c>
      <c r="AR96">
        <v>540</v>
      </c>
      <c r="AS96">
        <v>540</v>
      </c>
      <c r="AT96">
        <v>540</v>
      </c>
      <c r="AU96">
        <v>540</v>
      </c>
      <c r="AV96">
        <v>945</v>
      </c>
      <c r="AW96">
        <v>900</v>
      </c>
      <c r="AX96">
        <v>600</v>
      </c>
      <c r="AY96">
        <v>360</v>
      </c>
      <c r="AZ96">
        <v>0</v>
      </c>
      <c r="BA96">
        <v>0</v>
      </c>
      <c r="BB96">
        <v>0</v>
      </c>
      <c r="BC96">
        <v>360</v>
      </c>
      <c r="BD96">
        <v>360</v>
      </c>
      <c r="BE96">
        <v>360</v>
      </c>
      <c r="BF96">
        <v>360</v>
      </c>
      <c r="BG96">
        <v>360</v>
      </c>
      <c r="BH96">
        <v>315</v>
      </c>
      <c r="BI96">
        <v>0</v>
      </c>
      <c r="BJ96">
        <v>0</v>
      </c>
      <c r="BK96">
        <v>0</v>
      </c>
      <c r="BL96">
        <v>360</v>
      </c>
      <c r="BM96">
        <v>360</v>
      </c>
      <c r="BN96">
        <v>360</v>
      </c>
      <c r="BO96">
        <v>270</v>
      </c>
      <c r="BP96">
        <v>225</v>
      </c>
      <c r="BQ96">
        <f>(I96+J96+N96+O96)/4</f>
        <v>8.2916666666666679</v>
      </c>
      <c r="BR96">
        <f>(K96+L96+M96)/3</f>
        <v>6</v>
      </c>
      <c r="BS96">
        <f>BQ96/BR96</f>
        <v>1.3819444444444446</v>
      </c>
      <c r="BT96">
        <f>AQ96/I96</f>
        <v>90</v>
      </c>
      <c r="BU96" t="str">
        <f>IF(OR(A96=2, A96=12), "Central", IF(A96=3, "Semi-Central", "Periférica"))</f>
        <v>Periférica</v>
      </c>
    </row>
    <row r="97" spans="1:73" x14ac:dyDescent="0.3">
      <c r="A97" s="1">
        <v>15</v>
      </c>
      <c r="B97" s="1">
        <v>1534</v>
      </c>
      <c r="C97" s="1" t="s">
        <v>367</v>
      </c>
      <c r="D97" t="s">
        <v>5</v>
      </c>
      <c r="E97" t="s">
        <v>0</v>
      </c>
      <c r="F97">
        <v>0</v>
      </c>
      <c r="G97">
        <v>0</v>
      </c>
      <c r="H97">
        <v>7</v>
      </c>
      <c r="I97">
        <v>7.333333333333333</v>
      </c>
      <c r="J97">
        <v>6</v>
      </c>
      <c r="K97">
        <v>4</v>
      </c>
      <c r="L97">
        <v>4</v>
      </c>
      <c r="M97">
        <v>4.4000000000000004</v>
      </c>
      <c r="N97">
        <v>4.5</v>
      </c>
      <c r="O97">
        <v>5</v>
      </c>
      <c r="P97">
        <v>4.666666666666667</v>
      </c>
      <c r="Q97">
        <v>1.5</v>
      </c>
      <c r="R97">
        <v>0</v>
      </c>
      <c r="S97">
        <v>0</v>
      </c>
      <c r="T97">
        <v>3</v>
      </c>
      <c r="U97">
        <v>4.4000000000000004</v>
      </c>
      <c r="V97">
        <v>3.666666666666667</v>
      </c>
      <c r="W97">
        <v>3.666666666666667</v>
      </c>
      <c r="X97">
        <v>3.7777777777777781</v>
      </c>
      <c r="Y97">
        <v>3.6</v>
      </c>
      <c r="Z97">
        <v>1.5</v>
      </c>
      <c r="AA97">
        <v>0</v>
      </c>
      <c r="AB97">
        <v>0</v>
      </c>
      <c r="AC97">
        <v>3</v>
      </c>
      <c r="AD97">
        <v>3.8181818181818179</v>
      </c>
      <c r="AE97">
        <v>3.8</v>
      </c>
      <c r="AF97">
        <v>3.666666666666667</v>
      </c>
      <c r="AG97">
        <v>3</v>
      </c>
      <c r="AH97">
        <v>1.5</v>
      </c>
      <c r="AI97" s="1">
        <v>15</v>
      </c>
      <c r="AJ97" s="1">
        <v>1534</v>
      </c>
      <c r="AK97" s="1" t="s">
        <v>367</v>
      </c>
      <c r="AL97" t="s">
        <v>5</v>
      </c>
      <c r="AM97" t="s">
        <v>0</v>
      </c>
      <c r="AN97">
        <v>0</v>
      </c>
      <c r="AO97">
        <v>0</v>
      </c>
      <c r="AP97">
        <v>630</v>
      </c>
      <c r="AQ97">
        <v>660</v>
      </c>
      <c r="AR97">
        <v>540</v>
      </c>
      <c r="AS97">
        <v>360</v>
      </c>
      <c r="AT97">
        <v>360</v>
      </c>
      <c r="AU97">
        <v>396</v>
      </c>
      <c r="AV97">
        <v>405</v>
      </c>
      <c r="AW97">
        <v>450</v>
      </c>
      <c r="AX97">
        <v>420</v>
      </c>
      <c r="AY97">
        <v>135</v>
      </c>
      <c r="AZ97">
        <v>0</v>
      </c>
      <c r="BA97">
        <v>0</v>
      </c>
      <c r="BB97">
        <v>270</v>
      </c>
      <c r="BC97">
        <v>396</v>
      </c>
      <c r="BD97">
        <v>330</v>
      </c>
      <c r="BE97">
        <v>330</v>
      </c>
      <c r="BF97">
        <v>340</v>
      </c>
      <c r="BG97">
        <v>324</v>
      </c>
      <c r="BH97">
        <v>135</v>
      </c>
      <c r="BI97">
        <v>0</v>
      </c>
      <c r="BJ97">
        <v>0</v>
      </c>
      <c r="BK97">
        <v>270</v>
      </c>
      <c r="BL97">
        <v>343.63636363636363</v>
      </c>
      <c r="BM97">
        <v>342</v>
      </c>
      <c r="BN97">
        <v>330</v>
      </c>
      <c r="BO97">
        <v>270</v>
      </c>
      <c r="BP97">
        <v>135</v>
      </c>
      <c r="BQ97">
        <f>(I97+J97+N97+O97)/4</f>
        <v>5.708333333333333</v>
      </c>
      <c r="BR97">
        <f>(K97+L97+M97)/3</f>
        <v>4.1333333333333337</v>
      </c>
      <c r="BS97">
        <f>BQ97/BR97</f>
        <v>1.381048387096774</v>
      </c>
      <c r="BT97">
        <f>AQ97/I97</f>
        <v>90</v>
      </c>
      <c r="BU97" t="str">
        <f>IF(OR(A97=2, A97=12), "Central", IF(A97=3, "Semi-Central", "Periférica"))</f>
        <v>Periférica</v>
      </c>
    </row>
    <row r="98" spans="1:73" x14ac:dyDescent="0.3">
      <c r="A98" s="1">
        <v>5</v>
      </c>
      <c r="B98" s="1">
        <v>521</v>
      </c>
      <c r="C98" s="1" t="s">
        <v>372</v>
      </c>
      <c r="D98" t="s">
        <v>1</v>
      </c>
      <c r="E98" t="s">
        <v>0</v>
      </c>
      <c r="F98">
        <v>0</v>
      </c>
      <c r="G98">
        <v>0</v>
      </c>
      <c r="H98">
        <v>5</v>
      </c>
      <c r="I98">
        <v>9.3333333333333339</v>
      </c>
      <c r="J98">
        <v>8</v>
      </c>
      <c r="K98">
        <v>6.666666666666667</v>
      </c>
      <c r="L98">
        <v>6</v>
      </c>
      <c r="M98">
        <v>6.8</v>
      </c>
      <c r="N98">
        <v>9.5</v>
      </c>
      <c r="O98">
        <v>9</v>
      </c>
      <c r="P98">
        <v>5.333333333333333</v>
      </c>
      <c r="Q98">
        <v>3.5</v>
      </c>
      <c r="R98">
        <v>0</v>
      </c>
      <c r="S98">
        <v>0</v>
      </c>
      <c r="T98">
        <v>4</v>
      </c>
      <c r="U98">
        <v>4.4000000000000004</v>
      </c>
      <c r="V98">
        <v>4.666666666666667</v>
      </c>
      <c r="W98">
        <v>4.666666666666667</v>
      </c>
      <c r="X98">
        <v>4.666666666666667</v>
      </c>
      <c r="Y98">
        <v>4.8</v>
      </c>
      <c r="Z98">
        <v>3.5</v>
      </c>
      <c r="AA98">
        <v>0</v>
      </c>
      <c r="AB98">
        <v>0</v>
      </c>
      <c r="AC98">
        <v>4</v>
      </c>
      <c r="AD98">
        <v>4.1818181818181817</v>
      </c>
      <c r="AE98">
        <v>4.4000000000000004</v>
      </c>
      <c r="AF98">
        <v>4.333333333333333</v>
      </c>
      <c r="AG98">
        <v>5</v>
      </c>
      <c r="AH98">
        <v>3.5</v>
      </c>
      <c r="AI98" s="1">
        <v>5</v>
      </c>
      <c r="AJ98" s="1">
        <v>521</v>
      </c>
      <c r="AK98" s="1" t="s">
        <v>372</v>
      </c>
      <c r="AL98" t="s">
        <v>1</v>
      </c>
      <c r="AM98" t="s">
        <v>0</v>
      </c>
      <c r="AN98">
        <v>0</v>
      </c>
      <c r="AO98">
        <v>0</v>
      </c>
      <c r="AP98">
        <v>405</v>
      </c>
      <c r="AQ98">
        <v>756</v>
      </c>
      <c r="AR98">
        <v>648</v>
      </c>
      <c r="AS98">
        <v>540</v>
      </c>
      <c r="AT98">
        <v>486</v>
      </c>
      <c r="AU98">
        <v>550.79999999999995</v>
      </c>
      <c r="AV98">
        <v>769.5</v>
      </c>
      <c r="AW98">
        <v>729</v>
      </c>
      <c r="AX98">
        <v>432</v>
      </c>
      <c r="AY98">
        <v>283.5</v>
      </c>
      <c r="AZ98">
        <v>0</v>
      </c>
      <c r="BA98">
        <v>0</v>
      </c>
      <c r="BB98">
        <v>324</v>
      </c>
      <c r="BC98">
        <v>356.4</v>
      </c>
      <c r="BD98">
        <v>378</v>
      </c>
      <c r="BE98">
        <v>378</v>
      </c>
      <c r="BF98">
        <v>378</v>
      </c>
      <c r="BG98">
        <v>388.8</v>
      </c>
      <c r="BH98">
        <v>283.5</v>
      </c>
      <c r="BI98">
        <v>0</v>
      </c>
      <c r="BJ98">
        <v>0</v>
      </c>
      <c r="BK98">
        <v>324</v>
      </c>
      <c r="BL98">
        <v>338.72727272727275</v>
      </c>
      <c r="BM98">
        <v>356.4</v>
      </c>
      <c r="BN98">
        <v>351</v>
      </c>
      <c r="BO98">
        <v>405</v>
      </c>
      <c r="BP98">
        <v>283.5</v>
      </c>
      <c r="BQ98">
        <f>(I98+J98+N98+O98)/4</f>
        <v>8.9583333333333339</v>
      </c>
      <c r="BR98">
        <f>(K98+L98+M98)/3</f>
        <v>6.4888888888888898</v>
      </c>
      <c r="BS98">
        <f>BQ98/BR98</f>
        <v>1.3805650684931505</v>
      </c>
      <c r="BT98">
        <f>AQ98/I98</f>
        <v>81</v>
      </c>
      <c r="BU98" t="str">
        <f>IF(OR(A98=2, A98=12), "Central", IF(A98=3, "Semi-Central", "Periférica"))</f>
        <v>Periférica</v>
      </c>
    </row>
    <row r="99" spans="1:73" x14ac:dyDescent="0.3">
      <c r="A99" s="1">
        <v>5</v>
      </c>
      <c r="B99" s="1">
        <v>523</v>
      </c>
      <c r="C99" s="1" t="s">
        <v>188</v>
      </c>
      <c r="D99" t="s">
        <v>5</v>
      </c>
      <c r="E99" t="s">
        <v>0</v>
      </c>
      <c r="F99">
        <v>0</v>
      </c>
      <c r="G99">
        <v>0</v>
      </c>
      <c r="H99">
        <v>6</v>
      </c>
      <c r="I99">
        <v>6.666666666666667</v>
      </c>
      <c r="J99">
        <v>5.333333333333333</v>
      </c>
      <c r="K99">
        <v>4</v>
      </c>
      <c r="L99">
        <v>4</v>
      </c>
      <c r="M99">
        <v>4</v>
      </c>
      <c r="N99">
        <v>5</v>
      </c>
      <c r="O99">
        <v>5</v>
      </c>
      <c r="P99">
        <v>3.3333333333333335</v>
      </c>
      <c r="Q99">
        <v>2.5</v>
      </c>
      <c r="R99">
        <v>0</v>
      </c>
      <c r="S99">
        <v>0</v>
      </c>
      <c r="T99">
        <v>3</v>
      </c>
      <c r="U99">
        <v>4.4000000000000004</v>
      </c>
      <c r="V99">
        <v>4</v>
      </c>
      <c r="W99">
        <v>4</v>
      </c>
      <c r="X99">
        <v>4</v>
      </c>
      <c r="Y99">
        <v>4</v>
      </c>
      <c r="Z99">
        <v>2.5</v>
      </c>
      <c r="AA99">
        <v>0</v>
      </c>
      <c r="AB99">
        <v>0</v>
      </c>
      <c r="AC99">
        <v>3.5</v>
      </c>
      <c r="AD99">
        <v>3.4545454545454546</v>
      </c>
      <c r="AE99">
        <v>3.6</v>
      </c>
      <c r="AF99">
        <v>3.6666666666666665</v>
      </c>
      <c r="AG99">
        <v>3</v>
      </c>
      <c r="AH99">
        <v>2</v>
      </c>
      <c r="AI99" s="1">
        <v>5</v>
      </c>
      <c r="AJ99" s="1">
        <v>523</v>
      </c>
      <c r="AK99" s="1" t="s">
        <v>188</v>
      </c>
      <c r="AL99" t="s">
        <v>5</v>
      </c>
      <c r="AM99" t="s">
        <v>0</v>
      </c>
      <c r="AN99">
        <v>0</v>
      </c>
      <c r="AO99">
        <v>0</v>
      </c>
      <c r="AP99">
        <v>486</v>
      </c>
      <c r="AQ99">
        <v>540</v>
      </c>
      <c r="AR99">
        <v>432</v>
      </c>
      <c r="AS99">
        <v>324</v>
      </c>
      <c r="AT99">
        <v>324</v>
      </c>
      <c r="AU99">
        <v>324</v>
      </c>
      <c r="AV99">
        <v>405</v>
      </c>
      <c r="AW99">
        <v>405</v>
      </c>
      <c r="AX99">
        <v>270</v>
      </c>
      <c r="AY99">
        <v>202.5</v>
      </c>
      <c r="AZ99">
        <v>0</v>
      </c>
      <c r="BA99">
        <v>0</v>
      </c>
      <c r="BB99">
        <v>243</v>
      </c>
      <c r="BC99">
        <v>356.4</v>
      </c>
      <c r="BD99">
        <v>324</v>
      </c>
      <c r="BE99">
        <v>324</v>
      </c>
      <c r="BF99">
        <v>324</v>
      </c>
      <c r="BG99">
        <v>324</v>
      </c>
      <c r="BH99">
        <v>202.5</v>
      </c>
      <c r="BI99">
        <v>0</v>
      </c>
      <c r="BJ99">
        <v>0</v>
      </c>
      <c r="BK99">
        <v>283.5</v>
      </c>
      <c r="BL99">
        <v>279.81818181818181</v>
      </c>
      <c r="BM99">
        <v>291.60000000000002</v>
      </c>
      <c r="BN99">
        <v>297</v>
      </c>
      <c r="BO99">
        <v>243</v>
      </c>
      <c r="BP99">
        <v>162</v>
      </c>
      <c r="BQ99">
        <f>(I99+J99+N99+O99)/4</f>
        <v>5.5</v>
      </c>
      <c r="BR99">
        <f>(K99+L99+M99)/3</f>
        <v>4</v>
      </c>
      <c r="BS99">
        <f>BQ99/BR99</f>
        <v>1.375</v>
      </c>
      <c r="BT99">
        <f>AQ99/I99</f>
        <v>81</v>
      </c>
      <c r="BU99" t="str">
        <f>IF(OR(A99=2, A99=12), "Central", IF(A99=3, "Semi-Central", "Periférica"))</f>
        <v>Periférica</v>
      </c>
    </row>
    <row r="100" spans="1:73" x14ac:dyDescent="0.3">
      <c r="A100" s="1">
        <v>14</v>
      </c>
      <c r="B100" s="1">
        <v>1421</v>
      </c>
      <c r="C100" s="1">
        <v>421</v>
      </c>
      <c r="D100" t="s">
        <v>5</v>
      </c>
      <c r="F100">
        <v>0</v>
      </c>
      <c r="G100">
        <v>1.333333333333333</v>
      </c>
      <c r="H100">
        <v>15</v>
      </c>
      <c r="I100">
        <v>12</v>
      </c>
      <c r="J100">
        <v>6.666666666666667</v>
      </c>
      <c r="K100">
        <v>5</v>
      </c>
      <c r="L100">
        <v>5.333333333333333</v>
      </c>
      <c r="M100">
        <v>5.6</v>
      </c>
      <c r="N100">
        <v>5.5</v>
      </c>
      <c r="O100">
        <v>5</v>
      </c>
      <c r="P100">
        <v>4</v>
      </c>
      <c r="Q100">
        <v>2.5</v>
      </c>
      <c r="R100">
        <v>0</v>
      </c>
      <c r="S100">
        <v>0.44444444444444442</v>
      </c>
      <c r="T100">
        <v>6</v>
      </c>
      <c r="U100">
        <v>6</v>
      </c>
      <c r="V100">
        <v>5</v>
      </c>
      <c r="W100">
        <v>5</v>
      </c>
      <c r="X100">
        <v>4.666666666666667</v>
      </c>
      <c r="Y100">
        <v>3.2</v>
      </c>
      <c r="Z100">
        <v>2.5</v>
      </c>
      <c r="AA100">
        <v>0</v>
      </c>
      <c r="AB100">
        <v>0.66666666666666663</v>
      </c>
      <c r="AC100">
        <v>5</v>
      </c>
      <c r="AD100">
        <v>3.8181818181818179</v>
      </c>
      <c r="AE100">
        <v>3.4</v>
      </c>
      <c r="AF100">
        <v>3.666666666666667</v>
      </c>
      <c r="AG100">
        <v>3</v>
      </c>
      <c r="AH100">
        <v>2</v>
      </c>
      <c r="AI100" s="1">
        <v>14</v>
      </c>
      <c r="AJ100" s="1">
        <v>1421</v>
      </c>
      <c r="AK100" s="1">
        <v>421</v>
      </c>
      <c r="AL100" t="s">
        <v>5</v>
      </c>
      <c r="AN100">
        <v>0</v>
      </c>
      <c r="AO100">
        <v>200</v>
      </c>
      <c r="AP100">
        <v>2250</v>
      </c>
      <c r="AQ100">
        <v>1800</v>
      </c>
      <c r="AR100">
        <v>1000</v>
      </c>
      <c r="AS100">
        <v>750</v>
      </c>
      <c r="AT100">
        <v>800</v>
      </c>
      <c r="AU100">
        <v>840</v>
      </c>
      <c r="AV100">
        <v>825</v>
      </c>
      <c r="AW100">
        <v>750</v>
      </c>
      <c r="AX100">
        <v>600</v>
      </c>
      <c r="AY100">
        <v>375</v>
      </c>
      <c r="AZ100">
        <v>0</v>
      </c>
      <c r="BA100">
        <v>40</v>
      </c>
      <c r="BB100">
        <v>540</v>
      </c>
      <c r="BC100">
        <v>540</v>
      </c>
      <c r="BD100">
        <v>450</v>
      </c>
      <c r="BE100">
        <v>450</v>
      </c>
      <c r="BF100">
        <v>420</v>
      </c>
      <c r="BG100">
        <v>288</v>
      </c>
      <c r="BH100">
        <v>225</v>
      </c>
      <c r="BI100">
        <v>0</v>
      </c>
      <c r="BJ100">
        <v>60</v>
      </c>
      <c r="BK100">
        <v>450</v>
      </c>
      <c r="BL100">
        <v>343.63636363636363</v>
      </c>
      <c r="BM100">
        <v>306</v>
      </c>
      <c r="BN100">
        <v>330</v>
      </c>
      <c r="BO100">
        <v>270</v>
      </c>
      <c r="BP100">
        <v>300</v>
      </c>
      <c r="BQ100">
        <f>(I100+J100+N100+O100)/4</f>
        <v>7.291666666666667</v>
      </c>
      <c r="BR100">
        <f>(K100+L100+M100)/3</f>
        <v>5.3111111111111109</v>
      </c>
      <c r="BS100">
        <f>BQ100/BR100</f>
        <v>1.372907949790795</v>
      </c>
      <c r="BT100">
        <f>AQ100/I100</f>
        <v>150</v>
      </c>
      <c r="BU100" t="str">
        <f>IF(OR(A100=2, A100=12), "Central", IF(A100=3, "Semi-Central", "Periférica"))</f>
        <v>Periférica</v>
      </c>
    </row>
    <row r="101" spans="1:73" x14ac:dyDescent="0.3">
      <c r="A101" s="1">
        <v>18</v>
      </c>
      <c r="B101" s="1">
        <v>1808</v>
      </c>
      <c r="C101" s="1">
        <v>208</v>
      </c>
      <c r="D101" t="s">
        <v>5</v>
      </c>
      <c r="E101" t="s">
        <v>0</v>
      </c>
      <c r="F101">
        <v>0</v>
      </c>
      <c r="G101">
        <v>0</v>
      </c>
      <c r="H101">
        <v>13</v>
      </c>
      <c r="I101">
        <v>12</v>
      </c>
      <c r="J101">
        <v>12</v>
      </c>
      <c r="K101">
        <v>8.3333333333333339</v>
      </c>
      <c r="L101">
        <v>8</v>
      </c>
      <c r="M101">
        <v>8</v>
      </c>
      <c r="N101">
        <v>10.5</v>
      </c>
      <c r="O101">
        <v>10</v>
      </c>
      <c r="P101">
        <v>6.666666666666667</v>
      </c>
      <c r="Q101">
        <v>4.5</v>
      </c>
      <c r="R101">
        <v>0</v>
      </c>
      <c r="S101">
        <v>0</v>
      </c>
      <c r="T101">
        <v>3</v>
      </c>
      <c r="U101">
        <v>4.8</v>
      </c>
      <c r="V101">
        <v>6</v>
      </c>
      <c r="W101">
        <v>6.333333333333333</v>
      </c>
      <c r="X101">
        <v>5.1111111111111107</v>
      </c>
      <c r="Y101">
        <v>4.4000000000000004</v>
      </c>
      <c r="Z101">
        <v>3.5</v>
      </c>
      <c r="AA101">
        <v>0</v>
      </c>
      <c r="AB101">
        <v>0</v>
      </c>
      <c r="AC101">
        <v>4</v>
      </c>
      <c r="AD101">
        <v>4</v>
      </c>
      <c r="AE101">
        <v>4</v>
      </c>
      <c r="AF101">
        <v>4</v>
      </c>
      <c r="AG101">
        <v>4</v>
      </c>
      <c r="AH101">
        <v>3</v>
      </c>
      <c r="AI101" s="1">
        <v>18</v>
      </c>
      <c r="AJ101" s="1">
        <v>1808</v>
      </c>
      <c r="AK101" s="1">
        <v>208</v>
      </c>
      <c r="AL101" t="s">
        <v>5</v>
      </c>
      <c r="AM101" t="s">
        <v>0</v>
      </c>
      <c r="AN101">
        <v>0</v>
      </c>
      <c r="AO101">
        <v>0</v>
      </c>
      <c r="AP101">
        <v>1950</v>
      </c>
      <c r="AQ101">
        <v>1800</v>
      </c>
      <c r="AR101">
        <v>1800</v>
      </c>
      <c r="AS101">
        <v>1250</v>
      </c>
      <c r="AT101">
        <v>1200</v>
      </c>
      <c r="AU101">
        <v>1200</v>
      </c>
      <c r="AV101">
        <v>1575</v>
      </c>
      <c r="AW101">
        <v>1500</v>
      </c>
      <c r="AX101">
        <v>1000</v>
      </c>
      <c r="AY101">
        <v>675</v>
      </c>
      <c r="AZ101">
        <v>0</v>
      </c>
      <c r="BA101">
        <v>0</v>
      </c>
      <c r="BB101">
        <v>270</v>
      </c>
      <c r="BC101">
        <v>432</v>
      </c>
      <c r="BD101">
        <v>540</v>
      </c>
      <c r="BE101">
        <v>570</v>
      </c>
      <c r="BF101">
        <v>460</v>
      </c>
      <c r="BG101">
        <v>396</v>
      </c>
      <c r="BH101">
        <v>315</v>
      </c>
      <c r="BI101">
        <v>0</v>
      </c>
      <c r="BJ101">
        <v>0</v>
      </c>
      <c r="BK101">
        <v>360</v>
      </c>
      <c r="BL101">
        <v>360</v>
      </c>
      <c r="BM101">
        <v>360</v>
      </c>
      <c r="BN101">
        <v>360</v>
      </c>
      <c r="BO101">
        <v>360</v>
      </c>
      <c r="BP101">
        <v>270</v>
      </c>
      <c r="BQ101">
        <f>(I101+J101+N101+O101)/4</f>
        <v>11.125</v>
      </c>
      <c r="BR101">
        <f>(K101+L101+M101)/3</f>
        <v>8.1111111111111125</v>
      </c>
      <c r="BS101">
        <f>BQ101/BR101</f>
        <v>1.3715753424657533</v>
      </c>
      <c r="BT101">
        <f>AQ101/I101</f>
        <v>150</v>
      </c>
      <c r="BU101" t="str">
        <f>IF(OR(A101=2, A101=12), "Central", IF(A101=3, "Semi-Central", "Periférica"))</f>
        <v>Periférica</v>
      </c>
    </row>
    <row r="102" spans="1:73" x14ac:dyDescent="0.3">
      <c r="A102" s="1">
        <v>16</v>
      </c>
      <c r="B102" s="1">
        <v>1633</v>
      </c>
      <c r="C102" s="1" t="s">
        <v>359</v>
      </c>
      <c r="D102" t="s">
        <v>5</v>
      </c>
      <c r="E102" t="s">
        <v>0</v>
      </c>
      <c r="F102">
        <v>2</v>
      </c>
      <c r="G102">
        <v>0.66666666666666663</v>
      </c>
      <c r="H102">
        <v>3</v>
      </c>
      <c r="I102">
        <v>7.333333333333333</v>
      </c>
      <c r="J102">
        <v>6</v>
      </c>
      <c r="K102">
        <v>5</v>
      </c>
      <c r="L102">
        <v>4.666666666666667</v>
      </c>
      <c r="M102">
        <v>5.6</v>
      </c>
      <c r="N102">
        <v>7.5</v>
      </c>
      <c r="O102">
        <v>7</v>
      </c>
      <c r="P102">
        <v>5.333333333333333</v>
      </c>
      <c r="Q102">
        <v>3.5</v>
      </c>
      <c r="R102">
        <v>2</v>
      </c>
      <c r="S102">
        <v>0.66666666666666663</v>
      </c>
      <c r="T102">
        <v>3</v>
      </c>
      <c r="U102">
        <v>4</v>
      </c>
      <c r="V102">
        <v>4</v>
      </c>
      <c r="W102">
        <v>4.666666666666667</v>
      </c>
      <c r="X102">
        <v>4.4444444444444446</v>
      </c>
      <c r="Y102">
        <v>4</v>
      </c>
      <c r="Z102">
        <v>3</v>
      </c>
      <c r="AA102">
        <v>2</v>
      </c>
      <c r="AB102">
        <v>0.66666666666666663</v>
      </c>
      <c r="AC102">
        <v>4</v>
      </c>
      <c r="AD102">
        <v>4</v>
      </c>
      <c r="AE102">
        <v>4</v>
      </c>
      <c r="AF102">
        <v>4</v>
      </c>
      <c r="AG102">
        <v>4</v>
      </c>
      <c r="AH102">
        <v>2.5</v>
      </c>
      <c r="AI102" s="1">
        <v>16</v>
      </c>
      <c r="AJ102" s="1">
        <v>1633</v>
      </c>
      <c r="AK102" s="1" t="s">
        <v>359</v>
      </c>
      <c r="AL102" t="s">
        <v>5</v>
      </c>
      <c r="AM102" t="s">
        <v>0</v>
      </c>
      <c r="AN102">
        <v>180</v>
      </c>
      <c r="AO102">
        <v>60</v>
      </c>
      <c r="AP102">
        <v>270</v>
      </c>
      <c r="AQ102">
        <v>660</v>
      </c>
      <c r="AR102">
        <v>540</v>
      </c>
      <c r="AS102">
        <v>450</v>
      </c>
      <c r="AT102">
        <v>420</v>
      </c>
      <c r="AU102">
        <v>504</v>
      </c>
      <c r="AV102">
        <v>675</v>
      </c>
      <c r="AW102">
        <v>630</v>
      </c>
      <c r="AX102">
        <v>480</v>
      </c>
      <c r="AY102">
        <v>315</v>
      </c>
      <c r="AZ102">
        <v>180</v>
      </c>
      <c r="BA102">
        <v>60</v>
      </c>
      <c r="BB102">
        <v>270</v>
      </c>
      <c r="BC102">
        <v>360</v>
      </c>
      <c r="BD102">
        <v>360</v>
      </c>
      <c r="BE102">
        <v>420</v>
      </c>
      <c r="BF102">
        <v>400</v>
      </c>
      <c r="BG102">
        <v>360</v>
      </c>
      <c r="BH102">
        <v>270</v>
      </c>
      <c r="BI102">
        <v>180</v>
      </c>
      <c r="BJ102">
        <v>60</v>
      </c>
      <c r="BK102">
        <v>360</v>
      </c>
      <c r="BL102">
        <v>360</v>
      </c>
      <c r="BM102">
        <v>360</v>
      </c>
      <c r="BN102">
        <v>360</v>
      </c>
      <c r="BO102">
        <v>360</v>
      </c>
      <c r="BP102">
        <v>225</v>
      </c>
      <c r="BQ102">
        <f>(I102+J102+N102+O102)/4</f>
        <v>6.958333333333333</v>
      </c>
      <c r="BR102">
        <f>(K102+L102+M102)/3</f>
        <v>5.0888888888888895</v>
      </c>
      <c r="BS102">
        <f>BQ102/BR102</f>
        <v>1.3673580786026198</v>
      </c>
      <c r="BT102">
        <f>AQ102/I102</f>
        <v>90</v>
      </c>
      <c r="BU102" t="str">
        <f>IF(OR(A102=2, A102=12), "Central", IF(A102=3, "Semi-Central", "Periférica"))</f>
        <v>Periférica</v>
      </c>
    </row>
    <row r="103" spans="1:73" x14ac:dyDescent="0.3">
      <c r="A103" s="1">
        <v>5</v>
      </c>
      <c r="B103" s="1">
        <v>556</v>
      </c>
      <c r="C103" s="1">
        <v>406</v>
      </c>
      <c r="D103" t="s">
        <v>1</v>
      </c>
      <c r="E103" t="s">
        <v>0</v>
      </c>
      <c r="F103">
        <v>0</v>
      </c>
      <c r="G103">
        <v>0</v>
      </c>
      <c r="H103">
        <v>4</v>
      </c>
      <c r="I103">
        <v>8.6666666666666661</v>
      </c>
      <c r="J103">
        <v>9.3333333333333339</v>
      </c>
      <c r="K103">
        <v>9</v>
      </c>
      <c r="L103">
        <v>5.333333333333333</v>
      </c>
      <c r="M103">
        <v>6.8</v>
      </c>
      <c r="N103">
        <v>11</v>
      </c>
      <c r="O103">
        <v>9.5</v>
      </c>
      <c r="P103">
        <v>5.333333333333333</v>
      </c>
      <c r="Q103">
        <v>3.5</v>
      </c>
      <c r="R103">
        <v>0</v>
      </c>
      <c r="S103">
        <v>0</v>
      </c>
      <c r="T103">
        <v>2</v>
      </c>
      <c r="U103">
        <v>5.2</v>
      </c>
      <c r="V103">
        <v>4.666666666666667</v>
      </c>
      <c r="W103">
        <v>5.333333333333333</v>
      </c>
      <c r="X103">
        <v>5.1111111111111107</v>
      </c>
      <c r="Y103">
        <v>4</v>
      </c>
      <c r="Z103">
        <v>2</v>
      </c>
      <c r="AA103">
        <v>0</v>
      </c>
      <c r="AB103">
        <v>0</v>
      </c>
      <c r="AC103">
        <v>3</v>
      </c>
      <c r="AD103">
        <v>3.4545454545454546</v>
      </c>
      <c r="AE103">
        <v>3.6</v>
      </c>
      <c r="AF103">
        <v>3.6666666666666665</v>
      </c>
      <c r="AG103">
        <v>3</v>
      </c>
      <c r="AH103">
        <v>1.5</v>
      </c>
      <c r="AI103" s="1">
        <v>5</v>
      </c>
      <c r="AJ103" s="1">
        <v>556</v>
      </c>
      <c r="AK103" s="1">
        <v>406</v>
      </c>
      <c r="AL103" t="s">
        <v>1</v>
      </c>
      <c r="AM103" t="s">
        <v>0</v>
      </c>
      <c r="AN103">
        <v>0</v>
      </c>
      <c r="AO103">
        <v>0</v>
      </c>
      <c r="AP103">
        <v>564</v>
      </c>
      <c r="AQ103">
        <v>1222</v>
      </c>
      <c r="AR103">
        <v>1316</v>
      </c>
      <c r="AS103">
        <v>1269</v>
      </c>
      <c r="AT103">
        <v>752</v>
      </c>
      <c r="AU103">
        <v>958.8</v>
      </c>
      <c r="AV103">
        <v>1551</v>
      </c>
      <c r="AW103">
        <v>1339.5</v>
      </c>
      <c r="AX103">
        <v>752</v>
      </c>
      <c r="AY103">
        <v>493.5</v>
      </c>
      <c r="AZ103">
        <v>0</v>
      </c>
      <c r="BA103">
        <v>0</v>
      </c>
      <c r="BB103">
        <v>282</v>
      </c>
      <c r="BC103">
        <v>733.2</v>
      </c>
      <c r="BD103">
        <v>658</v>
      </c>
      <c r="BE103">
        <v>752</v>
      </c>
      <c r="BF103">
        <v>720.66666666666663</v>
      </c>
      <c r="BG103">
        <v>564</v>
      </c>
      <c r="BH103">
        <v>282</v>
      </c>
      <c r="BI103">
        <v>0</v>
      </c>
      <c r="BJ103">
        <v>0</v>
      </c>
      <c r="BK103">
        <v>423</v>
      </c>
      <c r="BL103">
        <v>487.09090909090907</v>
      </c>
      <c r="BM103">
        <v>507.6</v>
      </c>
      <c r="BN103">
        <v>517</v>
      </c>
      <c r="BO103">
        <v>423</v>
      </c>
      <c r="BP103">
        <v>211.5</v>
      </c>
      <c r="BQ103">
        <f>(I103+J103+N103+O103)/4</f>
        <v>9.625</v>
      </c>
      <c r="BR103">
        <f>(K103+L103+M103)/3</f>
        <v>7.0444444444444443</v>
      </c>
      <c r="BS103">
        <f>BQ103/BR103</f>
        <v>1.3663249211356467</v>
      </c>
      <c r="BT103">
        <f>AQ103/I103</f>
        <v>141</v>
      </c>
      <c r="BU103" t="str">
        <f>IF(OR(A103=2, A103=12), "Central", IF(A103=3, "Semi-Central", "Periférica"))</f>
        <v>Periférica</v>
      </c>
    </row>
    <row r="104" spans="1:73" x14ac:dyDescent="0.3">
      <c r="A104" s="1">
        <v>8</v>
      </c>
      <c r="B104" s="1">
        <v>805</v>
      </c>
      <c r="C104" s="1">
        <v>105</v>
      </c>
      <c r="D104" t="s">
        <v>5</v>
      </c>
      <c r="F104">
        <v>0</v>
      </c>
      <c r="G104">
        <v>0.44444444444444442</v>
      </c>
      <c r="H104">
        <v>9</v>
      </c>
      <c r="I104">
        <v>8.6666666666666661</v>
      </c>
      <c r="J104">
        <v>8.6666666666666661</v>
      </c>
      <c r="K104">
        <v>6.333333333333333</v>
      </c>
      <c r="L104">
        <v>6</v>
      </c>
      <c r="M104">
        <v>6</v>
      </c>
      <c r="N104">
        <v>8.5</v>
      </c>
      <c r="O104">
        <v>7.5</v>
      </c>
      <c r="P104">
        <v>4</v>
      </c>
      <c r="Q104">
        <v>3.5</v>
      </c>
      <c r="R104">
        <v>0</v>
      </c>
      <c r="S104">
        <v>0</v>
      </c>
      <c r="T104">
        <v>5</v>
      </c>
      <c r="U104">
        <v>7.2</v>
      </c>
      <c r="V104">
        <v>6.666666666666667</v>
      </c>
      <c r="W104">
        <v>6.666666666666667</v>
      </c>
      <c r="X104">
        <v>6.666666666666667</v>
      </c>
      <c r="Y104">
        <v>5.6</v>
      </c>
      <c r="Z104">
        <v>3.5</v>
      </c>
      <c r="AA104">
        <v>0</v>
      </c>
      <c r="AB104">
        <v>0</v>
      </c>
      <c r="AC104">
        <v>3</v>
      </c>
      <c r="AD104">
        <v>5.2727272727272716</v>
      </c>
      <c r="AE104">
        <v>5.6</v>
      </c>
      <c r="AF104">
        <v>4.666666666666667</v>
      </c>
      <c r="AG104">
        <v>3</v>
      </c>
      <c r="AH104">
        <v>3</v>
      </c>
      <c r="AI104" s="1">
        <v>8</v>
      </c>
      <c r="AJ104" s="1">
        <v>805</v>
      </c>
      <c r="AK104" s="1">
        <v>105</v>
      </c>
      <c r="AL104" t="s">
        <v>5</v>
      </c>
      <c r="AN104">
        <v>0</v>
      </c>
      <c r="AO104">
        <v>66.666666666666671</v>
      </c>
      <c r="AP104">
        <v>1350</v>
      </c>
      <c r="AQ104">
        <v>1300</v>
      </c>
      <c r="AR104">
        <v>1300</v>
      </c>
      <c r="AS104">
        <v>950</v>
      </c>
      <c r="AT104">
        <v>900</v>
      </c>
      <c r="AU104">
        <v>900</v>
      </c>
      <c r="AV104">
        <v>1275</v>
      </c>
      <c r="AW104">
        <v>1125</v>
      </c>
      <c r="AX104">
        <v>600</v>
      </c>
      <c r="AY104">
        <v>525</v>
      </c>
      <c r="AZ104">
        <v>0</v>
      </c>
      <c r="BA104">
        <v>0</v>
      </c>
      <c r="BB104">
        <v>450</v>
      </c>
      <c r="BC104">
        <v>648</v>
      </c>
      <c r="BD104">
        <v>600</v>
      </c>
      <c r="BE104">
        <v>600</v>
      </c>
      <c r="BF104">
        <v>600</v>
      </c>
      <c r="BG104">
        <v>504</v>
      </c>
      <c r="BH104">
        <v>315</v>
      </c>
      <c r="BI104">
        <v>0</v>
      </c>
      <c r="BJ104">
        <v>0</v>
      </c>
      <c r="BK104">
        <v>270</v>
      </c>
      <c r="BL104">
        <v>474.54545454545462</v>
      </c>
      <c r="BM104">
        <v>504</v>
      </c>
      <c r="BN104">
        <v>420</v>
      </c>
      <c r="BO104">
        <v>270</v>
      </c>
      <c r="BP104">
        <v>270</v>
      </c>
      <c r="BQ104">
        <f>(I104+J104+N104+O104)/4</f>
        <v>8.3333333333333321</v>
      </c>
      <c r="BR104">
        <f>(K104+L104+M104)/3</f>
        <v>6.1111111111111107</v>
      </c>
      <c r="BS104">
        <f>BQ104/BR104</f>
        <v>1.3636363636363635</v>
      </c>
      <c r="BT104">
        <f>AQ104/I104</f>
        <v>150</v>
      </c>
      <c r="BU104" t="str">
        <f>IF(OR(A104=2, A104=12), "Central", IF(A104=3, "Semi-Central", "Periférica"))</f>
        <v>Periférica</v>
      </c>
    </row>
    <row r="105" spans="1:73" x14ac:dyDescent="0.3">
      <c r="A105" s="1">
        <v>8</v>
      </c>
      <c r="B105" s="1">
        <v>805</v>
      </c>
      <c r="C105" s="1">
        <v>105</v>
      </c>
      <c r="D105" t="s">
        <v>1</v>
      </c>
      <c r="F105">
        <v>0</v>
      </c>
      <c r="G105">
        <v>0.44444444444444442</v>
      </c>
      <c r="H105">
        <v>9</v>
      </c>
      <c r="I105">
        <v>8.6666666666666661</v>
      </c>
      <c r="J105">
        <v>8.6666666666666661</v>
      </c>
      <c r="K105">
        <v>6.333333333333333</v>
      </c>
      <c r="L105">
        <v>6</v>
      </c>
      <c r="M105">
        <v>6</v>
      </c>
      <c r="N105">
        <v>8.5</v>
      </c>
      <c r="O105">
        <v>7.5</v>
      </c>
      <c r="P105">
        <v>4.666666666666667</v>
      </c>
      <c r="Q105">
        <v>3.5</v>
      </c>
      <c r="R105">
        <v>0</v>
      </c>
      <c r="S105">
        <v>0.44444444444444442</v>
      </c>
      <c r="T105">
        <v>6</v>
      </c>
      <c r="U105">
        <v>7.6</v>
      </c>
      <c r="V105">
        <v>6.666666666666667</v>
      </c>
      <c r="W105">
        <v>6.666666666666667</v>
      </c>
      <c r="X105">
        <v>6.666666666666667</v>
      </c>
      <c r="Y105">
        <v>4.8</v>
      </c>
      <c r="Z105">
        <v>3.5</v>
      </c>
      <c r="AA105">
        <v>0</v>
      </c>
      <c r="AB105">
        <v>0</v>
      </c>
      <c r="AC105">
        <v>4.5</v>
      </c>
      <c r="AD105">
        <v>5.0909090909090908</v>
      </c>
      <c r="AE105">
        <v>5.2</v>
      </c>
      <c r="AF105">
        <v>4.666666666666667</v>
      </c>
      <c r="AG105">
        <v>4</v>
      </c>
      <c r="AH105">
        <v>3.5</v>
      </c>
      <c r="AI105" s="1">
        <v>8</v>
      </c>
      <c r="AJ105" s="1">
        <v>805</v>
      </c>
      <c r="AK105" s="1">
        <v>105</v>
      </c>
      <c r="AL105" t="s">
        <v>1</v>
      </c>
      <c r="AN105">
        <v>0</v>
      </c>
      <c r="AO105">
        <v>66.666666666666671</v>
      </c>
      <c r="AP105">
        <v>1350</v>
      </c>
      <c r="AQ105">
        <v>1300</v>
      </c>
      <c r="AR105">
        <v>1300</v>
      </c>
      <c r="AS105">
        <v>950</v>
      </c>
      <c r="AT105">
        <v>900</v>
      </c>
      <c r="AU105">
        <v>900</v>
      </c>
      <c r="AV105">
        <v>1275</v>
      </c>
      <c r="AW105">
        <v>1125</v>
      </c>
      <c r="AX105">
        <v>700</v>
      </c>
      <c r="AY105">
        <v>525</v>
      </c>
      <c r="AZ105">
        <v>0</v>
      </c>
      <c r="BA105">
        <v>40</v>
      </c>
      <c r="BB105">
        <v>540</v>
      </c>
      <c r="BC105">
        <v>684</v>
      </c>
      <c r="BD105">
        <v>600</v>
      </c>
      <c r="BE105">
        <v>600</v>
      </c>
      <c r="BF105">
        <v>600</v>
      </c>
      <c r="BG105">
        <v>432</v>
      </c>
      <c r="BH105">
        <v>315</v>
      </c>
      <c r="BI105">
        <v>0</v>
      </c>
      <c r="BJ105">
        <v>0</v>
      </c>
      <c r="BK105">
        <v>405</v>
      </c>
      <c r="BL105">
        <v>458.18181818181819</v>
      </c>
      <c r="BM105">
        <v>468</v>
      </c>
      <c r="BN105">
        <v>420</v>
      </c>
      <c r="BO105">
        <v>360</v>
      </c>
      <c r="BP105">
        <v>315</v>
      </c>
      <c r="BQ105">
        <f>(I105+J105+N105+O105)/4</f>
        <v>8.3333333333333321</v>
      </c>
      <c r="BR105">
        <f>(K105+L105+M105)/3</f>
        <v>6.1111111111111107</v>
      </c>
      <c r="BS105">
        <f>BQ105/BR105</f>
        <v>1.3636363636363635</v>
      </c>
      <c r="BT105">
        <f>AQ105/I105</f>
        <v>150</v>
      </c>
      <c r="BU105" t="str">
        <f>IF(OR(A105=2, A105=12), "Central", IF(A105=3, "Semi-Central", "Periférica"))</f>
        <v>Periférica</v>
      </c>
    </row>
    <row r="106" spans="1:73" x14ac:dyDescent="0.3">
      <c r="A106" s="1">
        <v>3</v>
      </c>
      <c r="B106" s="1">
        <v>319</v>
      </c>
      <c r="C106" s="1">
        <v>119</v>
      </c>
      <c r="D106" t="s">
        <v>5</v>
      </c>
      <c r="E106" t="s">
        <v>0</v>
      </c>
      <c r="F106">
        <v>2</v>
      </c>
      <c r="G106">
        <v>2</v>
      </c>
      <c r="H106">
        <v>3</v>
      </c>
      <c r="I106">
        <v>8</v>
      </c>
      <c r="J106">
        <v>6.666666666666667</v>
      </c>
      <c r="K106">
        <v>5.333333333333333</v>
      </c>
      <c r="L106">
        <v>4.666666666666667</v>
      </c>
      <c r="M106">
        <v>8</v>
      </c>
      <c r="N106">
        <v>9.5</v>
      </c>
      <c r="O106">
        <v>8.5</v>
      </c>
      <c r="P106">
        <v>4.666666666666667</v>
      </c>
      <c r="Q106">
        <v>3.5</v>
      </c>
      <c r="R106">
        <v>2</v>
      </c>
      <c r="S106">
        <v>2</v>
      </c>
      <c r="T106">
        <v>3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3.5</v>
      </c>
      <c r="AA106">
        <v>2</v>
      </c>
      <c r="AB106">
        <v>2</v>
      </c>
      <c r="AC106">
        <v>3</v>
      </c>
      <c r="AD106">
        <v>4</v>
      </c>
      <c r="AE106">
        <v>4</v>
      </c>
      <c r="AF106">
        <v>4</v>
      </c>
      <c r="AG106">
        <v>4</v>
      </c>
      <c r="AH106">
        <v>3</v>
      </c>
      <c r="AI106" s="1">
        <v>3</v>
      </c>
      <c r="AJ106" s="1">
        <v>319</v>
      </c>
      <c r="AK106" s="1">
        <v>119</v>
      </c>
      <c r="AL106" t="s">
        <v>5</v>
      </c>
      <c r="AM106" t="s">
        <v>0</v>
      </c>
      <c r="AN106">
        <v>196</v>
      </c>
      <c r="AO106">
        <v>196</v>
      </c>
      <c r="AP106">
        <v>294</v>
      </c>
      <c r="AQ106">
        <v>784</v>
      </c>
      <c r="AR106">
        <v>653.33333333333337</v>
      </c>
      <c r="AS106">
        <v>522.66666666666663</v>
      </c>
      <c r="AT106">
        <v>457.33333333333331</v>
      </c>
      <c r="AU106">
        <v>784</v>
      </c>
      <c r="AV106">
        <v>931</v>
      </c>
      <c r="AW106">
        <v>833</v>
      </c>
      <c r="AX106">
        <v>457.33333333333331</v>
      </c>
      <c r="AY106">
        <v>343</v>
      </c>
      <c r="AZ106">
        <v>196</v>
      </c>
      <c r="BA106">
        <v>196</v>
      </c>
      <c r="BB106">
        <v>294</v>
      </c>
      <c r="BC106">
        <v>392</v>
      </c>
      <c r="BD106">
        <v>392</v>
      </c>
      <c r="BE106">
        <v>392</v>
      </c>
      <c r="BF106">
        <v>392</v>
      </c>
      <c r="BG106">
        <v>392</v>
      </c>
      <c r="BH106">
        <v>343</v>
      </c>
      <c r="BI106">
        <v>196</v>
      </c>
      <c r="BJ106">
        <v>196</v>
      </c>
      <c r="BK106">
        <v>294</v>
      </c>
      <c r="BL106">
        <v>392</v>
      </c>
      <c r="BM106">
        <v>392</v>
      </c>
      <c r="BN106">
        <v>392</v>
      </c>
      <c r="BO106">
        <v>392</v>
      </c>
      <c r="BP106">
        <v>294</v>
      </c>
      <c r="BQ106">
        <f>(I106+J106+N106+O106)/4</f>
        <v>8.1666666666666679</v>
      </c>
      <c r="BR106">
        <f>(K106+L106+M106)/3</f>
        <v>6</v>
      </c>
      <c r="BS106">
        <f>BQ106/BR106</f>
        <v>1.3611111111111114</v>
      </c>
      <c r="BT106">
        <f>AQ106/I106</f>
        <v>98</v>
      </c>
      <c r="BU106" t="str">
        <f>IF(OR(A106=2, A106=12), "Central", IF(A106=3, "Semi-Central", "Periférica"))</f>
        <v>Semi-Central</v>
      </c>
    </row>
    <row r="107" spans="1:73" x14ac:dyDescent="0.3">
      <c r="A107" s="1">
        <v>19</v>
      </c>
      <c r="B107" s="1">
        <v>1905</v>
      </c>
      <c r="C107" s="1">
        <v>205</v>
      </c>
      <c r="D107" t="s">
        <v>1</v>
      </c>
      <c r="E107" t="s">
        <v>0</v>
      </c>
      <c r="F107">
        <v>2</v>
      </c>
      <c r="G107">
        <v>0</v>
      </c>
      <c r="H107">
        <v>5</v>
      </c>
      <c r="I107">
        <v>7.333333333333333</v>
      </c>
      <c r="J107">
        <v>6.666666666666667</v>
      </c>
      <c r="K107">
        <v>5.333333333333333</v>
      </c>
      <c r="L107">
        <v>4.666666666666667</v>
      </c>
      <c r="M107">
        <v>5.2</v>
      </c>
      <c r="N107">
        <v>6.5</v>
      </c>
      <c r="O107">
        <v>7</v>
      </c>
      <c r="P107">
        <v>3.333333333333333</v>
      </c>
      <c r="Q107">
        <v>3</v>
      </c>
      <c r="R107">
        <v>2</v>
      </c>
      <c r="S107">
        <v>0</v>
      </c>
      <c r="T107">
        <v>3</v>
      </c>
      <c r="U107">
        <v>4.4000000000000004</v>
      </c>
      <c r="V107">
        <v>4.333333333333333</v>
      </c>
      <c r="W107">
        <v>4</v>
      </c>
      <c r="X107">
        <v>4</v>
      </c>
      <c r="Y107">
        <v>3.2</v>
      </c>
      <c r="Z107">
        <v>3</v>
      </c>
      <c r="AA107">
        <v>2</v>
      </c>
      <c r="AB107">
        <v>0</v>
      </c>
      <c r="AC107">
        <v>3</v>
      </c>
      <c r="AD107">
        <v>3.0909090909090908</v>
      </c>
      <c r="AE107">
        <v>3.2</v>
      </c>
      <c r="AF107">
        <v>3</v>
      </c>
      <c r="AG107">
        <v>3</v>
      </c>
      <c r="AH107">
        <v>2.5</v>
      </c>
      <c r="AI107" s="1">
        <v>19</v>
      </c>
      <c r="AJ107" s="1">
        <v>1905</v>
      </c>
      <c r="AK107" s="1">
        <v>205</v>
      </c>
      <c r="AL107" t="s">
        <v>1</v>
      </c>
      <c r="AM107" t="s">
        <v>0</v>
      </c>
      <c r="AN107">
        <v>300</v>
      </c>
      <c r="AO107">
        <v>0</v>
      </c>
      <c r="AP107">
        <v>750</v>
      </c>
      <c r="AQ107">
        <v>1100</v>
      </c>
      <c r="AR107">
        <v>1000</v>
      </c>
      <c r="AS107">
        <v>800</v>
      </c>
      <c r="AT107">
        <v>700</v>
      </c>
      <c r="AU107">
        <v>780</v>
      </c>
      <c r="AV107">
        <v>975</v>
      </c>
      <c r="AW107">
        <v>1050</v>
      </c>
      <c r="AX107">
        <v>500</v>
      </c>
      <c r="AY107">
        <v>450</v>
      </c>
      <c r="AZ107">
        <v>180</v>
      </c>
      <c r="BA107">
        <v>0</v>
      </c>
      <c r="BB107">
        <v>270</v>
      </c>
      <c r="BC107">
        <v>396</v>
      </c>
      <c r="BD107">
        <v>390</v>
      </c>
      <c r="BE107">
        <v>360</v>
      </c>
      <c r="BF107">
        <v>360</v>
      </c>
      <c r="BG107">
        <v>288</v>
      </c>
      <c r="BH107">
        <v>270</v>
      </c>
      <c r="BI107">
        <v>180</v>
      </c>
      <c r="BJ107">
        <v>0</v>
      </c>
      <c r="BK107">
        <v>270</v>
      </c>
      <c r="BL107">
        <v>278.18181818181819</v>
      </c>
      <c r="BM107">
        <v>288</v>
      </c>
      <c r="BN107">
        <v>270</v>
      </c>
      <c r="BO107">
        <v>270</v>
      </c>
      <c r="BP107">
        <v>225</v>
      </c>
      <c r="BQ107">
        <f>(I107+J107+N107+O107)/4</f>
        <v>6.875</v>
      </c>
      <c r="BR107">
        <f>(K107+L107+M107)/3</f>
        <v>5.0666666666666664</v>
      </c>
      <c r="BS107">
        <f>BQ107/BR107</f>
        <v>1.3569078947368423</v>
      </c>
      <c r="BT107">
        <f>AQ107/I107</f>
        <v>150</v>
      </c>
      <c r="BU107" t="str">
        <f>IF(OR(A107=2, A107=12), "Central", IF(A107=3, "Semi-Central", "Periférica"))</f>
        <v>Periférica</v>
      </c>
    </row>
    <row r="108" spans="1:73" x14ac:dyDescent="0.3">
      <c r="A108" s="1">
        <v>5</v>
      </c>
      <c r="B108" s="1">
        <v>501</v>
      </c>
      <c r="C108" s="1">
        <v>501</v>
      </c>
      <c r="D108" s="1" t="s">
        <v>1</v>
      </c>
      <c r="E108" t="s">
        <v>0</v>
      </c>
      <c r="F108">
        <v>0</v>
      </c>
      <c r="G108">
        <v>0</v>
      </c>
      <c r="H108">
        <v>8</v>
      </c>
      <c r="I108">
        <v>12.666666666666666</v>
      </c>
      <c r="J108">
        <v>10</v>
      </c>
      <c r="K108">
        <v>6</v>
      </c>
      <c r="L108">
        <v>8</v>
      </c>
      <c r="M108">
        <v>9.6</v>
      </c>
      <c r="N108">
        <v>11</v>
      </c>
      <c r="O108">
        <v>9</v>
      </c>
      <c r="P108">
        <v>4</v>
      </c>
      <c r="Q108">
        <v>2</v>
      </c>
      <c r="R108">
        <v>0</v>
      </c>
      <c r="S108">
        <v>0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3.6</v>
      </c>
      <c r="Z108">
        <v>1.5</v>
      </c>
      <c r="AA108">
        <v>0</v>
      </c>
      <c r="AB108">
        <v>0</v>
      </c>
      <c r="AC108">
        <v>3.5</v>
      </c>
      <c r="AD108">
        <v>3.0909090909090908</v>
      </c>
      <c r="AE108">
        <v>3</v>
      </c>
      <c r="AF108">
        <v>3</v>
      </c>
      <c r="AG108">
        <v>3</v>
      </c>
      <c r="AH108">
        <v>1.5</v>
      </c>
      <c r="AI108" s="1">
        <v>5</v>
      </c>
      <c r="AJ108" s="1">
        <v>501</v>
      </c>
      <c r="AK108" s="1">
        <v>501</v>
      </c>
      <c r="AL108" s="1" t="s">
        <v>1</v>
      </c>
      <c r="AM108" t="s">
        <v>0</v>
      </c>
      <c r="AN108">
        <v>0</v>
      </c>
      <c r="AO108">
        <v>0</v>
      </c>
      <c r="AP108">
        <v>648</v>
      </c>
      <c r="AQ108">
        <v>1026</v>
      </c>
      <c r="AR108">
        <v>810</v>
      </c>
      <c r="AS108">
        <v>486</v>
      </c>
      <c r="AT108">
        <v>648</v>
      </c>
      <c r="AU108">
        <v>777.6</v>
      </c>
      <c r="AV108">
        <v>891</v>
      </c>
      <c r="AW108">
        <v>729</v>
      </c>
      <c r="AX108">
        <v>324</v>
      </c>
      <c r="AY108">
        <v>162</v>
      </c>
      <c r="AZ108">
        <v>0</v>
      </c>
      <c r="BA108">
        <v>0</v>
      </c>
      <c r="BB108">
        <v>324</v>
      </c>
      <c r="BC108">
        <v>324</v>
      </c>
      <c r="BD108">
        <v>324</v>
      </c>
      <c r="BE108">
        <v>324</v>
      </c>
      <c r="BF108">
        <v>324</v>
      </c>
      <c r="BG108">
        <v>291.60000000000002</v>
      </c>
      <c r="BH108">
        <v>121.5</v>
      </c>
      <c r="BI108">
        <v>0</v>
      </c>
      <c r="BJ108">
        <v>0</v>
      </c>
      <c r="BK108">
        <v>283.5</v>
      </c>
      <c r="BL108">
        <v>250.36363636363637</v>
      </c>
      <c r="BM108">
        <v>243</v>
      </c>
      <c r="BN108">
        <v>243</v>
      </c>
      <c r="BO108">
        <v>243</v>
      </c>
      <c r="BP108">
        <v>121.5</v>
      </c>
      <c r="BQ108">
        <f>(I108+J108+N108+O108)/4</f>
        <v>10.666666666666666</v>
      </c>
      <c r="BR108">
        <f>(K108+L108+M108)/3</f>
        <v>7.8666666666666671</v>
      </c>
      <c r="BS108">
        <f>BQ108/BR108</f>
        <v>1.3559322033898304</v>
      </c>
      <c r="BT108">
        <f>AQ108/I108</f>
        <v>81</v>
      </c>
      <c r="BU108" t="str">
        <f>IF(OR(A108=2, A108=12), "Central", IF(A108=3, "Semi-Central", "Periférica"))</f>
        <v>Periférica</v>
      </c>
    </row>
    <row r="109" spans="1:73" x14ac:dyDescent="0.3">
      <c r="A109" s="1">
        <v>5</v>
      </c>
      <c r="B109" s="1">
        <v>558</v>
      </c>
      <c r="C109" s="1">
        <v>118</v>
      </c>
      <c r="D109" t="s">
        <v>5</v>
      </c>
      <c r="E109" t="s">
        <v>0</v>
      </c>
      <c r="F109">
        <v>0</v>
      </c>
      <c r="G109">
        <v>0</v>
      </c>
      <c r="H109">
        <v>9</v>
      </c>
      <c r="I109">
        <v>9.3333333333333339</v>
      </c>
      <c r="J109">
        <v>6</v>
      </c>
      <c r="K109">
        <v>5</v>
      </c>
      <c r="L109">
        <v>5.333333333333333</v>
      </c>
      <c r="M109">
        <v>5.2</v>
      </c>
      <c r="N109">
        <v>7</v>
      </c>
      <c r="O109">
        <v>5.5</v>
      </c>
      <c r="P109">
        <v>4.666666666666667</v>
      </c>
      <c r="Q109">
        <v>3</v>
      </c>
      <c r="R109">
        <v>0</v>
      </c>
      <c r="S109">
        <v>0</v>
      </c>
      <c r="T109">
        <v>3</v>
      </c>
      <c r="U109">
        <v>5.2</v>
      </c>
      <c r="V109">
        <v>5</v>
      </c>
      <c r="W109">
        <v>5</v>
      </c>
      <c r="X109">
        <v>5.1111111111111107</v>
      </c>
      <c r="Y109">
        <v>3.6</v>
      </c>
      <c r="Z109">
        <v>2.5</v>
      </c>
      <c r="AA109">
        <v>0</v>
      </c>
      <c r="AB109">
        <v>0</v>
      </c>
      <c r="AC109">
        <v>3.5</v>
      </c>
      <c r="AD109">
        <v>3.6363636363636362</v>
      </c>
      <c r="AE109">
        <v>4</v>
      </c>
      <c r="AF109">
        <v>3.6666666666666665</v>
      </c>
      <c r="AG109">
        <v>4</v>
      </c>
      <c r="AH109">
        <v>2</v>
      </c>
      <c r="AI109" s="1">
        <v>5</v>
      </c>
      <c r="AJ109" s="1">
        <v>558</v>
      </c>
      <c r="AK109" s="1">
        <v>118</v>
      </c>
      <c r="AL109" t="s">
        <v>5</v>
      </c>
      <c r="AM109" t="s">
        <v>0</v>
      </c>
      <c r="AN109">
        <v>0</v>
      </c>
      <c r="AO109">
        <v>0</v>
      </c>
      <c r="AP109">
        <v>828</v>
      </c>
      <c r="AQ109">
        <v>858.66666666666663</v>
      </c>
      <c r="AR109">
        <v>552</v>
      </c>
      <c r="AS109">
        <v>460</v>
      </c>
      <c r="AT109">
        <v>490.66666666666669</v>
      </c>
      <c r="AU109">
        <v>478.4</v>
      </c>
      <c r="AV109">
        <v>644</v>
      </c>
      <c r="AW109">
        <v>506</v>
      </c>
      <c r="AX109">
        <v>429.33333333333331</v>
      </c>
      <c r="AY109">
        <v>276</v>
      </c>
      <c r="AZ109">
        <v>0</v>
      </c>
      <c r="BA109">
        <v>0</v>
      </c>
      <c r="BB109">
        <v>276</v>
      </c>
      <c r="BC109">
        <v>478.4</v>
      </c>
      <c r="BD109">
        <v>460</v>
      </c>
      <c r="BE109">
        <v>460</v>
      </c>
      <c r="BF109">
        <v>470.22222222222223</v>
      </c>
      <c r="BG109">
        <v>331.2</v>
      </c>
      <c r="BH109">
        <v>230</v>
      </c>
      <c r="BI109">
        <v>0</v>
      </c>
      <c r="BJ109">
        <v>0</v>
      </c>
      <c r="BK109">
        <v>322</v>
      </c>
      <c r="BL109">
        <v>334.54545454545456</v>
      </c>
      <c r="BM109">
        <v>368</v>
      </c>
      <c r="BN109">
        <v>337.33333333333331</v>
      </c>
      <c r="BO109">
        <v>368</v>
      </c>
      <c r="BP109">
        <v>184</v>
      </c>
      <c r="BQ109">
        <f>(I109+J109+N109+O109)/4</f>
        <v>6.9583333333333339</v>
      </c>
      <c r="BR109">
        <f>(K109+L109+M109)/3</f>
        <v>5.1777777777777771</v>
      </c>
      <c r="BS109">
        <f>BQ109/BR109</f>
        <v>1.343884120171674</v>
      </c>
      <c r="BT109">
        <f>AQ109/I109</f>
        <v>91.999999999999986</v>
      </c>
      <c r="BU109" t="str">
        <f>IF(OR(A109=2, A109=12), "Central", IF(A109=3, "Semi-Central", "Periférica"))</f>
        <v>Periférica</v>
      </c>
    </row>
    <row r="110" spans="1:73" x14ac:dyDescent="0.3">
      <c r="A110" s="1">
        <v>5</v>
      </c>
      <c r="B110" s="1">
        <v>558</v>
      </c>
      <c r="C110" s="1">
        <v>118</v>
      </c>
      <c r="D110" t="s">
        <v>1</v>
      </c>
      <c r="E110" t="s">
        <v>0</v>
      </c>
      <c r="F110">
        <v>0</v>
      </c>
      <c r="G110">
        <v>0</v>
      </c>
      <c r="H110">
        <v>9</v>
      </c>
      <c r="I110">
        <v>9.3333333333333339</v>
      </c>
      <c r="J110">
        <v>6</v>
      </c>
      <c r="K110">
        <v>5</v>
      </c>
      <c r="L110">
        <v>5.333333333333333</v>
      </c>
      <c r="M110">
        <v>5.2</v>
      </c>
      <c r="N110">
        <v>7</v>
      </c>
      <c r="O110">
        <v>5.5</v>
      </c>
      <c r="P110">
        <v>4.666666666666667</v>
      </c>
      <c r="Q110">
        <v>3</v>
      </c>
      <c r="R110">
        <v>0</v>
      </c>
      <c r="S110">
        <v>0</v>
      </c>
      <c r="T110">
        <v>3</v>
      </c>
      <c r="U110">
        <v>5.2</v>
      </c>
      <c r="V110">
        <v>5</v>
      </c>
      <c r="W110">
        <v>5</v>
      </c>
      <c r="X110">
        <v>5.1111111111111107</v>
      </c>
      <c r="Y110">
        <v>3.6</v>
      </c>
      <c r="Z110">
        <v>2.5</v>
      </c>
      <c r="AA110">
        <v>0</v>
      </c>
      <c r="AB110">
        <v>0</v>
      </c>
      <c r="AC110">
        <v>3.5</v>
      </c>
      <c r="AD110">
        <v>3.6363636363636362</v>
      </c>
      <c r="AE110">
        <v>4</v>
      </c>
      <c r="AF110">
        <v>3.6666666666666665</v>
      </c>
      <c r="AG110">
        <v>4</v>
      </c>
      <c r="AH110">
        <v>2</v>
      </c>
      <c r="AI110" s="1">
        <v>5</v>
      </c>
      <c r="AJ110" s="1">
        <v>558</v>
      </c>
      <c r="AK110" s="1">
        <v>118</v>
      </c>
      <c r="AL110" t="s">
        <v>1</v>
      </c>
      <c r="AM110" t="s">
        <v>0</v>
      </c>
      <c r="AN110">
        <v>0</v>
      </c>
      <c r="AO110">
        <v>0</v>
      </c>
      <c r="AP110">
        <v>828</v>
      </c>
      <c r="AQ110">
        <v>858.66666666666663</v>
      </c>
      <c r="AR110">
        <v>552</v>
      </c>
      <c r="AS110">
        <v>460</v>
      </c>
      <c r="AT110">
        <v>490.66666666666669</v>
      </c>
      <c r="AU110">
        <v>478.4</v>
      </c>
      <c r="AV110">
        <v>644</v>
      </c>
      <c r="AW110">
        <v>506</v>
      </c>
      <c r="AX110">
        <v>429.33333333333331</v>
      </c>
      <c r="AY110">
        <v>276</v>
      </c>
      <c r="AZ110">
        <v>0</v>
      </c>
      <c r="BA110">
        <v>0</v>
      </c>
      <c r="BB110">
        <v>276</v>
      </c>
      <c r="BC110">
        <v>478.4</v>
      </c>
      <c r="BD110">
        <v>460</v>
      </c>
      <c r="BE110">
        <v>460</v>
      </c>
      <c r="BF110">
        <v>470.22222222222223</v>
      </c>
      <c r="BG110">
        <v>331.2</v>
      </c>
      <c r="BH110">
        <v>230</v>
      </c>
      <c r="BI110">
        <v>0</v>
      </c>
      <c r="BJ110">
        <v>0</v>
      </c>
      <c r="BK110">
        <v>322</v>
      </c>
      <c r="BL110">
        <v>334.54545454545456</v>
      </c>
      <c r="BM110">
        <v>368</v>
      </c>
      <c r="BN110">
        <v>337.33333333333331</v>
      </c>
      <c r="BO110">
        <v>368</v>
      </c>
      <c r="BP110">
        <v>184</v>
      </c>
      <c r="BQ110">
        <f>(I110+J110+N110+O110)/4</f>
        <v>6.9583333333333339</v>
      </c>
      <c r="BR110">
        <f>(K110+L110+M110)/3</f>
        <v>5.1777777777777771</v>
      </c>
      <c r="BS110">
        <f>BQ110/BR110</f>
        <v>1.343884120171674</v>
      </c>
      <c r="BT110">
        <f>AQ110/I110</f>
        <v>91.999999999999986</v>
      </c>
      <c r="BU110" t="str">
        <f>IF(OR(A110=2, A110=12), "Central", IF(A110=3, "Semi-Central", "Periférica"))</f>
        <v>Periférica</v>
      </c>
    </row>
    <row r="111" spans="1:73" x14ac:dyDescent="0.3">
      <c r="A111" s="1">
        <v>18</v>
      </c>
      <c r="B111" s="1">
        <v>1816</v>
      </c>
      <c r="C111" s="1">
        <v>216</v>
      </c>
      <c r="D111" t="s">
        <v>1</v>
      </c>
      <c r="E111" t="s">
        <v>0</v>
      </c>
      <c r="F111">
        <v>2</v>
      </c>
      <c r="G111">
        <v>0</v>
      </c>
      <c r="H111">
        <v>7</v>
      </c>
      <c r="I111">
        <v>14</v>
      </c>
      <c r="J111">
        <v>8.6666666666666661</v>
      </c>
      <c r="K111">
        <v>7</v>
      </c>
      <c r="L111">
        <v>8</v>
      </c>
      <c r="M111">
        <v>8</v>
      </c>
      <c r="N111">
        <v>10</v>
      </c>
      <c r="O111">
        <v>8.5</v>
      </c>
      <c r="P111">
        <v>5.333333333333333</v>
      </c>
      <c r="Q111">
        <v>4</v>
      </c>
      <c r="R111">
        <v>2</v>
      </c>
      <c r="S111">
        <v>0</v>
      </c>
      <c r="T111">
        <v>3</v>
      </c>
      <c r="U111">
        <v>5.6</v>
      </c>
      <c r="V111">
        <v>4</v>
      </c>
      <c r="W111">
        <v>5.333333333333333</v>
      </c>
      <c r="X111">
        <v>5.1111111111111107</v>
      </c>
      <c r="Y111">
        <v>6.4</v>
      </c>
      <c r="Z111">
        <v>3.5</v>
      </c>
      <c r="AA111">
        <v>2</v>
      </c>
      <c r="AB111">
        <v>0</v>
      </c>
      <c r="AC111">
        <v>3</v>
      </c>
      <c r="AD111">
        <v>4</v>
      </c>
      <c r="AE111">
        <v>4</v>
      </c>
      <c r="AF111">
        <v>4</v>
      </c>
      <c r="AG111">
        <v>4</v>
      </c>
      <c r="AH111">
        <v>3.5</v>
      </c>
      <c r="AI111" s="1">
        <v>18</v>
      </c>
      <c r="AJ111" s="1">
        <v>1816</v>
      </c>
      <c r="AK111" s="1">
        <v>216</v>
      </c>
      <c r="AL111" t="s">
        <v>1</v>
      </c>
      <c r="AM111" t="s">
        <v>0</v>
      </c>
      <c r="AN111">
        <v>300</v>
      </c>
      <c r="AO111">
        <v>0</v>
      </c>
      <c r="AP111">
        <v>1050</v>
      </c>
      <c r="AQ111">
        <v>2100</v>
      </c>
      <c r="AR111">
        <v>1300</v>
      </c>
      <c r="AS111">
        <v>1050</v>
      </c>
      <c r="AT111">
        <v>1200</v>
      </c>
      <c r="AU111">
        <v>1200</v>
      </c>
      <c r="AV111">
        <v>1500</v>
      </c>
      <c r="AW111">
        <v>1275</v>
      </c>
      <c r="AX111">
        <v>800</v>
      </c>
      <c r="AY111">
        <v>600</v>
      </c>
      <c r="AZ111">
        <v>180</v>
      </c>
      <c r="BA111">
        <v>0</v>
      </c>
      <c r="BB111">
        <v>270</v>
      </c>
      <c r="BC111">
        <v>504</v>
      </c>
      <c r="BD111">
        <v>360</v>
      </c>
      <c r="BE111">
        <v>480</v>
      </c>
      <c r="BF111">
        <v>460</v>
      </c>
      <c r="BG111">
        <v>576</v>
      </c>
      <c r="BH111">
        <v>315</v>
      </c>
      <c r="BI111">
        <v>180</v>
      </c>
      <c r="BJ111">
        <v>0</v>
      </c>
      <c r="BK111">
        <v>270</v>
      </c>
      <c r="BL111">
        <v>360</v>
      </c>
      <c r="BM111">
        <v>360</v>
      </c>
      <c r="BN111">
        <v>360</v>
      </c>
      <c r="BO111">
        <v>360</v>
      </c>
      <c r="BP111">
        <v>315</v>
      </c>
      <c r="BQ111">
        <f>(I111+J111+N111+O111)/4</f>
        <v>10.291666666666666</v>
      </c>
      <c r="BR111">
        <f>(K111+L111+M111)/3</f>
        <v>7.666666666666667</v>
      </c>
      <c r="BS111">
        <f>BQ111/BR111</f>
        <v>1.3423913043478259</v>
      </c>
      <c r="BT111">
        <f>AQ111/I111</f>
        <v>150</v>
      </c>
      <c r="BU111" t="str">
        <f>IF(OR(A111=2, A111=12), "Central", IF(A111=3, "Semi-Central", "Periférica"))</f>
        <v>Periférica</v>
      </c>
    </row>
    <row r="112" spans="1:73" x14ac:dyDescent="0.3">
      <c r="A112" s="1">
        <v>4</v>
      </c>
      <c r="B112" s="1">
        <v>485</v>
      </c>
      <c r="C112" s="1" t="s">
        <v>350</v>
      </c>
      <c r="D112" t="s">
        <v>1</v>
      </c>
      <c r="F112">
        <v>0</v>
      </c>
      <c r="G112">
        <v>0.88888888888888884</v>
      </c>
      <c r="H112">
        <v>12</v>
      </c>
      <c r="I112">
        <v>12</v>
      </c>
      <c r="J112">
        <v>9.3333333333333339</v>
      </c>
      <c r="K112">
        <v>8</v>
      </c>
      <c r="L112">
        <v>7.333333333333333</v>
      </c>
      <c r="M112">
        <v>9.1999999999999993</v>
      </c>
      <c r="N112">
        <v>11</v>
      </c>
      <c r="O112">
        <v>11.5</v>
      </c>
      <c r="P112">
        <v>5.333333333333333</v>
      </c>
      <c r="Q112">
        <v>2.5</v>
      </c>
      <c r="R112">
        <v>0</v>
      </c>
      <c r="S112">
        <v>0</v>
      </c>
      <c r="T112">
        <v>5</v>
      </c>
      <c r="U112">
        <v>7.2</v>
      </c>
      <c r="V112">
        <v>6</v>
      </c>
      <c r="W112">
        <v>6</v>
      </c>
      <c r="X112">
        <v>5.1111111111111107</v>
      </c>
      <c r="Y112">
        <v>3.2</v>
      </c>
      <c r="Z112">
        <v>1.5</v>
      </c>
      <c r="AA112">
        <v>0</v>
      </c>
      <c r="AB112">
        <v>0</v>
      </c>
      <c r="AC112">
        <v>1</v>
      </c>
      <c r="AD112">
        <v>4</v>
      </c>
      <c r="AE112">
        <v>4</v>
      </c>
      <c r="AF112">
        <v>4</v>
      </c>
      <c r="AG112">
        <v>3</v>
      </c>
      <c r="AH112">
        <v>1</v>
      </c>
      <c r="AI112" s="1">
        <v>4</v>
      </c>
      <c r="AJ112" s="1">
        <v>485</v>
      </c>
      <c r="AK112" s="1" t="s">
        <v>350</v>
      </c>
      <c r="AL112" t="s">
        <v>1</v>
      </c>
      <c r="AN112">
        <v>0</v>
      </c>
      <c r="AO112">
        <v>67.555555555555557</v>
      </c>
      <c r="AP112">
        <v>912</v>
      </c>
      <c r="AQ112">
        <v>912</v>
      </c>
      <c r="AR112">
        <v>709.33333333333337</v>
      </c>
      <c r="AS112">
        <v>608</v>
      </c>
      <c r="AT112">
        <v>557.33333333333337</v>
      </c>
      <c r="AU112">
        <v>699.2</v>
      </c>
      <c r="AV112">
        <v>836</v>
      </c>
      <c r="AW112">
        <v>874</v>
      </c>
      <c r="AX112">
        <v>405.33333333333331</v>
      </c>
      <c r="AY112">
        <v>190</v>
      </c>
      <c r="AZ112">
        <v>0</v>
      </c>
      <c r="BA112">
        <v>0</v>
      </c>
      <c r="BB112">
        <v>380</v>
      </c>
      <c r="BC112">
        <v>547.20000000000005</v>
      </c>
      <c r="BD112">
        <v>456</v>
      </c>
      <c r="BE112">
        <v>456</v>
      </c>
      <c r="BF112">
        <v>388.44444444444446</v>
      </c>
      <c r="BG112">
        <v>243.2</v>
      </c>
      <c r="BH112">
        <v>114</v>
      </c>
      <c r="BI112">
        <v>0</v>
      </c>
      <c r="BJ112">
        <v>0</v>
      </c>
      <c r="BK112">
        <v>76</v>
      </c>
      <c r="BL112">
        <v>304</v>
      </c>
      <c r="BM112">
        <v>304</v>
      </c>
      <c r="BN112">
        <v>304</v>
      </c>
      <c r="BO112">
        <v>228</v>
      </c>
      <c r="BP112">
        <v>76</v>
      </c>
      <c r="BQ112">
        <f>(I112+J112+N112+O112)/4</f>
        <v>10.958333333333334</v>
      </c>
      <c r="BR112">
        <f>(K112+L112+M112)/3</f>
        <v>8.1777777777777771</v>
      </c>
      <c r="BS112">
        <f>BQ112/BR112</f>
        <v>1.340013586956522</v>
      </c>
      <c r="BT112">
        <f>AQ112/I112</f>
        <v>76</v>
      </c>
      <c r="BU112" t="str">
        <f>IF(OR(A112=2, A112=12), "Central", IF(A112=3, "Semi-Central", "Periférica"))</f>
        <v>Periférica</v>
      </c>
    </row>
    <row r="113" spans="1:73" x14ac:dyDescent="0.3">
      <c r="A113" s="1">
        <v>5</v>
      </c>
      <c r="B113" s="1">
        <v>506</v>
      </c>
      <c r="C113" s="1">
        <v>506</v>
      </c>
      <c r="D113" t="s">
        <v>1</v>
      </c>
      <c r="E113" t="s">
        <v>0</v>
      </c>
      <c r="F113">
        <v>2</v>
      </c>
      <c r="G113">
        <v>2.4444444444444446</v>
      </c>
      <c r="H113">
        <v>6</v>
      </c>
      <c r="I113">
        <v>6.666666666666667</v>
      </c>
      <c r="J113">
        <v>8.6666666666666661</v>
      </c>
      <c r="K113">
        <v>7.333333333333333</v>
      </c>
      <c r="L113">
        <v>5.333333333333333</v>
      </c>
      <c r="M113">
        <v>6</v>
      </c>
      <c r="N113">
        <v>9</v>
      </c>
      <c r="O113">
        <v>9</v>
      </c>
      <c r="P113">
        <v>5.333333333333333</v>
      </c>
      <c r="Q113">
        <v>3.5</v>
      </c>
      <c r="R113">
        <v>2</v>
      </c>
      <c r="S113">
        <v>2.2222222222222223</v>
      </c>
      <c r="T113">
        <v>4</v>
      </c>
      <c r="U113">
        <v>5.2</v>
      </c>
      <c r="V113">
        <v>4.666666666666667</v>
      </c>
      <c r="W113">
        <v>4.666666666666667</v>
      </c>
      <c r="X113">
        <v>5.5555555555555554</v>
      </c>
      <c r="Y113">
        <v>4.4000000000000004</v>
      </c>
      <c r="Z113">
        <v>3.5</v>
      </c>
      <c r="AA113">
        <v>2</v>
      </c>
      <c r="AB113">
        <v>2.2222222222222223</v>
      </c>
      <c r="AC113">
        <v>3</v>
      </c>
      <c r="AD113">
        <v>4.1818181818181817</v>
      </c>
      <c r="AE113">
        <v>4.8</v>
      </c>
      <c r="AF113">
        <v>4.666666666666667</v>
      </c>
      <c r="AG113">
        <v>4</v>
      </c>
      <c r="AH113">
        <v>3</v>
      </c>
      <c r="AI113" s="1">
        <v>5</v>
      </c>
      <c r="AJ113" s="1">
        <v>506</v>
      </c>
      <c r="AK113" s="1">
        <v>506</v>
      </c>
      <c r="AL113" t="s">
        <v>1</v>
      </c>
      <c r="AM113" t="s">
        <v>0</v>
      </c>
      <c r="AN113">
        <v>162</v>
      </c>
      <c r="AO113">
        <v>198</v>
      </c>
      <c r="AP113">
        <v>846</v>
      </c>
      <c r="AQ113">
        <v>940</v>
      </c>
      <c r="AR113">
        <v>1222</v>
      </c>
      <c r="AS113">
        <v>1034</v>
      </c>
      <c r="AT113">
        <v>752</v>
      </c>
      <c r="AU113">
        <v>846</v>
      </c>
      <c r="AV113">
        <v>1269</v>
      </c>
      <c r="AW113">
        <v>1269</v>
      </c>
      <c r="AX113">
        <v>752</v>
      </c>
      <c r="AY113">
        <v>493.5</v>
      </c>
      <c r="AZ113">
        <v>162</v>
      </c>
      <c r="BA113">
        <v>180</v>
      </c>
      <c r="BB113">
        <v>564</v>
      </c>
      <c r="BC113">
        <v>733.2</v>
      </c>
      <c r="BD113">
        <v>658</v>
      </c>
      <c r="BE113">
        <v>658</v>
      </c>
      <c r="BF113">
        <v>783.33333333333337</v>
      </c>
      <c r="BG113">
        <v>620.4</v>
      </c>
      <c r="BH113">
        <v>493.5</v>
      </c>
      <c r="BI113">
        <v>162</v>
      </c>
      <c r="BJ113">
        <v>180</v>
      </c>
      <c r="BK113">
        <v>423</v>
      </c>
      <c r="BL113">
        <v>589.63636363636363</v>
      </c>
      <c r="BM113">
        <v>676.8</v>
      </c>
      <c r="BN113">
        <v>658</v>
      </c>
      <c r="BO113">
        <v>564</v>
      </c>
      <c r="BP113">
        <v>423</v>
      </c>
      <c r="BQ113">
        <f>(I113+J113+N113+O113)/4</f>
        <v>8.3333333333333321</v>
      </c>
      <c r="BR113">
        <f>(K113+L113+M113)/3</f>
        <v>6.2222222222222214</v>
      </c>
      <c r="BS113">
        <f>BQ113/BR113</f>
        <v>1.3392857142857142</v>
      </c>
      <c r="BT113">
        <f>AQ113/I113</f>
        <v>141</v>
      </c>
      <c r="BU113" t="str">
        <f>IF(OR(A113=2, A113=12), "Central", IF(A113=3, "Semi-Central", "Periférica"))</f>
        <v>Periférica</v>
      </c>
    </row>
    <row r="114" spans="1:73" x14ac:dyDescent="0.3">
      <c r="A114" s="1">
        <v>5</v>
      </c>
      <c r="B114" s="1">
        <v>508</v>
      </c>
      <c r="C114" s="1">
        <v>508</v>
      </c>
      <c r="D114" t="s">
        <v>1</v>
      </c>
      <c r="E114" t="s">
        <v>0</v>
      </c>
      <c r="F114">
        <v>2</v>
      </c>
      <c r="G114">
        <v>2</v>
      </c>
      <c r="H114">
        <v>6</v>
      </c>
      <c r="I114">
        <v>12.666666666666666</v>
      </c>
      <c r="J114">
        <v>7.333333333333333</v>
      </c>
      <c r="K114">
        <v>6.333333333333333</v>
      </c>
      <c r="L114">
        <v>6.666666666666667</v>
      </c>
      <c r="M114">
        <v>7.2</v>
      </c>
      <c r="N114">
        <v>9</v>
      </c>
      <c r="O114">
        <v>7</v>
      </c>
      <c r="P114">
        <v>4</v>
      </c>
      <c r="Q114">
        <v>2.5</v>
      </c>
      <c r="R114">
        <v>2</v>
      </c>
      <c r="S114">
        <v>2</v>
      </c>
      <c r="T114">
        <v>4</v>
      </c>
      <c r="U114">
        <v>5.2</v>
      </c>
      <c r="V114">
        <v>5.333333333333333</v>
      </c>
      <c r="W114">
        <v>5</v>
      </c>
      <c r="X114">
        <v>5.1111111111111107</v>
      </c>
      <c r="Y114">
        <v>4.4000000000000004</v>
      </c>
      <c r="Z114">
        <v>2.5</v>
      </c>
      <c r="AA114">
        <v>2</v>
      </c>
      <c r="AB114">
        <v>2</v>
      </c>
      <c r="AC114">
        <v>4</v>
      </c>
      <c r="AD114">
        <v>3.8181818181818183</v>
      </c>
      <c r="AE114">
        <v>3.8</v>
      </c>
      <c r="AF114">
        <v>4</v>
      </c>
      <c r="AG114">
        <v>5</v>
      </c>
      <c r="AH114">
        <v>2.5</v>
      </c>
      <c r="AI114" s="1">
        <v>5</v>
      </c>
      <c r="AJ114" s="1">
        <v>508</v>
      </c>
      <c r="AK114" s="1">
        <v>508</v>
      </c>
      <c r="AL114" t="s">
        <v>1</v>
      </c>
      <c r="AM114" t="s">
        <v>0</v>
      </c>
      <c r="AN114">
        <v>162</v>
      </c>
      <c r="AO114">
        <v>209.33333333333334</v>
      </c>
      <c r="AP114">
        <v>770</v>
      </c>
      <c r="AQ114">
        <v>1783.3333333333333</v>
      </c>
      <c r="AR114">
        <v>641.33333333333337</v>
      </c>
      <c r="AS114">
        <v>631.33333333333337</v>
      </c>
      <c r="AT114">
        <v>918.66666666666663</v>
      </c>
      <c r="AU114">
        <v>696.8</v>
      </c>
      <c r="AV114">
        <v>1261.5</v>
      </c>
      <c r="AW114">
        <v>744.5</v>
      </c>
      <c r="AX114">
        <v>324</v>
      </c>
      <c r="AY114">
        <v>202.5</v>
      </c>
      <c r="AZ114">
        <v>162</v>
      </c>
      <c r="BA114">
        <v>162</v>
      </c>
      <c r="BB114">
        <v>395</v>
      </c>
      <c r="BC114">
        <v>534.79999999999995</v>
      </c>
      <c r="BD114">
        <v>597.66666666666663</v>
      </c>
      <c r="BE114">
        <v>547</v>
      </c>
      <c r="BF114">
        <v>571.77777777777783</v>
      </c>
      <c r="BG114">
        <v>384.8</v>
      </c>
      <c r="BH114">
        <v>202.5</v>
      </c>
      <c r="BI114">
        <v>162</v>
      </c>
      <c r="BJ114">
        <v>162</v>
      </c>
      <c r="BK114">
        <v>430.5</v>
      </c>
      <c r="BL114">
        <v>451.27272727272725</v>
      </c>
      <c r="BM114">
        <v>407.2</v>
      </c>
      <c r="BN114">
        <v>395</v>
      </c>
      <c r="BO114">
        <v>405</v>
      </c>
      <c r="BP114">
        <v>202.5</v>
      </c>
      <c r="BQ114">
        <f>(I114+J114+N114+O114)/4</f>
        <v>9</v>
      </c>
      <c r="BR114">
        <f>(K114+L114+M114)/3</f>
        <v>6.7333333333333334</v>
      </c>
      <c r="BS114">
        <f>BQ114/BR114</f>
        <v>1.3366336633663367</v>
      </c>
      <c r="BT114">
        <f>AQ114/I114</f>
        <v>140.78947368421052</v>
      </c>
      <c r="BU114" t="str">
        <f>IF(OR(A114=2, A114=12), "Central", IF(A114=3, "Semi-Central", "Periférica"))</f>
        <v>Periférica</v>
      </c>
    </row>
    <row r="115" spans="1:73" x14ac:dyDescent="0.3">
      <c r="A115" s="1">
        <v>5</v>
      </c>
      <c r="B115" s="1">
        <v>516</v>
      </c>
      <c r="C115" s="1">
        <v>516</v>
      </c>
      <c r="D115" t="s">
        <v>1</v>
      </c>
      <c r="E115" t="s">
        <v>0</v>
      </c>
      <c r="F115">
        <v>2</v>
      </c>
      <c r="G115">
        <v>2</v>
      </c>
      <c r="H115">
        <v>8</v>
      </c>
      <c r="I115">
        <v>13.333333333333334</v>
      </c>
      <c r="J115">
        <v>10.666666666666666</v>
      </c>
      <c r="K115">
        <v>9.3333333333333339</v>
      </c>
      <c r="L115">
        <v>7.333333333333333</v>
      </c>
      <c r="M115">
        <v>10</v>
      </c>
      <c r="N115">
        <v>12.5</v>
      </c>
      <c r="O115">
        <v>11</v>
      </c>
      <c r="P115">
        <v>5.333333333333333</v>
      </c>
      <c r="Q115">
        <v>4.5</v>
      </c>
      <c r="R115">
        <v>2</v>
      </c>
      <c r="S115">
        <v>2</v>
      </c>
      <c r="T115">
        <v>4</v>
      </c>
      <c r="U115">
        <v>5.2</v>
      </c>
      <c r="V115">
        <v>4.666666666666667</v>
      </c>
      <c r="W115">
        <v>4.666666666666667</v>
      </c>
      <c r="X115">
        <v>4.8888888888888893</v>
      </c>
      <c r="Y115">
        <v>5.2</v>
      </c>
      <c r="Z115">
        <v>4</v>
      </c>
      <c r="AA115">
        <v>2</v>
      </c>
      <c r="AB115">
        <v>2</v>
      </c>
      <c r="AC115">
        <v>4.5</v>
      </c>
      <c r="AD115">
        <v>4.7272727272727275</v>
      </c>
      <c r="AE115">
        <v>5</v>
      </c>
      <c r="AF115">
        <v>4.666666666666667</v>
      </c>
      <c r="AG115">
        <v>3</v>
      </c>
      <c r="AH115">
        <v>3</v>
      </c>
      <c r="AI115" s="1">
        <v>5</v>
      </c>
      <c r="AJ115" s="1">
        <v>516</v>
      </c>
      <c r="AK115" s="1">
        <v>516</v>
      </c>
      <c r="AL115" t="s">
        <v>1</v>
      </c>
      <c r="AM115" t="s">
        <v>0</v>
      </c>
      <c r="AN115">
        <v>162</v>
      </c>
      <c r="AO115">
        <v>162</v>
      </c>
      <c r="AP115">
        <v>648</v>
      </c>
      <c r="AQ115">
        <v>1080</v>
      </c>
      <c r="AR115">
        <v>864</v>
      </c>
      <c r="AS115">
        <v>756</v>
      </c>
      <c r="AT115">
        <v>594</v>
      </c>
      <c r="AU115">
        <v>810</v>
      </c>
      <c r="AV115">
        <v>1012.5</v>
      </c>
      <c r="AW115">
        <v>891</v>
      </c>
      <c r="AX115">
        <v>432</v>
      </c>
      <c r="AY115">
        <v>364.5</v>
      </c>
      <c r="AZ115">
        <v>162</v>
      </c>
      <c r="BA115">
        <v>162</v>
      </c>
      <c r="BB115">
        <v>324</v>
      </c>
      <c r="BC115">
        <v>421.2</v>
      </c>
      <c r="BD115">
        <v>378</v>
      </c>
      <c r="BE115">
        <v>378</v>
      </c>
      <c r="BF115">
        <v>396</v>
      </c>
      <c r="BG115">
        <v>421.2</v>
      </c>
      <c r="BH115">
        <v>324</v>
      </c>
      <c r="BI115">
        <v>162</v>
      </c>
      <c r="BJ115">
        <v>162</v>
      </c>
      <c r="BK115">
        <v>364.5</v>
      </c>
      <c r="BL115">
        <v>382.90909090909093</v>
      </c>
      <c r="BM115">
        <v>405</v>
      </c>
      <c r="BN115">
        <v>378</v>
      </c>
      <c r="BO115">
        <v>243</v>
      </c>
      <c r="BP115">
        <v>243</v>
      </c>
      <c r="BQ115">
        <f>(I115+J115+N115+O115)/4</f>
        <v>11.875</v>
      </c>
      <c r="BR115">
        <f>(K115+L115+M115)/3</f>
        <v>8.8888888888888893</v>
      </c>
      <c r="BS115">
        <f>BQ115/BR115</f>
        <v>1.3359375</v>
      </c>
      <c r="BT115">
        <f>AQ115/I115</f>
        <v>81</v>
      </c>
      <c r="BU115" t="str">
        <f>IF(OR(A115=2, A115=12), "Central", IF(A115=3, "Semi-Central", "Periférica"))</f>
        <v>Periférica</v>
      </c>
    </row>
    <row r="116" spans="1:73" x14ac:dyDescent="0.3">
      <c r="A116" s="1">
        <v>8</v>
      </c>
      <c r="B116" s="1" t="s">
        <v>375</v>
      </c>
      <c r="C116" s="1" t="s">
        <v>374</v>
      </c>
      <c r="D116" t="s">
        <v>1</v>
      </c>
      <c r="F116">
        <v>0</v>
      </c>
      <c r="G116">
        <v>0.44444444444444442</v>
      </c>
      <c r="H116">
        <v>4</v>
      </c>
      <c r="I116">
        <v>4</v>
      </c>
      <c r="J116">
        <v>4.666666666666667</v>
      </c>
      <c r="K116">
        <v>3.333333333333333</v>
      </c>
      <c r="L116">
        <v>4</v>
      </c>
      <c r="M116">
        <v>4</v>
      </c>
      <c r="N116">
        <v>5</v>
      </c>
      <c r="O116">
        <v>6.5</v>
      </c>
      <c r="P116">
        <v>3.333333333333333</v>
      </c>
      <c r="Q116">
        <v>1.5</v>
      </c>
      <c r="R116">
        <v>0</v>
      </c>
      <c r="S116">
        <v>0.22222222222222221</v>
      </c>
      <c r="T116">
        <v>2</v>
      </c>
      <c r="U116">
        <v>2</v>
      </c>
      <c r="V116">
        <v>3</v>
      </c>
      <c r="W116">
        <v>2.333333333333333</v>
      </c>
      <c r="X116">
        <v>2</v>
      </c>
      <c r="Y116">
        <v>2</v>
      </c>
      <c r="Z116">
        <v>1</v>
      </c>
      <c r="AA116">
        <v>0</v>
      </c>
      <c r="AB116">
        <v>0.22222222222222221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2</v>
      </c>
      <c r="AI116" s="1">
        <v>8</v>
      </c>
      <c r="AJ116" s="1" t="s">
        <v>375</v>
      </c>
      <c r="AK116" s="1" t="s">
        <v>374</v>
      </c>
      <c r="AL116" t="s">
        <v>1</v>
      </c>
      <c r="AN116">
        <v>0</v>
      </c>
      <c r="AO116">
        <v>40</v>
      </c>
      <c r="AP116">
        <v>360</v>
      </c>
      <c r="AQ116">
        <v>360</v>
      </c>
      <c r="AR116">
        <v>420</v>
      </c>
      <c r="AS116">
        <v>300</v>
      </c>
      <c r="AT116">
        <v>360</v>
      </c>
      <c r="AU116">
        <v>360</v>
      </c>
      <c r="AV116">
        <v>450</v>
      </c>
      <c r="AW116">
        <v>585</v>
      </c>
      <c r="AX116">
        <v>300</v>
      </c>
      <c r="AY116">
        <v>135</v>
      </c>
      <c r="AZ116">
        <v>0</v>
      </c>
      <c r="BA116">
        <v>20</v>
      </c>
      <c r="BB116">
        <v>180</v>
      </c>
      <c r="BC116">
        <v>180</v>
      </c>
      <c r="BD116">
        <v>270</v>
      </c>
      <c r="BE116">
        <v>210</v>
      </c>
      <c r="BF116">
        <v>180</v>
      </c>
      <c r="BG116">
        <v>180</v>
      </c>
      <c r="BH116">
        <v>90</v>
      </c>
      <c r="BI116">
        <v>0</v>
      </c>
      <c r="BJ116">
        <v>20</v>
      </c>
      <c r="BK116">
        <v>180</v>
      </c>
      <c r="BL116">
        <v>180</v>
      </c>
      <c r="BM116">
        <v>180</v>
      </c>
      <c r="BN116">
        <v>180</v>
      </c>
      <c r="BO116">
        <v>180</v>
      </c>
      <c r="BP116">
        <v>180</v>
      </c>
      <c r="BQ116">
        <f>(I116+J116+N116+O116)/4</f>
        <v>5.041666666666667</v>
      </c>
      <c r="BR116">
        <f>(K116+L116+M116)/3</f>
        <v>3.7777777777777772</v>
      </c>
      <c r="BS116">
        <f>BQ116/BR116</f>
        <v>1.3345588235294121</v>
      </c>
      <c r="BT116">
        <f>AQ116/I116</f>
        <v>90</v>
      </c>
      <c r="BU116" t="str">
        <f>IF(OR(A116=2, A116=12), "Central", IF(A116=3, "Semi-Central", "Periférica"))</f>
        <v>Periférica</v>
      </c>
    </row>
    <row r="117" spans="1:73" x14ac:dyDescent="0.3">
      <c r="A117" s="1">
        <v>4</v>
      </c>
      <c r="B117" s="1">
        <v>440</v>
      </c>
      <c r="C117" s="1" t="s">
        <v>204</v>
      </c>
      <c r="D117" t="s">
        <v>5</v>
      </c>
      <c r="E117" t="s">
        <v>0</v>
      </c>
      <c r="F117">
        <v>0</v>
      </c>
      <c r="G117">
        <v>0</v>
      </c>
      <c r="H117">
        <v>12</v>
      </c>
      <c r="I117">
        <v>13.333333333333334</v>
      </c>
      <c r="J117">
        <v>8</v>
      </c>
      <c r="K117">
        <v>7.333333333333333</v>
      </c>
      <c r="L117">
        <v>8.6666666666666661</v>
      </c>
      <c r="M117">
        <v>9.1999999999999993</v>
      </c>
      <c r="N117">
        <v>11</v>
      </c>
      <c r="O117">
        <v>12.5</v>
      </c>
      <c r="P117">
        <v>8</v>
      </c>
      <c r="Q117">
        <v>4.5</v>
      </c>
      <c r="R117">
        <v>0</v>
      </c>
      <c r="S117">
        <v>0</v>
      </c>
      <c r="T117">
        <v>5</v>
      </c>
      <c r="U117">
        <v>6</v>
      </c>
      <c r="V117">
        <v>5</v>
      </c>
      <c r="W117">
        <v>5.666666666666667</v>
      </c>
      <c r="X117">
        <v>5.1111111111111107</v>
      </c>
      <c r="Y117">
        <v>5.2</v>
      </c>
      <c r="Z117">
        <v>2.5</v>
      </c>
      <c r="AA117">
        <v>0</v>
      </c>
      <c r="AB117">
        <v>0</v>
      </c>
      <c r="AC117">
        <v>4</v>
      </c>
      <c r="AD117">
        <v>4.5454545454545459</v>
      </c>
      <c r="AE117">
        <v>4.4000000000000004</v>
      </c>
      <c r="AF117">
        <v>4</v>
      </c>
      <c r="AG117">
        <v>4</v>
      </c>
      <c r="AH117">
        <v>2.5</v>
      </c>
      <c r="AI117" s="1">
        <v>4</v>
      </c>
      <c r="AJ117" s="1">
        <v>440</v>
      </c>
      <c r="AK117" s="1" t="s">
        <v>204</v>
      </c>
      <c r="AL117" t="s">
        <v>5</v>
      </c>
      <c r="AM117" t="s">
        <v>0</v>
      </c>
      <c r="AN117">
        <v>0</v>
      </c>
      <c r="AO117">
        <v>0</v>
      </c>
      <c r="AP117">
        <v>1092</v>
      </c>
      <c r="AQ117">
        <v>1213.3333333333333</v>
      </c>
      <c r="AR117">
        <v>728</v>
      </c>
      <c r="AS117">
        <v>667.33333333333337</v>
      </c>
      <c r="AT117">
        <v>788.66666666666663</v>
      </c>
      <c r="AU117">
        <v>837.2</v>
      </c>
      <c r="AV117">
        <v>1001</v>
      </c>
      <c r="AW117">
        <v>1137.5</v>
      </c>
      <c r="AX117">
        <v>728</v>
      </c>
      <c r="AY117">
        <v>409.5</v>
      </c>
      <c r="AZ117">
        <v>0</v>
      </c>
      <c r="BA117">
        <v>0</v>
      </c>
      <c r="BB117">
        <v>455</v>
      </c>
      <c r="BC117">
        <v>546</v>
      </c>
      <c r="BD117">
        <v>455</v>
      </c>
      <c r="BE117">
        <v>515.66666666666663</v>
      </c>
      <c r="BF117">
        <v>465.11111111111109</v>
      </c>
      <c r="BG117">
        <v>473.2</v>
      </c>
      <c r="BH117">
        <v>227.5</v>
      </c>
      <c r="BI117">
        <v>0</v>
      </c>
      <c r="BJ117">
        <v>0</v>
      </c>
      <c r="BK117">
        <v>364</v>
      </c>
      <c r="BL117">
        <v>413.63636363636363</v>
      </c>
      <c r="BM117">
        <v>400.4</v>
      </c>
      <c r="BN117">
        <v>364</v>
      </c>
      <c r="BO117">
        <v>364</v>
      </c>
      <c r="BP117">
        <v>227.5</v>
      </c>
      <c r="BQ117">
        <f>(I117+J117+N117+O117)/4</f>
        <v>11.208333333333334</v>
      </c>
      <c r="BR117">
        <f>(K117+L117+M117)/3</f>
        <v>8.4</v>
      </c>
      <c r="BS117">
        <f>BQ117/BR117</f>
        <v>1.3343253968253967</v>
      </c>
      <c r="BT117">
        <f>AQ117/I117</f>
        <v>90.999999999999986</v>
      </c>
      <c r="BU117" t="str">
        <f>IF(OR(A117=2, A117=12), "Central", IF(A117=3, "Semi-Central", "Periférica"))</f>
        <v>Periférica</v>
      </c>
    </row>
    <row r="118" spans="1:73" x14ac:dyDescent="0.3">
      <c r="A118" s="1">
        <v>4</v>
      </c>
      <c r="B118" s="1">
        <v>440</v>
      </c>
      <c r="C118" s="1" t="s">
        <v>204</v>
      </c>
      <c r="D118" t="s">
        <v>1</v>
      </c>
      <c r="E118" t="s">
        <v>0</v>
      </c>
      <c r="F118">
        <v>0</v>
      </c>
      <c r="G118">
        <v>0</v>
      </c>
      <c r="H118">
        <v>10</v>
      </c>
      <c r="I118">
        <v>13.333333333333334</v>
      </c>
      <c r="J118">
        <v>8</v>
      </c>
      <c r="K118">
        <v>7.333333333333333</v>
      </c>
      <c r="L118">
        <v>8.6666666666666661</v>
      </c>
      <c r="M118">
        <v>9.1999999999999993</v>
      </c>
      <c r="N118">
        <v>11</v>
      </c>
      <c r="O118">
        <v>12.5</v>
      </c>
      <c r="P118">
        <v>8</v>
      </c>
      <c r="Q118">
        <v>5.5</v>
      </c>
      <c r="R118">
        <v>0</v>
      </c>
      <c r="S118">
        <v>0</v>
      </c>
      <c r="T118">
        <v>5</v>
      </c>
      <c r="U118">
        <v>6</v>
      </c>
      <c r="V118">
        <v>5</v>
      </c>
      <c r="W118">
        <v>5.666666666666667</v>
      </c>
      <c r="X118">
        <v>5.1111111111111107</v>
      </c>
      <c r="Y118">
        <v>5.2</v>
      </c>
      <c r="Z118">
        <v>3.5</v>
      </c>
      <c r="AA118">
        <v>0</v>
      </c>
      <c r="AB118">
        <v>0</v>
      </c>
      <c r="AC118">
        <v>4</v>
      </c>
      <c r="AD118">
        <v>4.5454545454545459</v>
      </c>
      <c r="AE118">
        <v>4.4000000000000004</v>
      </c>
      <c r="AF118">
        <v>4</v>
      </c>
      <c r="AG118">
        <v>4</v>
      </c>
      <c r="AH118">
        <v>3.5</v>
      </c>
      <c r="AI118" s="1">
        <v>4</v>
      </c>
      <c r="AJ118" s="1">
        <v>440</v>
      </c>
      <c r="AK118" s="1" t="s">
        <v>204</v>
      </c>
      <c r="AL118" t="s">
        <v>1</v>
      </c>
      <c r="AM118" t="s">
        <v>0</v>
      </c>
      <c r="AN118">
        <v>0</v>
      </c>
      <c r="AO118">
        <v>0</v>
      </c>
      <c r="AP118">
        <v>910</v>
      </c>
      <c r="AQ118">
        <v>1213.3333333333333</v>
      </c>
      <c r="AR118">
        <v>728</v>
      </c>
      <c r="AS118">
        <v>667.33333333333337</v>
      </c>
      <c r="AT118">
        <v>788.66666666666663</v>
      </c>
      <c r="AU118">
        <v>837.2</v>
      </c>
      <c r="AV118">
        <v>1001</v>
      </c>
      <c r="AW118">
        <v>1137.5</v>
      </c>
      <c r="AX118">
        <v>728</v>
      </c>
      <c r="AY118">
        <v>500.5</v>
      </c>
      <c r="AZ118">
        <v>0</v>
      </c>
      <c r="BA118">
        <v>0</v>
      </c>
      <c r="BB118">
        <v>455</v>
      </c>
      <c r="BC118">
        <v>546</v>
      </c>
      <c r="BD118">
        <v>455</v>
      </c>
      <c r="BE118">
        <v>515.66666666666663</v>
      </c>
      <c r="BF118">
        <v>465.11111111111109</v>
      </c>
      <c r="BG118">
        <v>473.2</v>
      </c>
      <c r="BH118">
        <v>318.5</v>
      </c>
      <c r="BI118">
        <v>0</v>
      </c>
      <c r="BJ118">
        <v>0</v>
      </c>
      <c r="BK118">
        <v>364</v>
      </c>
      <c r="BL118">
        <v>413.63636363636363</v>
      </c>
      <c r="BM118">
        <v>400.4</v>
      </c>
      <c r="BN118">
        <v>364</v>
      </c>
      <c r="BO118">
        <v>364</v>
      </c>
      <c r="BP118">
        <v>318.5</v>
      </c>
      <c r="BQ118">
        <f>(I118+J118+N118+O118)/4</f>
        <v>11.208333333333334</v>
      </c>
      <c r="BR118">
        <f>(K118+L118+M118)/3</f>
        <v>8.4</v>
      </c>
      <c r="BS118">
        <f>BQ118/BR118</f>
        <v>1.3343253968253967</v>
      </c>
      <c r="BT118">
        <f>AQ118/I118</f>
        <v>90.999999999999986</v>
      </c>
      <c r="BU118" t="str">
        <f>IF(OR(A118=2, A118=12), "Central", IF(A118=3, "Semi-Central", "Periférica"))</f>
        <v>Periférica</v>
      </c>
    </row>
    <row r="119" spans="1:73" x14ac:dyDescent="0.3">
      <c r="A119" s="1">
        <v>4</v>
      </c>
      <c r="B119" s="1">
        <v>483</v>
      </c>
      <c r="C119" s="1">
        <v>223</v>
      </c>
      <c r="D119" t="s">
        <v>5</v>
      </c>
      <c r="E119" t="s">
        <v>0</v>
      </c>
      <c r="F119">
        <v>3</v>
      </c>
      <c r="G119">
        <v>0</v>
      </c>
      <c r="H119">
        <v>7</v>
      </c>
      <c r="I119">
        <v>8.6666666666666661</v>
      </c>
      <c r="J119">
        <v>6.666666666666667</v>
      </c>
      <c r="K119">
        <v>6</v>
      </c>
      <c r="L119">
        <v>5.333333333333333</v>
      </c>
      <c r="M119">
        <v>6</v>
      </c>
      <c r="N119">
        <v>7</v>
      </c>
      <c r="O119">
        <v>8.5</v>
      </c>
      <c r="P119">
        <v>5.333333333333333</v>
      </c>
      <c r="Q119">
        <v>4</v>
      </c>
      <c r="R119">
        <v>2</v>
      </c>
      <c r="S119">
        <v>0</v>
      </c>
      <c r="T119">
        <v>4</v>
      </c>
      <c r="U119">
        <v>5.2</v>
      </c>
      <c r="V119">
        <v>5</v>
      </c>
      <c r="W119">
        <v>5.666666666666667</v>
      </c>
      <c r="X119">
        <v>4.8888888888888893</v>
      </c>
      <c r="Y119">
        <v>4.8</v>
      </c>
      <c r="Z119">
        <v>4</v>
      </c>
      <c r="AA119">
        <v>2</v>
      </c>
      <c r="AB119">
        <v>0</v>
      </c>
      <c r="AC119">
        <v>3.5</v>
      </c>
      <c r="AD119">
        <v>5.0909090909090908</v>
      </c>
      <c r="AE119">
        <v>4.8</v>
      </c>
      <c r="AF119">
        <v>4.666666666666667</v>
      </c>
      <c r="AG119">
        <v>5</v>
      </c>
      <c r="AH119">
        <v>3</v>
      </c>
      <c r="AI119" s="1">
        <v>4</v>
      </c>
      <c r="AJ119" s="1">
        <v>483</v>
      </c>
      <c r="AK119" s="1">
        <v>223</v>
      </c>
      <c r="AL119" t="s">
        <v>5</v>
      </c>
      <c r="AM119" t="s">
        <v>0</v>
      </c>
      <c r="AN119">
        <v>297</v>
      </c>
      <c r="AO119">
        <v>0</v>
      </c>
      <c r="AP119">
        <v>693</v>
      </c>
      <c r="AQ119">
        <v>858</v>
      </c>
      <c r="AR119">
        <v>660</v>
      </c>
      <c r="AS119">
        <v>594</v>
      </c>
      <c r="AT119">
        <v>528</v>
      </c>
      <c r="AU119">
        <v>594</v>
      </c>
      <c r="AV119">
        <v>693</v>
      </c>
      <c r="AW119">
        <v>841.5</v>
      </c>
      <c r="AX119">
        <v>528</v>
      </c>
      <c r="AY119">
        <v>396</v>
      </c>
      <c r="AZ119">
        <v>198</v>
      </c>
      <c r="BA119">
        <v>0</v>
      </c>
      <c r="BB119">
        <v>396</v>
      </c>
      <c r="BC119">
        <v>514.79999999999995</v>
      </c>
      <c r="BD119">
        <v>495</v>
      </c>
      <c r="BE119">
        <v>561</v>
      </c>
      <c r="BF119">
        <v>484</v>
      </c>
      <c r="BG119">
        <v>475.2</v>
      </c>
      <c r="BH119">
        <v>396</v>
      </c>
      <c r="BI119">
        <v>198</v>
      </c>
      <c r="BJ119">
        <v>0</v>
      </c>
      <c r="BK119">
        <v>346.5</v>
      </c>
      <c r="BL119">
        <v>504</v>
      </c>
      <c r="BM119">
        <v>475.2</v>
      </c>
      <c r="BN119">
        <v>462</v>
      </c>
      <c r="BO119">
        <v>495</v>
      </c>
      <c r="BP119">
        <v>297</v>
      </c>
      <c r="BQ119">
        <f>(I119+J119+N119+O119)/4</f>
        <v>7.708333333333333</v>
      </c>
      <c r="BR119">
        <f>(K119+L119+M119)/3</f>
        <v>5.7777777777777777</v>
      </c>
      <c r="BS119">
        <f>BQ119/BR119</f>
        <v>1.3341346153846154</v>
      </c>
      <c r="BT119">
        <f>AQ119/I119</f>
        <v>99</v>
      </c>
      <c r="BU119" t="str">
        <f>IF(OR(A119=2, A119=12), "Central", IF(A119=3, "Semi-Central", "Periférica"))</f>
        <v>Periférica</v>
      </c>
    </row>
    <row r="120" spans="1:73" x14ac:dyDescent="0.3">
      <c r="A120" s="1">
        <v>18</v>
      </c>
      <c r="B120" s="1">
        <v>1847</v>
      </c>
      <c r="C120" s="1" t="s">
        <v>366</v>
      </c>
      <c r="D120" t="s">
        <v>1</v>
      </c>
      <c r="E120" t="s">
        <v>0</v>
      </c>
      <c r="F120">
        <v>0</v>
      </c>
      <c r="G120">
        <v>0</v>
      </c>
      <c r="H120">
        <v>6</v>
      </c>
      <c r="I120">
        <v>6</v>
      </c>
      <c r="J120">
        <v>4</v>
      </c>
      <c r="K120">
        <v>3.666666666666667</v>
      </c>
      <c r="L120">
        <v>4</v>
      </c>
      <c r="M120">
        <v>3.6</v>
      </c>
      <c r="N120">
        <v>5</v>
      </c>
      <c r="O120">
        <v>5</v>
      </c>
      <c r="P120">
        <v>3.333333333333333</v>
      </c>
      <c r="Q120">
        <v>3</v>
      </c>
      <c r="R120">
        <v>0</v>
      </c>
      <c r="S120">
        <v>0</v>
      </c>
      <c r="T120">
        <v>4</v>
      </c>
      <c r="U120">
        <v>4</v>
      </c>
      <c r="V120">
        <v>4.666666666666667</v>
      </c>
      <c r="W120">
        <v>4.666666666666667</v>
      </c>
      <c r="X120">
        <v>4</v>
      </c>
      <c r="Y120">
        <v>3.2</v>
      </c>
      <c r="Z120">
        <v>3</v>
      </c>
      <c r="AA120">
        <v>0</v>
      </c>
      <c r="AB120">
        <v>0</v>
      </c>
      <c r="AC120">
        <v>3</v>
      </c>
      <c r="AD120">
        <v>3.2727272727272729</v>
      </c>
      <c r="AE120">
        <v>3.2</v>
      </c>
      <c r="AF120">
        <v>3.333333333333333</v>
      </c>
      <c r="AG120">
        <v>3</v>
      </c>
      <c r="AH120">
        <v>2.5</v>
      </c>
      <c r="AI120" s="1">
        <v>18</v>
      </c>
      <c r="AJ120" s="1">
        <v>1847</v>
      </c>
      <c r="AK120" s="1" t="s">
        <v>366</v>
      </c>
      <c r="AL120" t="s">
        <v>1</v>
      </c>
      <c r="AM120" t="s">
        <v>0</v>
      </c>
      <c r="AN120">
        <v>0</v>
      </c>
      <c r="AO120">
        <v>0</v>
      </c>
      <c r="AP120">
        <v>540</v>
      </c>
      <c r="AQ120">
        <v>540</v>
      </c>
      <c r="AR120">
        <v>360</v>
      </c>
      <c r="AS120">
        <v>330</v>
      </c>
      <c r="AT120">
        <v>360</v>
      </c>
      <c r="AU120">
        <v>324</v>
      </c>
      <c r="AV120">
        <v>450</v>
      </c>
      <c r="AW120">
        <v>450</v>
      </c>
      <c r="AX120">
        <v>300</v>
      </c>
      <c r="AY120">
        <v>270</v>
      </c>
      <c r="AZ120">
        <v>0</v>
      </c>
      <c r="BA120">
        <v>0</v>
      </c>
      <c r="BB120">
        <v>360</v>
      </c>
      <c r="BC120">
        <v>360</v>
      </c>
      <c r="BD120">
        <v>420</v>
      </c>
      <c r="BE120">
        <v>420</v>
      </c>
      <c r="BF120">
        <v>360</v>
      </c>
      <c r="BG120">
        <v>288</v>
      </c>
      <c r="BH120">
        <v>270</v>
      </c>
      <c r="BI120">
        <v>0</v>
      </c>
      <c r="BJ120">
        <v>0</v>
      </c>
      <c r="BK120">
        <v>270</v>
      </c>
      <c r="BL120">
        <v>294.54545454545462</v>
      </c>
      <c r="BM120">
        <v>288</v>
      </c>
      <c r="BN120">
        <v>300</v>
      </c>
      <c r="BO120">
        <v>270</v>
      </c>
      <c r="BP120">
        <v>225</v>
      </c>
      <c r="BQ120">
        <f>(I120+J120+N120+O120)/4</f>
        <v>5</v>
      </c>
      <c r="BR120">
        <f>(K120+L120+M120)/3</f>
        <v>3.755555555555556</v>
      </c>
      <c r="BS120">
        <f>BQ120/BR120</f>
        <v>1.331360946745562</v>
      </c>
      <c r="BT120">
        <f>AQ120/I120</f>
        <v>90</v>
      </c>
      <c r="BU120" t="str">
        <f>IF(OR(A120=2, A120=12), "Central", IF(A120=3, "Semi-Central", "Periférica"))</f>
        <v>Periférica</v>
      </c>
    </row>
    <row r="121" spans="1:73" x14ac:dyDescent="0.3">
      <c r="A121" s="1">
        <v>4</v>
      </c>
      <c r="B121" s="1">
        <v>483</v>
      </c>
      <c r="C121" s="1">
        <v>223</v>
      </c>
      <c r="D121" t="s">
        <v>1</v>
      </c>
      <c r="E121" t="s">
        <v>0</v>
      </c>
      <c r="F121">
        <v>0</v>
      </c>
      <c r="G121">
        <v>0</v>
      </c>
      <c r="H121">
        <v>7</v>
      </c>
      <c r="I121">
        <v>9.3333333333333339</v>
      </c>
      <c r="J121">
        <v>7.333333333333333</v>
      </c>
      <c r="K121">
        <v>6</v>
      </c>
      <c r="L121">
        <v>5.333333333333333</v>
      </c>
      <c r="M121">
        <v>6</v>
      </c>
      <c r="N121">
        <v>6.5</v>
      </c>
      <c r="O121">
        <v>7.5</v>
      </c>
      <c r="P121">
        <v>5.333333333333333</v>
      </c>
      <c r="Q121">
        <v>4</v>
      </c>
      <c r="R121">
        <v>0</v>
      </c>
      <c r="S121">
        <v>0</v>
      </c>
      <c r="T121">
        <v>5</v>
      </c>
      <c r="U121">
        <v>5.6</v>
      </c>
      <c r="V121">
        <v>5.666666666666667</v>
      </c>
      <c r="W121">
        <v>5.666666666666667</v>
      </c>
      <c r="X121">
        <v>4.8888888888888893</v>
      </c>
      <c r="Y121">
        <v>4.8</v>
      </c>
      <c r="Z121">
        <v>4</v>
      </c>
      <c r="AA121">
        <v>0</v>
      </c>
      <c r="AB121">
        <v>0</v>
      </c>
      <c r="AC121">
        <v>4.5</v>
      </c>
      <c r="AD121">
        <v>5.0909090909090908</v>
      </c>
      <c r="AE121">
        <v>4.8</v>
      </c>
      <c r="AF121">
        <v>4.666666666666667</v>
      </c>
      <c r="AG121">
        <v>4</v>
      </c>
      <c r="AH121">
        <v>3</v>
      </c>
      <c r="AI121" s="1">
        <v>4</v>
      </c>
      <c r="AJ121" s="1">
        <v>483</v>
      </c>
      <c r="AK121" s="1">
        <v>223</v>
      </c>
      <c r="AL121" t="s">
        <v>1</v>
      </c>
      <c r="AM121" t="s">
        <v>0</v>
      </c>
      <c r="AN121">
        <v>0</v>
      </c>
      <c r="AO121">
        <v>0</v>
      </c>
      <c r="AP121">
        <v>693</v>
      </c>
      <c r="AQ121">
        <v>924</v>
      </c>
      <c r="AR121">
        <v>726</v>
      </c>
      <c r="AS121">
        <v>594</v>
      </c>
      <c r="AT121">
        <v>528</v>
      </c>
      <c r="AU121">
        <v>594</v>
      </c>
      <c r="AV121">
        <v>643.5</v>
      </c>
      <c r="AW121">
        <v>742.5</v>
      </c>
      <c r="AX121">
        <v>528</v>
      </c>
      <c r="AY121">
        <v>396</v>
      </c>
      <c r="AZ121">
        <v>0</v>
      </c>
      <c r="BA121">
        <v>0</v>
      </c>
      <c r="BB121">
        <v>495</v>
      </c>
      <c r="BC121">
        <v>554.4</v>
      </c>
      <c r="BD121">
        <v>561</v>
      </c>
      <c r="BE121">
        <v>561</v>
      </c>
      <c r="BF121">
        <v>484</v>
      </c>
      <c r="BG121">
        <v>475.2</v>
      </c>
      <c r="BH121">
        <v>396</v>
      </c>
      <c r="BI121">
        <v>0</v>
      </c>
      <c r="BJ121">
        <v>0</v>
      </c>
      <c r="BK121">
        <v>445.5</v>
      </c>
      <c r="BL121">
        <v>504</v>
      </c>
      <c r="BM121">
        <v>475.2</v>
      </c>
      <c r="BN121">
        <v>462</v>
      </c>
      <c r="BO121">
        <v>396</v>
      </c>
      <c r="BP121">
        <v>297</v>
      </c>
      <c r="BQ121">
        <f>(I121+J121+N121+O121)/4</f>
        <v>7.666666666666667</v>
      </c>
      <c r="BR121">
        <f>(K121+L121+M121)/3</f>
        <v>5.7777777777777777</v>
      </c>
      <c r="BS121">
        <f>BQ121/BR121</f>
        <v>1.3269230769230771</v>
      </c>
      <c r="BT121">
        <f>AQ121/I121</f>
        <v>99</v>
      </c>
      <c r="BU121" t="str">
        <f>IF(OR(A121=2, A121=12), "Central", IF(A121=3, "Semi-Central", "Periférica"))</f>
        <v>Periférica</v>
      </c>
    </row>
    <row r="122" spans="1:73" x14ac:dyDescent="0.3">
      <c r="A122" s="1">
        <v>5</v>
      </c>
      <c r="B122" s="1">
        <v>507</v>
      </c>
      <c r="C122" s="1">
        <v>507</v>
      </c>
      <c r="D122" t="s">
        <v>1</v>
      </c>
      <c r="E122" t="s">
        <v>0</v>
      </c>
      <c r="F122">
        <v>2</v>
      </c>
      <c r="G122">
        <v>0</v>
      </c>
      <c r="H122">
        <v>6</v>
      </c>
      <c r="I122">
        <v>9.3333333333333339</v>
      </c>
      <c r="J122">
        <v>7.333333333333333</v>
      </c>
      <c r="K122">
        <v>6</v>
      </c>
      <c r="L122">
        <v>6</v>
      </c>
      <c r="M122">
        <v>7.6</v>
      </c>
      <c r="N122">
        <v>10</v>
      </c>
      <c r="O122">
        <v>8</v>
      </c>
      <c r="P122">
        <v>4</v>
      </c>
      <c r="Q122">
        <v>3</v>
      </c>
      <c r="R122">
        <v>2</v>
      </c>
      <c r="S122">
        <v>0</v>
      </c>
      <c r="T122">
        <v>3</v>
      </c>
      <c r="U122">
        <v>4.8</v>
      </c>
      <c r="V122">
        <v>5</v>
      </c>
      <c r="W122">
        <v>4.666666666666667</v>
      </c>
      <c r="X122">
        <v>4.8888888888888893</v>
      </c>
      <c r="Y122">
        <v>4</v>
      </c>
      <c r="Z122">
        <v>3</v>
      </c>
      <c r="AA122">
        <v>2</v>
      </c>
      <c r="AB122">
        <v>0</v>
      </c>
      <c r="AC122">
        <v>3</v>
      </c>
      <c r="AD122">
        <v>3.6363636363636362</v>
      </c>
      <c r="AE122">
        <v>4</v>
      </c>
      <c r="AF122">
        <v>4</v>
      </c>
      <c r="AG122">
        <v>4</v>
      </c>
      <c r="AH122">
        <v>3</v>
      </c>
      <c r="AI122" s="1">
        <v>5</v>
      </c>
      <c r="AJ122" s="1">
        <v>507</v>
      </c>
      <c r="AK122" s="1">
        <v>507</v>
      </c>
      <c r="AL122" t="s">
        <v>1</v>
      </c>
      <c r="AM122" t="s">
        <v>0</v>
      </c>
      <c r="AN122">
        <v>162</v>
      </c>
      <c r="AO122">
        <v>0</v>
      </c>
      <c r="AP122">
        <v>486</v>
      </c>
      <c r="AQ122">
        <v>756</v>
      </c>
      <c r="AR122">
        <v>594</v>
      </c>
      <c r="AS122">
        <v>486</v>
      </c>
      <c r="AT122">
        <v>486</v>
      </c>
      <c r="AU122">
        <v>615.6</v>
      </c>
      <c r="AV122">
        <v>810</v>
      </c>
      <c r="AW122">
        <v>648</v>
      </c>
      <c r="AX122">
        <v>324</v>
      </c>
      <c r="AY122">
        <v>243</v>
      </c>
      <c r="AZ122">
        <v>162</v>
      </c>
      <c r="BA122">
        <v>0</v>
      </c>
      <c r="BB122">
        <v>243</v>
      </c>
      <c r="BC122">
        <v>388.8</v>
      </c>
      <c r="BD122">
        <v>405</v>
      </c>
      <c r="BE122">
        <v>378</v>
      </c>
      <c r="BF122">
        <v>396</v>
      </c>
      <c r="BG122">
        <v>324</v>
      </c>
      <c r="BH122">
        <v>243</v>
      </c>
      <c r="BI122">
        <v>162</v>
      </c>
      <c r="BJ122">
        <v>0</v>
      </c>
      <c r="BK122">
        <v>243</v>
      </c>
      <c r="BL122">
        <v>294.54545454545456</v>
      </c>
      <c r="BM122">
        <v>324</v>
      </c>
      <c r="BN122">
        <v>324</v>
      </c>
      <c r="BO122">
        <v>324</v>
      </c>
      <c r="BP122">
        <v>243</v>
      </c>
      <c r="BQ122">
        <f>(I122+J122+N122+O122)/4</f>
        <v>8.6666666666666679</v>
      </c>
      <c r="BR122">
        <f>(K122+L122+M122)/3</f>
        <v>6.5333333333333341</v>
      </c>
      <c r="BS122">
        <f>BQ122/BR122</f>
        <v>1.3265306122448979</v>
      </c>
      <c r="BT122">
        <f>AQ122/I122</f>
        <v>81</v>
      </c>
      <c r="BU122" t="str">
        <f>IF(OR(A122=2, A122=12), "Central", IF(A122=3, "Semi-Central", "Periférica"))</f>
        <v>Periférica</v>
      </c>
    </row>
    <row r="123" spans="1:73" x14ac:dyDescent="0.3">
      <c r="A123" s="1">
        <v>19</v>
      </c>
      <c r="B123" s="1">
        <v>1910</v>
      </c>
      <c r="C123" s="1">
        <v>210</v>
      </c>
      <c r="D123" t="s">
        <v>5</v>
      </c>
      <c r="E123" t="s">
        <v>0</v>
      </c>
      <c r="F123">
        <v>3</v>
      </c>
      <c r="G123">
        <v>2</v>
      </c>
      <c r="H123">
        <v>9</v>
      </c>
      <c r="I123">
        <v>11.33333333333333</v>
      </c>
      <c r="J123">
        <v>10.66666666666667</v>
      </c>
      <c r="K123">
        <v>8.3333333333333339</v>
      </c>
      <c r="L123">
        <v>8</v>
      </c>
      <c r="M123">
        <v>8</v>
      </c>
      <c r="N123">
        <v>10</v>
      </c>
      <c r="O123">
        <v>11</v>
      </c>
      <c r="P123">
        <v>8.6666666666666661</v>
      </c>
      <c r="Q123">
        <v>5</v>
      </c>
      <c r="R123">
        <v>3</v>
      </c>
      <c r="S123">
        <v>2</v>
      </c>
      <c r="T123">
        <v>4</v>
      </c>
      <c r="U123">
        <v>4.8</v>
      </c>
      <c r="V123">
        <v>5</v>
      </c>
      <c r="W123">
        <v>6.666666666666667</v>
      </c>
      <c r="X123">
        <v>5.5555555555555554</v>
      </c>
      <c r="Y123">
        <v>6</v>
      </c>
      <c r="Z123">
        <v>4.5</v>
      </c>
      <c r="AA123">
        <v>3</v>
      </c>
      <c r="AB123">
        <v>2</v>
      </c>
      <c r="AC123">
        <v>5</v>
      </c>
      <c r="AD123">
        <v>4.3636363636363633</v>
      </c>
      <c r="AE123">
        <v>4.4000000000000004</v>
      </c>
      <c r="AF123">
        <v>4</v>
      </c>
      <c r="AG123">
        <v>4</v>
      </c>
      <c r="AH123">
        <v>3.5</v>
      </c>
      <c r="AI123" s="1">
        <v>19</v>
      </c>
      <c r="AJ123" s="1">
        <v>1910</v>
      </c>
      <c r="AK123" s="1">
        <v>210</v>
      </c>
      <c r="AL123" t="s">
        <v>5</v>
      </c>
      <c r="AM123" t="s">
        <v>0</v>
      </c>
      <c r="AN123">
        <v>450</v>
      </c>
      <c r="AO123">
        <v>300</v>
      </c>
      <c r="AP123">
        <v>1350</v>
      </c>
      <c r="AQ123">
        <v>1700</v>
      </c>
      <c r="AR123">
        <v>1600</v>
      </c>
      <c r="AS123">
        <v>1250</v>
      </c>
      <c r="AT123">
        <v>1200</v>
      </c>
      <c r="AU123">
        <v>1200</v>
      </c>
      <c r="AV123">
        <v>1500</v>
      </c>
      <c r="AW123">
        <v>1650</v>
      </c>
      <c r="AX123">
        <v>1300</v>
      </c>
      <c r="AY123">
        <v>750</v>
      </c>
      <c r="AZ123">
        <v>270</v>
      </c>
      <c r="BA123">
        <v>180</v>
      </c>
      <c r="BB123">
        <v>360</v>
      </c>
      <c r="BC123">
        <v>432</v>
      </c>
      <c r="BD123">
        <v>450</v>
      </c>
      <c r="BE123">
        <v>600</v>
      </c>
      <c r="BF123">
        <v>500</v>
      </c>
      <c r="BG123">
        <v>540</v>
      </c>
      <c r="BH123">
        <v>405</v>
      </c>
      <c r="BI123">
        <v>270</v>
      </c>
      <c r="BJ123">
        <v>180</v>
      </c>
      <c r="BK123">
        <v>450</v>
      </c>
      <c r="BL123">
        <v>392.72727272727269</v>
      </c>
      <c r="BM123">
        <v>396</v>
      </c>
      <c r="BN123">
        <v>360</v>
      </c>
      <c r="BO123">
        <v>360</v>
      </c>
      <c r="BP123">
        <v>315</v>
      </c>
      <c r="BQ123">
        <f>(I123+J123+N123+O123)/4</f>
        <v>10.75</v>
      </c>
      <c r="BR123">
        <f>(K123+L123+M123)/3</f>
        <v>8.1111111111111125</v>
      </c>
      <c r="BS123">
        <f>BQ123/BR123</f>
        <v>1.3253424657534245</v>
      </c>
      <c r="BT123">
        <f>AQ123/I123</f>
        <v>150.00000000000003</v>
      </c>
      <c r="BU123" t="str">
        <f>IF(OR(A123=2, A123=12), "Central", IF(A123=3, "Semi-Central", "Periférica"))</f>
        <v>Periférica</v>
      </c>
    </row>
    <row r="124" spans="1:73" x14ac:dyDescent="0.3">
      <c r="A124" s="1">
        <v>18</v>
      </c>
      <c r="B124" s="1">
        <v>1803</v>
      </c>
      <c r="C124" s="1">
        <v>203</v>
      </c>
      <c r="D124" t="s">
        <v>1</v>
      </c>
      <c r="E124" t="s">
        <v>0</v>
      </c>
      <c r="F124">
        <v>0</v>
      </c>
      <c r="G124">
        <v>0</v>
      </c>
      <c r="H124">
        <v>8</v>
      </c>
      <c r="I124">
        <v>8.6666666666666661</v>
      </c>
      <c r="J124">
        <v>7.333333333333333</v>
      </c>
      <c r="K124">
        <v>5.333333333333333</v>
      </c>
      <c r="L124">
        <v>6</v>
      </c>
      <c r="M124">
        <v>4.8</v>
      </c>
      <c r="N124">
        <v>6.5</v>
      </c>
      <c r="O124">
        <v>6</v>
      </c>
      <c r="P124">
        <v>4</v>
      </c>
      <c r="Q124">
        <v>3.5</v>
      </c>
      <c r="R124">
        <v>0</v>
      </c>
      <c r="S124">
        <v>0</v>
      </c>
      <c r="T124">
        <v>6</v>
      </c>
      <c r="U124">
        <v>6.8</v>
      </c>
      <c r="V124">
        <v>6</v>
      </c>
      <c r="W124">
        <v>5.666666666666667</v>
      </c>
      <c r="X124">
        <v>5.1111111111111107</v>
      </c>
      <c r="Y124">
        <v>5.2</v>
      </c>
      <c r="Z124">
        <v>3.5</v>
      </c>
      <c r="AA124">
        <v>0</v>
      </c>
      <c r="AB124">
        <v>0</v>
      </c>
      <c r="AC124">
        <v>4.5</v>
      </c>
      <c r="AD124">
        <v>4.7272727272727284</v>
      </c>
      <c r="AE124">
        <v>4.4000000000000004</v>
      </c>
      <c r="AF124">
        <v>4.666666666666667</v>
      </c>
      <c r="AG124">
        <v>5</v>
      </c>
      <c r="AH124">
        <v>3.5</v>
      </c>
      <c r="AI124" s="1">
        <v>18</v>
      </c>
      <c r="AJ124" s="1">
        <v>1803</v>
      </c>
      <c r="AK124" s="1">
        <v>203</v>
      </c>
      <c r="AL124" t="s">
        <v>1</v>
      </c>
      <c r="AM124" t="s">
        <v>0</v>
      </c>
      <c r="AN124">
        <v>0</v>
      </c>
      <c r="AO124">
        <v>0</v>
      </c>
      <c r="AP124">
        <v>1200</v>
      </c>
      <c r="AQ124">
        <v>1300</v>
      </c>
      <c r="AR124">
        <v>1100</v>
      </c>
      <c r="AS124">
        <v>800</v>
      </c>
      <c r="AT124">
        <v>900</v>
      </c>
      <c r="AU124">
        <v>720</v>
      </c>
      <c r="AV124">
        <v>975</v>
      </c>
      <c r="AW124">
        <v>900</v>
      </c>
      <c r="AX124">
        <v>600</v>
      </c>
      <c r="AY124">
        <v>525</v>
      </c>
      <c r="AZ124">
        <v>0</v>
      </c>
      <c r="BA124">
        <v>0</v>
      </c>
      <c r="BB124">
        <v>540</v>
      </c>
      <c r="BC124">
        <v>612</v>
      </c>
      <c r="BD124">
        <v>540</v>
      </c>
      <c r="BE124">
        <v>510</v>
      </c>
      <c r="BF124">
        <v>460</v>
      </c>
      <c r="BG124">
        <v>468</v>
      </c>
      <c r="BH124">
        <v>315</v>
      </c>
      <c r="BI124">
        <v>0</v>
      </c>
      <c r="BJ124">
        <v>0</v>
      </c>
      <c r="BK124">
        <v>405</v>
      </c>
      <c r="BL124">
        <v>425.45454545454538</v>
      </c>
      <c r="BM124">
        <v>396</v>
      </c>
      <c r="BN124">
        <v>420</v>
      </c>
      <c r="BO124">
        <v>450</v>
      </c>
      <c r="BP124">
        <v>315</v>
      </c>
      <c r="BQ124">
        <f>(I124+J124+N124+O124)/4</f>
        <v>7.125</v>
      </c>
      <c r="BR124">
        <f>(K124+L124+M124)/3</f>
        <v>5.3777777777777773</v>
      </c>
      <c r="BS124">
        <f>BQ124/BR124</f>
        <v>1.3248966942148761</v>
      </c>
      <c r="BT124">
        <f>AQ124/I124</f>
        <v>150</v>
      </c>
      <c r="BU124" t="str">
        <f>IF(OR(A124=2, A124=12), "Central", IF(A124=3, "Semi-Central", "Periférica"))</f>
        <v>Periférica</v>
      </c>
    </row>
    <row r="125" spans="1:73" x14ac:dyDescent="0.3">
      <c r="A125" s="1">
        <v>4</v>
      </c>
      <c r="B125" s="1">
        <v>476</v>
      </c>
      <c r="C125" s="1" t="s">
        <v>373</v>
      </c>
      <c r="D125" t="s">
        <v>5</v>
      </c>
      <c r="E125" t="s">
        <v>0</v>
      </c>
      <c r="F125">
        <v>2</v>
      </c>
      <c r="G125">
        <v>0</v>
      </c>
      <c r="H125">
        <v>4</v>
      </c>
      <c r="I125">
        <v>6</v>
      </c>
      <c r="J125">
        <v>6</v>
      </c>
      <c r="K125">
        <v>5</v>
      </c>
      <c r="L125">
        <v>5.333333333333333</v>
      </c>
      <c r="M125">
        <v>6.4</v>
      </c>
      <c r="N125">
        <v>8.5</v>
      </c>
      <c r="O125">
        <v>9</v>
      </c>
      <c r="P125">
        <v>6</v>
      </c>
      <c r="Q125">
        <v>4.5</v>
      </c>
      <c r="R125">
        <v>2</v>
      </c>
      <c r="S125">
        <v>0</v>
      </c>
      <c r="T125">
        <v>4</v>
      </c>
      <c r="U125">
        <v>4</v>
      </c>
      <c r="V125">
        <v>4.666666666666667</v>
      </c>
      <c r="W125">
        <v>5.333333333333333</v>
      </c>
      <c r="X125">
        <v>5.1111111111111107</v>
      </c>
      <c r="Y125">
        <v>3.2</v>
      </c>
      <c r="Z125">
        <v>3</v>
      </c>
      <c r="AA125">
        <v>2</v>
      </c>
      <c r="AB125">
        <v>0</v>
      </c>
      <c r="AC125">
        <v>4</v>
      </c>
      <c r="AD125">
        <v>4.7272727272727275</v>
      </c>
      <c r="AE125">
        <v>4.8</v>
      </c>
      <c r="AF125">
        <v>4.666666666666667</v>
      </c>
      <c r="AG125">
        <v>5</v>
      </c>
      <c r="AH125">
        <v>3</v>
      </c>
      <c r="AI125" s="1">
        <v>4</v>
      </c>
      <c r="AJ125" s="1">
        <v>476</v>
      </c>
      <c r="AK125" s="1" t="s">
        <v>373</v>
      </c>
      <c r="AL125" t="s">
        <v>5</v>
      </c>
      <c r="AM125" t="s">
        <v>0</v>
      </c>
      <c r="AN125">
        <v>152</v>
      </c>
      <c r="AO125">
        <v>0</v>
      </c>
      <c r="AP125">
        <v>304</v>
      </c>
      <c r="AQ125">
        <v>456</v>
      </c>
      <c r="AR125">
        <v>456</v>
      </c>
      <c r="AS125">
        <v>380</v>
      </c>
      <c r="AT125">
        <v>405.33333333333331</v>
      </c>
      <c r="AU125">
        <v>486.4</v>
      </c>
      <c r="AV125">
        <v>646</v>
      </c>
      <c r="AW125">
        <v>684</v>
      </c>
      <c r="AX125">
        <v>456</v>
      </c>
      <c r="AY125">
        <v>342</v>
      </c>
      <c r="AZ125">
        <v>152</v>
      </c>
      <c r="BA125">
        <v>0</v>
      </c>
      <c r="BB125">
        <v>304</v>
      </c>
      <c r="BC125">
        <v>304</v>
      </c>
      <c r="BD125">
        <v>354.66666666666669</v>
      </c>
      <c r="BE125">
        <v>405.33333333333331</v>
      </c>
      <c r="BF125">
        <v>388.44444444444446</v>
      </c>
      <c r="BG125">
        <v>243.2</v>
      </c>
      <c r="BH125">
        <v>228</v>
      </c>
      <c r="BI125">
        <v>152</v>
      </c>
      <c r="BJ125">
        <v>0</v>
      </c>
      <c r="BK125">
        <v>304</v>
      </c>
      <c r="BL125">
        <v>359.27272727272725</v>
      </c>
      <c r="BM125">
        <v>364.8</v>
      </c>
      <c r="BN125">
        <v>354.66666666666669</v>
      </c>
      <c r="BO125">
        <v>380</v>
      </c>
      <c r="BP125">
        <v>228</v>
      </c>
      <c r="BQ125">
        <f>(I125+J125+N125+O125)/4</f>
        <v>7.375</v>
      </c>
      <c r="BR125">
        <f>(K125+L125+M125)/3</f>
        <v>5.5777777777777784</v>
      </c>
      <c r="BS125">
        <f>BQ125/BR125</f>
        <v>1.3222111553784859</v>
      </c>
      <c r="BT125">
        <f>AQ125/I125</f>
        <v>76</v>
      </c>
      <c r="BU125" t="str">
        <f>IF(OR(A125=2, A125=12), "Central", IF(A125=3, "Semi-Central", "Periférica"))</f>
        <v>Periférica</v>
      </c>
    </row>
    <row r="126" spans="1:73" x14ac:dyDescent="0.3">
      <c r="A126" s="1">
        <v>13</v>
      </c>
      <c r="B126" s="1">
        <v>1330</v>
      </c>
      <c r="C126" s="1">
        <v>430</v>
      </c>
      <c r="D126" t="s">
        <v>1</v>
      </c>
      <c r="F126">
        <v>0</v>
      </c>
      <c r="G126">
        <v>0</v>
      </c>
      <c r="H126">
        <v>2</v>
      </c>
      <c r="I126">
        <v>7.333333333333333</v>
      </c>
      <c r="J126">
        <v>6</v>
      </c>
      <c r="K126">
        <v>6</v>
      </c>
      <c r="L126">
        <v>6</v>
      </c>
      <c r="M126">
        <v>7.2</v>
      </c>
      <c r="N126">
        <v>10.5</v>
      </c>
      <c r="O126">
        <v>10</v>
      </c>
      <c r="P126">
        <v>5.333333333333333</v>
      </c>
      <c r="Q126">
        <v>4</v>
      </c>
      <c r="R126">
        <v>0</v>
      </c>
      <c r="S126">
        <v>0</v>
      </c>
      <c r="T126">
        <v>0</v>
      </c>
      <c r="U126">
        <v>2.4</v>
      </c>
      <c r="V126">
        <v>5.333333333333333</v>
      </c>
      <c r="W126">
        <v>5.666666666666667</v>
      </c>
      <c r="X126">
        <v>4.2222222222222223</v>
      </c>
      <c r="Y126">
        <v>2.4</v>
      </c>
      <c r="Z126">
        <v>2</v>
      </c>
      <c r="AA126">
        <v>0</v>
      </c>
      <c r="AB126">
        <v>0</v>
      </c>
      <c r="AC126">
        <v>2.5</v>
      </c>
      <c r="AD126">
        <v>4.1818181818181817</v>
      </c>
      <c r="AE126">
        <v>4.5999999999999996</v>
      </c>
      <c r="AF126">
        <v>3.333333333333333</v>
      </c>
      <c r="AG126">
        <v>2</v>
      </c>
      <c r="AH126">
        <v>2</v>
      </c>
      <c r="AI126" s="1">
        <v>13</v>
      </c>
      <c r="AJ126" s="1">
        <v>1330</v>
      </c>
      <c r="AK126" s="1">
        <v>430</v>
      </c>
      <c r="AL126" t="s">
        <v>1</v>
      </c>
      <c r="AN126">
        <v>0</v>
      </c>
      <c r="AO126">
        <v>0</v>
      </c>
      <c r="AP126">
        <v>300</v>
      </c>
      <c r="AQ126">
        <v>1100</v>
      </c>
      <c r="AR126">
        <v>900</v>
      </c>
      <c r="AS126">
        <v>900</v>
      </c>
      <c r="AT126">
        <v>900</v>
      </c>
      <c r="AU126">
        <v>1080</v>
      </c>
      <c r="AV126">
        <v>1575</v>
      </c>
      <c r="AW126">
        <v>1500</v>
      </c>
      <c r="AX126">
        <v>800</v>
      </c>
      <c r="AY126">
        <v>600</v>
      </c>
      <c r="AZ126">
        <v>0</v>
      </c>
      <c r="BA126">
        <v>0</v>
      </c>
      <c r="BB126">
        <v>0</v>
      </c>
      <c r="BC126">
        <v>360</v>
      </c>
      <c r="BD126">
        <v>800</v>
      </c>
      <c r="BE126">
        <v>850</v>
      </c>
      <c r="BF126">
        <v>633.33333333333337</v>
      </c>
      <c r="BG126">
        <v>360</v>
      </c>
      <c r="BH126">
        <v>300</v>
      </c>
      <c r="BI126">
        <v>0</v>
      </c>
      <c r="BJ126">
        <v>0</v>
      </c>
      <c r="BK126">
        <v>225</v>
      </c>
      <c r="BL126">
        <v>376.36363636363637</v>
      </c>
      <c r="BM126">
        <v>414</v>
      </c>
      <c r="BN126">
        <v>300</v>
      </c>
      <c r="BO126">
        <v>180</v>
      </c>
      <c r="BP126">
        <v>180</v>
      </c>
      <c r="BQ126">
        <f>(I126+J126+N126+O126)/4</f>
        <v>8.4583333333333321</v>
      </c>
      <c r="BR126">
        <f>(K126+L126+M126)/3</f>
        <v>6.3999999999999995</v>
      </c>
      <c r="BS126">
        <f>BQ126/BR126</f>
        <v>1.3216145833333333</v>
      </c>
      <c r="BT126">
        <f>AQ126/I126</f>
        <v>150</v>
      </c>
      <c r="BU126" t="str">
        <f>IF(OR(A126=2, A126=12), "Central", IF(A126=3, "Semi-Central", "Periférica"))</f>
        <v>Periférica</v>
      </c>
    </row>
    <row r="127" spans="1:73" x14ac:dyDescent="0.3">
      <c r="A127" s="1">
        <v>16</v>
      </c>
      <c r="B127" s="1">
        <v>1635</v>
      </c>
      <c r="C127" s="1" t="s">
        <v>343</v>
      </c>
      <c r="D127" t="s">
        <v>5</v>
      </c>
      <c r="E127" t="s">
        <v>0</v>
      </c>
      <c r="F127">
        <v>0</v>
      </c>
      <c r="G127">
        <v>0</v>
      </c>
      <c r="H127">
        <v>5</v>
      </c>
      <c r="I127">
        <v>7.333333333333333</v>
      </c>
      <c r="J127">
        <v>5.333333333333333</v>
      </c>
      <c r="K127">
        <v>4.666666666666667</v>
      </c>
      <c r="L127">
        <v>4.666666666666667</v>
      </c>
      <c r="M127">
        <v>4.4000000000000004</v>
      </c>
      <c r="N127">
        <v>6</v>
      </c>
      <c r="O127">
        <v>5.5</v>
      </c>
      <c r="P127">
        <v>4</v>
      </c>
      <c r="Q127">
        <v>3</v>
      </c>
      <c r="R127">
        <v>0</v>
      </c>
      <c r="S127">
        <v>0</v>
      </c>
      <c r="T127">
        <v>3</v>
      </c>
      <c r="U127">
        <v>4</v>
      </c>
      <c r="V127">
        <v>4</v>
      </c>
      <c r="W127">
        <v>4</v>
      </c>
      <c r="X127">
        <v>4</v>
      </c>
      <c r="Y127">
        <v>3.6</v>
      </c>
      <c r="Z127">
        <v>2.5</v>
      </c>
      <c r="AA127">
        <v>0</v>
      </c>
      <c r="AB127">
        <v>0</v>
      </c>
      <c r="AC127">
        <v>2</v>
      </c>
      <c r="AD127">
        <v>4</v>
      </c>
      <c r="AE127">
        <v>4</v>
      </c>
      <c r="AF127">
        <v>4</v>
      </c>
      <c r="AG127">
        <v>3</v>
      </c>
      <c r="AH127">
        <v>2.5</v>
      </c>
      <c r="AI127" s="1">
        <v>16</v>
      </c>
      <c r="AJ127" s="1">
        <v>1635</v>
      </c>
      <c r="AK127" s="1" t="s">
        <v>343</v>
      </c>
      <c r="AL127" t="s">
        <v>5</v>
      </c>
      <c r="AM127" t="s">
        <v>0</v>
      </c>
      <c r="AN127">
        <v>0</v>
      </c>
      <c r="AO127">
        <v>0</v>
      </c>
      <c r="AP127">
        <v>300</v>
      </c>
      <c r="AQ127">
        <v>440</v>
      </c>
      <c r="AR127">
        <v>320</v>
      </c>
      <c r="AS127">
        <v>280</v>
      </c>
      <c r="AT127">
        <v>280</v>
      </c>
      <c r="AU127">
        <v>264</v>
      </c>
      <c r="AV127">
        <v>360</v>
      </c>
      <c r="AW127">
        <v>330</v>
      </c>
      <c r="AX127">
        <v>240</v>
      </c>
      <c r="AY127">
        <v>180</v>
      </c>
      <c r="AZ127">
        <v>0</v>
      </c>
      <c r="BA127">
        <v>0</v>
      </c>
      <c r="BB127">
        <v>180</v>
      </c>
      <c r="BC127">
        <v>240</v>
      </c>
      <c r="BD127">
        <v>240</v>
      </c>
      <c r="BE127">
        <v>240</v>
      </c>
      <c r="BF127">
        <v>240</v>
      </c>
      <c r="BG127">
        <v>216</v>
      </c>
      <c r="BH127">
        <v>150</v>
      </c>
      <c r="BI127">
        <v>0</v>
      </c>
      <c r="BJ127">
        <v>0</v>
      </c>
      <c r="BK127">
        <v>120</v>
      </c>
      <c r="BL127">
        <v>240</v>
      </c>
      <c r="BM127">
        <v>240</v>
      </c>
      <c r="BN127">
        <v>240</v>
      </c>
      <c r="BO127">
        <v>180</v>
      </c>
      <c r="BP127">
        <v>150</v>
      </c>
      <c r="BQ127">
        <f>(I127+J127+N127+O127)/4</f>
        <v>6.0416666666666661</v>
      </c>
      <c r="BR127">
        <f>(K127+L127+M127)/3</f>
        <v>4.5777777777777784</v>
      </c>
      <c r="BS127">
        <f>BQ127/BR127</f>
        <v>1.3197815533980579</v>
      </c>
      <c r="BT127">
        <f>AQ127/I127</f>
        <v>60</v>
      </c>
      <c r="BU127" t="str">
        <f>IF(OR(A127=2, A127=12), "Central", IF(A127=3, "Semi-Central", "Periférica"))</f>
        <v>Periférica</v>
      </c>
    </row>
    <row r="128" spans="1:73" x14ac:dyDescent="0.3">
      <c r="A128" s="1">
        <v>5</v>
      </c>
      <c r="B128" s="1">
        <v>521</v>
      </c>
      <c r="C128" s="1" t="s">
        <v>372</v>
      </c>
      <c r="D128" t="s">
        <v>5</v>
      </c>
      <c r="E128" t="s">
        <v>0</v>
      </c>
      <c r="F128">
        <v>0</v>
      </c>
      <c r="G128">
        <v>0.66666666666666663</v>
      </c>
      <c r="H128">
        <v>8</v>
      </c>
      <c r="I128">
        <v>11.333333333333334</v>
      </c>
      <c r="J128">
        <v>6.666666666666667</v>
      </c>
      <c r="K128">
        <v>6.333333333333333</v>
      </c>
      <c r="L128">
        <v>6</v>
      </c>
      <c r="M128">
        <v>7.6</v>
      </c>
      <c r="N128">
        <v>9</v>
      </c>
      <c r="O128">
        <v>8</v>
      </c>
      <c r="P128">
        <v>4.666666666666667</v>
      </c>
      <c r="Q128">
        <v>2.5</v>
      </c>
      <c r="R128">
        <v>0</v>
      </c>
      <c r="S128">
        <v>0</v>
      </c>
      <c r="T128">
        <v>4</v>
      </c>
      <c r="U128">
        <v>5.2</v>
      </c>
      <c r="V128">
        <v>5</v>
      </c>
      <c r="W128">
        <v>4.666666666666667</v>
      </c>
      <c r="X128">
        <v>4.666666666666667</v>
      </c>
      <c r="Y128">
        <v>4</v>
      </c>
      <c r="Z128">
        <v>3</v>
      </c>
      <c r="AA128">
        <v>0</v>
      </c>
      <c r="AB128">
        <v>0</v>
      </c>
      <c r="AC128">
        <v>4.5</v>
      </c>
      <c r="AD128">
        <v>4.1818181818181817</v>
      </c>
      <c r="AE128">
        <v>4.5999999999999996</v>
      </c>
      <c r="AF128">
        <v>4.333333333333333</v>
      </c>
      <c r="AG128">
        <v>4</v>
      </c>
      <c r="AH128">
        <v>3</v>
      </c>
      <c r="AI128" s="1">
        <v>5</v>
      </c>
      <c r="AJ128" s="1">
        <v>521</v>
      </c>
      <c r="AK128" s="1" t="s">
        <v>372</v>
      </c>
      <c r="AL128" t="s">
        <v>5</v>
      </c>
      <c r="AM128" t="s">
        <v>0</v>
      </c>
      <c r="AN128">
        <v>0</v>
      </c>
      <c r="AO128">
        <v>54</v>
      </c>
      <c r="AP128">
        <v>648</v>
      </c>
      <c r="AQ128">
        <v>918</v>
      </c>
      <c r="AR128">
        <v>540</v>
      </c>
      <c r="AS128">
        <v>513</v>
      </c>
      <c r="AT128">
        <v>486</v>
      </c>
      <c r="AU128">
        <v>615.6</v>
      </c>
      <c r="AV128">
        <v>729</v>
      </c>
      <c r="AW128">
        <v>648</v>
      </c>
      <c r="AX128">
        <v>378</v>
      </c>
      <c r="AY128">
        <v>202.5</v>
      </c>
      <c r="AZ128">
        <v>0</v>
      </c>
      <c r="BA128">
        <v>0</v>
      </c>
      <c r="BB128">
        <v>324</v>
      </c>
      <c r="BC128">
        <v>421.2</v>
      </c>
      <c r="BD128">
        <v>405</v>
      </c>
      <c r="BE128">
        <v>378</v>
      </c>
      <c r="BF128">
        <v>378</v>
      </c>
      <c r="BG128">
        <v>324</v>
      </c>
      <c r="BH128">
        <v>243</v>
      </c>
      <c r="BI128">
        <v>0</v>
      </c>
      <c r="BJ128">
        <v>0</v>
      </c>
      <c r="BK128">
        <v>364.5</v>
      </c>
      <c r="BL128">
        <v>338.72727272727275</v>
      </c>
      <c r="BM128">
        <v>372.6</v>
      </c>
      <c r="BN128">
        <v>351</v>
      </c>
      <c r="BO128">
        <v>324</v>
      </c>
      <c r="BP128">
        <v>243</v>
      </c>
      <c r="BQ128">
        <f>(I128+J128+N128+O128)/4</f>
        <v>8.75</v>
      </c>
      <c r="BR128">
        <f>(K128+L128+M128)/3</f>
        <v>6.644444444444443</v>
      </c>
      <c r="BS128">
        <f>BQ128/BR128</f>
        <v>1.3168896321070236</v>
      </c>
      <c r="BT128">
        <f>AQ128/I128</f>
        <v>81</v>
      </c>
      <c r="BU128" t="str">
        <f>IF(OR(A128=2, A128=12), "Central", IF(A128=3, "Semi-Central", "Periférica"))</f>
        <v>Periférica</v>
      </c>
    </row>
    <row r="129" spans="1:73" x14ac:dyDescent="0.3">
      <c r="A129" s="1">
        <v>15</v>
      </c>
      <c r="B129" s="1">
        <v>1539</v>
      </c>
      <c r="C129" s="1" t="s">
        <v>369</v>
      </c>
      <c r="D129" t="s">
        <v>5</v>
      </c>
      <c r="E129" t="s">
        <v>0</v>
      </c>
      <c r="F129">
        <v>0</v>
      </c>
      <c r="G129">
        <v>0</v>
      </c>
      <c r="H129">
        <v>6</v>
      </c>
      <c r="I129">
        <v>10</v>
      </c>
      <c r="J129">
        <v>6</v>
      </c>
      <c r="K129">
        <v>4.666666666666667</v>
      </c>
      <c r="L129">
        <v>6</v>
      </c>
      <c r="M129">
        <v>5.6</v>
      </c>
      <c r="N129">
        <v>5</v>
      </c>
      <c r="O129">
        <v>7.5</v>
      </c>
      <c r="P129">
        <v>5.333333333333333</v>
      </c>
      <c r="Q129">
        <v>3.5</v>
      </c>
      <c r="R129">
        <v>0</v>
      </c>
      <c r="S129">
        <v>0</v>
      </c>
      <c r="T129">
        <v>3</v>
      </c>
      <c r="U129">
        <v>4</v>
      </c>
      <c r="V129">
        <v>4</v>
      </c>
      <c r="W129">
        <v>4.333333333333333</v>
      </c>
      <c r="X129">
        <v>4</v>
      </c>
      <c r="Y129">
        <v>3.2</v>
      </c>
      <c r="Z129">
        <v>2.5</v>
      </c>
      <c r="AA129">
        <v>0</v>
      </c>
      <c r="AB129">
        <v>0</v>
      </c>
      <c r="AC129">
        <v>2.5</v>
      </c>
      <c r="AD129">
        <v>4.1818181818181817</v>
      </c>
      <c r="AE129">
        <v>4.2</v>
      </c>
      <c r="AF129">
        <v>4</v>
      </c>
      <c r="AG129">
        <v>3</v>
      </c>
      <c r="AH129">
        <v>2.5</v>
      </c>
      <c r="AI129" s="1">
        <v>15</v>
      </c>
      <c r="AJ129" s="1">
        <v>1539</v>
      </c>
      <c r="AK129" s="1" t="s">
        <v>369</v>
      </c>
      <c r="AL129" t="s">
        <v>5</v>
      </c>
      <c r="AM129" t="s">
        <v>0</v>
      </c>
      <c r="AN129">
        <v>0</v>
      </c>
      <c r="AO129">
        <v>0</v>
      </c>
      <c r="AP129">
        <v>540</v>
      </c>
      <c r="AQ129">
        <v>900</v>
      </c>
      <c r="AR129">
        <v>540</v>
      </c>
      <c r="AS129">
        <v>420</v>
      </c>
      <c r="AT129">
        <v>540</v>
      </c>
      <c r="AU129">
        <v>504</v>
      </c>
      <c r="AV129">
        <v>450</v>
      </c>
      <c r="AW129">
        <v>675</v>
      </c>
      <c r="AX129">
        <v>480</v>
      </c>
      <c r="AY129">
        <v>315</v>
      </c>
      <c r="AZ129">
        <v>0</v>
      </c>
      <c r="BA129">
        <v>0</v>
      </c>
      <c r="BB129">
        <v>270</v>
      </c>
      <c r="BC129">
        <v>360</v>
      </c>
      <c r="BD129">
        <v>360</v>
      </c>
      <c r="BE129">
        <v>390</v>
      </c>
      <c r="BF129">
        <v>360</v>
      </c>
      <c r="BG129">
        <v>288</v>
      </c>
      <c r="BH129">
        <v>225</v>
      </c>
      <c r="BI129">
        <v>0</v>
      </c>
      <c r="BJ129">
        <v>0</v>
      </c>
      <c r="BK129">
        <v>225</v>
      </c>
      <c r="BL129">
        <v>376.36363636363637</v>
      </c>
      <c r="BM129">
        <v>378</v>
      </c>
      <c r="BN129">
        <v>360</v>
      </c>
      <c r="BO129">
        <v>270</v>
      </c>
      <c r="BP129">
        <v>225</v>
      </c>
      <c r="BQ129">
        <f>(I129+J129+N129+O129)/4</f>
        <v>7.125</v>
      </c>
      <c r="BR129">
        <f>(K129+L129+M129)/3</f>
        <v>5.4222222222222216</v>
      </c>
      <c r="BS129">
        <f>BQ129/BR129</f>
        <v>1.3140368852459019</v>
      </c>
      <c r="BT129">
        <f>AQ129/I129</f>
        <v>90</v>
      </c>
      <c r="BU129" t="str">
        <f>IF(OR(A129=2, A129=12), "Central", IF(A129=3, "Semi-Central", "Periférica"))</f>
        <v>Periférica</v>
      </c>
    </row>
    <row r="130" spans="1:73" x14ac:dyDescent="0.3">
      <c r="A130" s="1">
        <v>5</v>
      </c>
      <c r="B130" s="1">
        <v>507</v>
      </c>
      <c r="C130" s="1">
        <v>507</v>
      </c>
      <c r="D130" t="s">
        <v>5</v>
      </c>
      <c r="E130" t="s">
        <v>0</v>
      </c>
      <c r="F130">
        <v>2</v>
      </c>
      <c r="G130">
        <v>0</v>
      </c>
      <c r="H130">
        <v>7</v>
      </c>
      <c r="I130">
        <v>10.666666666666666</v>
      </c>
      <c r="J130">
        <v>6.666666666666667</v>
      </c>
      <c r="K130">
        <v>6</v>
      </c>
      <c r="L130">
        <v>6</v>
      </c>
      <c r="M130">
        <v>7.6</v>
      </c>
      <c r="N130">
        <v>9.5</v>
      </c>
      <c r="O130">
        <v>7.5</v>
      </c>
      <c r="P130">
        <v>4</v>
      </c>
      <c r="Q130">
        <v>3</v>
      </c>
      <c r="R130">
        <v>2</v>
      </c>
      <c r="S130">
        <v>0</v>
      </c>
      <c r="T130">
        <v>3</v>
      </c>
      <c r="U130">
        <v>5.2</v>
      </c>
      <c r="V130">
        <v>4.666666666666667</v>
      </c>
      <c r="W130">
        <v>5</v>
      </c>
      <c r="X130">
        <v>4.666666666666667</v>
      </c>
      <c r="Y130">
        <v>4</v>
      </c>
      <c r="Z130">
        <v>3</v>
      </c>
      <c r="AA130">
        <v>2</v>
      </c>
      <c r="AB130">
        <v>0</v>
      </c>
      <c r="AC130">
        <v>3.5</v>
      </c>
      <c r="AD130">
        <v>3.6363636363636362</v>
      </c>
      <c r="AE130">
        <v>3.8</v>
      </c>
      <c r="AF130">
        <v>4</v>
      </c>
      <c r="AG130">
        <v>4</v>
      </c>
      <c r="AH130">
        <v>3</v>
      </c>
      <c r="AI130" s="1">
        <v>5</v>
      </c>
      <c r="AJ130" s="1">
        <v>507</v>
      </c>
      <c r="AK130" s="1">
        <v>507</v>
      </c>
      <c r="AL130" t="s">
        <v>5</v>
      </c>
      <c r="AM130" t="s">
        <v>0</v>
      </c>
      <c r="AN130">
        <v>162</v>
      </c>
      <c r="AO130">
        <v>0</v>
      </c>
      <c r="AP130">
        <v>567</v>
      </c>
      <c r="AQ130">
        <v>864</v>
      </c>
      <c r="AR130">
        <v>540</v>
      </c>
      <c r="AS130">
        <v>486</v>
      </c>
      <c r="AT130">
        <v>486</v>
      </c>
      <c r="AU130">
        <v>615.6</v>
      </c>
      <c r="AV130">
        <v>769.5</v>
      </c>
      <c r="AW130">
        <v>607.5</v>
      </c>
      <c r="AX130">
        <v>324</v>
      </c>
      <c r="AY130">
        <v>243</v>
      </c>
      <c r="AZ130">
        <v>162</v>
      </c>
      <c r="BA130">
        <v>0</v>
      </c>
      <c r="BB130">
        <v>243</v>
      </c>
      <c r="BC130">
        <v>421.2</v>
      </c>
      <c r="BD130">
        <v>378</v>
      </c>
      <c r="BE130">
        <v>405</v>
      </c>
      <c r="BF130">
        <v>378</v>
      </c>
      <c r="BG130">
        <v>324</v>
      </c>
      <c r="BH130">
        <v>243</v>
      </c>
      <c r="BI130">
        <v>162</v>
      </c>
      <c r="BJ130">
        <v>0</v>
      </c>
      <c r="BK130">
        <v>283.5</v>
      </c>
      <c r="BL130">
        <v>294.54545454545456</v>
      </c>
      <c r="BM130">
        <v>307.8</v>
      </c>
      <c r="BN130">
        <v>324</v>
      </c>
      <c r="BO130">
        <v>324</v>
      </c>
      <c r="BP130">
        <v>243</v>
      </c>
      <c r="BQ130">
        <f>(I130+J130+N130+O130)/4</f>
        <v>8.5833333333333321</v>
      </c>
      <c r="BR130">
        <f>(K130+L130+M130)/3</f>
        <v>6.5333333333333341</v>
      </c>
      <c r="BS130">
        <f>BQ130/BR130</f>
        <v>1.3137755102040813</v>
      </c>
      <c r="BT130">
        <f>AQ130/I130</f>
        <v>81</v>
      </c>
      <c r="BU130" t="str">
        <f>IF(OR(A130=2, A130=12), "Central", IF(A130=3, "Semi-Central", "Periférica"))</f>
        <v>Periférica</v>
      </c>
    </row>
    <row r="131" spans="1:73" x14ac:dyDescent="0.3">
      <c r="A131" s="1">
        <v>8</v>
      </c>
      <c r="B131" s="1">
        <v>816</v>
      </c>
      <c r="C131" s="1" t="s">
        <v>348</v>
      </c>
      <c r="D131" t="s">
        <v>1</v>
      </c>
      <c r="F131">
        <v>0</v>
      </c>
      <c r="G131">
        <v>0</v>
      </c>
      <c r="H131">
        <v>5</v>
      </c>
      <c r="I131">
        <v>9.3333333333333339</v>
      </c>
      <c r="J131">
        <v>6.666666666666667</v>
      </c>
      <c r="K131">
        <v>5.666666666666667</v>
      </c>
      <c r="L131">
        <v>4.666666666666667</v>
      </c>
      <c r="M131">
        <v>6</v>
      </c>
      <c r="N131">
        <v>6.5</v>
      </c>
      <c r="O131">
        <v>6</v>
      </c>
      <c r="P131">
        <v>6</v>
      </c>
      <c r="Q131">
        <v>3</v>
      </c>
      <c r="R131">
        <v>0</v>
      </c>
      <c r="S131">
        <v>0</v>
      </c>
      <c r="T131">
        <v>2</v>
      </c>
      <c r="U131">
        <v>4.4000000000000004</v>
      </c>
      <c r="V131">
        <v>4.666666666666667</v>
      </c>
      <c r="W131">
        <v>4</v>
      </c>
      <c r="X131">
        <v>3.7777777777777781</v>
      </c>
      <c r="Y131">
        <v>2.8</v>
      </c>
      <c r="Z131">
        <v>3</v>
      </c>
      <c r="AA131">
        <v>0</v>
      </c>
      <c r="AB131">
        <v>0</v>
      </c>
      <c r="AC131">
        <v>2.5</v>
      </c>
      <c r="AD131">
        <v>3.0909090909090908</v>
      </c>
      <c r="AE131">
        <v>3</v>
      </c>
      <c r="AF131">
        <v>3</v>
      </c>
      <c r="AG131">
        <v>3</v>
      </c>
      <c r="AH131">
        <v>2.5</v>
      </c>
      <c r="AI131" s="1">
        <v>8</v>
      </c>
      <c r="AJ131" s="1">
        <v>816</v>
      </c>
      <c r="AK131" s="1" t="s">
        <v>348</v>
      </c>
      <c r="AL131" t="s">
        <v>1</v>
      </c>
      <c r="AN131">
        <v>0</v>
      </c>
      <c r="AO131">
        <v>0</v>
      </c>
      <c r="AP131">
        <v>450</v>
      </c>
      <c r="AQ131">
        <v>840</v>
      </c>
      <c r="AR131">
        <v>600</v>
      </c>
      <c r="AS131">
        <v>510</v>
      </c>
      <c r="AT131">
        <v>420</v>
      </c>
      <c r="AU131">
        <v>540</v>
      </c>
      <c r="AV131">
        <v>585</v>
      </c>
      <c r="AW131">
        <v>540</v>
      </c>
      <c r="AX131">
        <v>540</v>
      </c>
      <c r="AY131">
        <v>270</v>
      </c>
      <c r="AZ131">
        <v>0</v>
      </c>
      <c r="BA131">
        <v>0</v>
      </c>
      <c r="BB131">
        <v>180</v>
      </c>
      <c r="BC131">
        <v>396</v>
      </c>
      <c r="BD131">
        <v>420</v>
      </c>
      <c r="BE131">
        <v>360</v>
      </c>
      <c r="BF131">
        <v>340</v>
      </c>
      <c r="BG131">
        <v>252</v>
      </c>
      <c r="BH131">
        <v>270</v>
      </c>
      <c r="BI131">
        <v>0</v>
      </c>
      <c r="BJ131">
        <v>0</v>
      </c>
      <c r="BK131">
        <v>225</v>
      </c>
      <c r="BL131">
        <v>278.18181818181819</v>
      </c>
      <c r="BM131">
        <v>270</v>
      </c>
      <c r="BN131">
        <v>270</v>
      </c>
      <c r="BO131">
        <v>270</v>
      </c>
      <c r="BP131">
        <v>225</v>
      </c>
      <c r="BQ131">
        <f>(I131+J131+N131+O131)/4</f>
        <v>7.125</v>
      </c>
      <c r="BR131">
        <f>(K131+L131+M131)/3</f>
        <v>5.4444444444444455</v>
      </c>
      <c r="BS131">
        <f>BQ131/BR131</f>
        <v>1.3086734693877549</v>
      </c>
      <c r="BT131">
        <f>AQ131/I131</f>
        <v>90</v>
      </c>
      <c r="BU131" t="str">
        <f>IF(OR(A131=2, A131=12), "Central", IF(A131=3, "Semi-Central", "Periférica"))</f>
        <v>Periférica</v>
      </c>
    </row>
    <row r="132" spans="1:73" x14ac:dyDescent="0.3">
      <c r="A132" s="1">
        <v>3</v>
      </c>
      <c r="B132" s="1">
        <v>308</v>
      </c>
      <c r="C132" s="1">
        <v>308</v>
      </c>
      <c r="D132" t="s">
        <v>5</v>
      </c>
      <c r="E132" t="s">
        <v>0</v>
      </c>
      <c r="F132">
        <v>0</v>
      </c>
      <c r="G132">
        <v>0.66666666666666663</v>
      </c>
      <c r="H132">
        <v>8</v>
      </c>
      <c r="I132">
        <v>8</v>
      </c>
      <c r="J132">
        <v>8</v>
      </c>
      <c r="K132">
        <v>6</v>
      </c>
      <c r="L132">
        <v>5.333333333333333</v>
      </c>
      <c r="M132">
        <v>5.6</v>
      </c>
      <c r="N132">
        <v>8</v>
      </c>
      <c r="O132">
        <v>5.5</v>
      </c>
      <c r="P132">
        <v>4.666666666666667</v>
      </c>
      <c r="Q132">
        <v>3.5</v>
      </c>
      <c r="R132">
        <v>0</v>
      </c>
      <c r="S132">
        <v>0</v>
      </c>
      <c r="T132">
        <v>4</v>
      </c>
      <c r="U132">
        <v>4.4000000000000004</v>
      </c>
      <c r="V132">
        <v>4.666666666666667</v>
      </c>
      <c r="W132">
        <v>4.666666666666667</v>
      </c>
      <c r="X132">
        <v>4.666666666666667</v>
      </c>
      <c r="Y132">
        <v>4</v>
      </c>
      <c r="Z132">
        <v>3.5</v>
      </c>
      <c r="AA132">
        <v>0</v>
      </c>
      <c r="AB132">
        <v>0</v>
      </c>
      <c r="AC132">
        <v>4.5</v>
      </c>
      <c r="AD132">
        <v>4</v>
      </c>
      <c r="AE132">
        <v>4</v>
      </c>
      <c r="AF132">
        <v>4</v>
      </c>
      <c r="AG132">
        <v>3</v>
      </c>
      <c r="AH132">
        <v>2.5</v>
      </c>
      <c r="AI132" s="1">
        <v>3</v>
      </c>
      <c r="AJ132" s="1">
        <v>308</v>
      </c>
      <c r="AK132" s="1">
        <v>308</v>
      </c>
      <c r="AL132" t="s">
        <v>5</v>
      </c>
      <c r="AM132" t="s">
        <v>0</v>
      </c>
      <c r="AN132">
        <v>0</v>
      </c>
      <c r="AO132">
        <v>62</v>
      </c>
      <c r="AP132">
        <v>744</v>
      </c>
      <c r="AQ132">
        <v>744</v>
      </c>
      <c r="AR132">
        <v>744</v>
      </c>
      <c r="AS132">
        <v>558</v>
      </c>
      <c r="AT132">
        <v>496</v>
      </c>
      <c r="AU132">
        <v>520.79999999999995</v>
      </c>
      <c r="AV132">
        <v>744</v>
      </c>
      <c r="AW132">
        <v>511.5</v>
      </c>
      <c r="AX132">
        <v>434</v>
      </c>
      <c r="AY132">
        <v>325.5</v>
      </c>
      <c r="AZ132">
        <v>0</v>
      </c>
      <c r="BA132">
        <v>0</v>
      </c>
      <c r="BB132">
        <v>372</v>
      </c>
      <c r="BC132">
        <v>409.2</v>
      </c>
      <c r="BD132">
        <v>434</v>
      </c>
      <c r="BE132">
        <v>434</v>
      </c>
      <c r="BF132">
        <v>434</v>
      </c>
      <c r="BG132">
        <v>372</v>
      </c>
      <c r="BH132">
        <v>325.5</v>
      </c>
      <c r="BI132">
        <v>0</v>
      </c>
      <c r="BJ132">
        <v>0</v>
      </c>
      <c r="BK132">
        <v>418.5</v>
      </c>
      <c r="BL132">
        <v>372</v>
      </c>
      <c r="BM132">
        <v>372</v>
      </c>
      <c r="BN132">
        <v>372</v>
      </c>
      <c r="BO132">
        <v>279</v>
      </c>
      <c r="BP132">
        <v>232.5</v>
      </c>
      <c r="BQ132">
        <f>(I132+J132+N132+O132)/4</f>
        <v>7.375</v>
      </c>
      <c r="BR132">
        <f>(K132+L132+M132)/3</f>
        <v>5.644444444444443</v>
      </c>
      <c r="BS132">
        <f>BQ132/BR132</f>
        <v>1.3065944881889766</v>
      </c>
      <c r="BT132">
        <f>AQ132/I132</f>
        <v>93</v>
      </c>
      <c r="BU132" t="str">
        <f>IF(OR(A132=2, A132=12), "Central", IF(A132=3, "Semi-Central", "Periférica"))</f>
        <v>Semi-Central</v>
      </c>
    </row>
    <row r="133" spans="1:73" x14ac:dyDescent="0.3">
      <c r="A133" s="1">
        <v>5</v>
      </c>
      <c r="B133" s="1">
        <v>555</v>
      </c>
      <c r="C133" s="1">
        <v>555</v>
      </c>
      <c r="D133" t="s">
        <v>5</v>
      </c>
      <c r="E133" t="s">
        <v>0</v>
      </c>
      <c r="F133">
        <v>0</v>
      </c>
      <c r="G133">
        <v>0</v>
      </c>
      <c r="H133">
        <v>2</v>
      </c>
      <c r="I133">
        <v>6.666666666666667</v>
      </c>
      <c r="J133">
        <v>6</v>
      </c>
      <c r="K133">
        <v>5</v>
      </c>
      <c r="L133">
        <v>4.666666666666667</v>
      </c>
      <c r="M133">
        <v>4.8</v>
      </c>
      <c r="N133">
        <v>6</v>
      </c>
      <c r="O133">
        <v>6.5</v>
      </c>
      <c r="P133">
        <v>5.333333333333333</v>
      </c>
      <c r="Q133">
        <v>2</v>
      </c>
      <c r="R133">
        <v>0</v>
      </c>
      <c r="S133">
        <v>0</v>
      </c>
      <c r="T133">
        <v>0</v>
      </c>
      <c r="U133">
        <v>4.8</v>
      </c>
      <c r="V133">
        <v>5</v>
      </c>
      <c r="W133">
        <v>5</v>
      </c>
      <c r="X133">
        <v>4.8888888888888893</v>
      </c>
      <c r="Y133">
        <v>5.2</v>
      </c>
      <c r="Z133">
        <v>1.5</v>
      </c>
      <c r="AA133">
        <v>0</v>
      </c>
      <c r="AB133">
        <v>0</v>
      </c>
      <c r="AC133">
        <v>0</v>
      </c>
      <c r="AD133">
        <v>4.7272727272727275</v>
      </c>
      <c r="AE133">
        <v>4.8</v>
      </c>
      <c r="AF133">
        <v>4.666666666666667</v>
      </c>
      <c r="AG133">
        <v>5</v>
      </c>
      <c r="AH133">
        <v>1.5</v>
      </c>
      <c r="AI133" s="1">
        <v>5</v>
      </c>
      <c r="AJ133" s="1">
        <v>555</v>
      </c>
      <c r="AK133" s="1">
        <v>555</v>
      </c>
      <c r="AL133" t="s">
        <v>5</v>
      </c>
      <c r="AM133" t="s">
        <v>0</v>
      </c>
      <c r="AN133">
        <v>0</v>
      </c>
      <c r="AO133">
        <v>0</v>
      </c>
      <c r="AP133">
        <v>222</v>
      </c>
      <c r="AQ133">
        <v>740</v>
      </c>
      <c r="AR133">
        <v>666</v>
      </c>
      <c r="AS133">
        <v>555</v>
      </c>
      <c r="AT133">
        <v>518</v>
      </c>
      <c r="AU133">
        <v>532.79999999999995</v>
      </c>
      <c r="AV133">
        <v>666</v>
      </c>
      <c r="AW133">
        <v>721.5</v>
      </c>
      <c r="AX133">
        <v>592</v>
      </c>
      <c r="AY133">
        <v>222</v>
      </c>
      <c r="AZ133">
        <v>0</v>
      </c>
      <c r="BA133">
        <v>0</v>
      </c>
      <c r="BB133">
        <v>0</v>
      </c>
      <c r="BC133">
        <v>532.79999999999995</v>
      </c>
      <c r="BD133">
        <v>555</v>
      </c>
      <c r="BE133">
        <v>555</v>
      </c>
      <c r="BF133">
        <v>542.66666666666663</v>
      </c>
      <c r="BG133">
        <v>577.20000000000005</v>
      </c>
      <c r="BH133">
        <v>166.5</v>
      </c>
      <c r="BI133">
        <v>0</v>
      </c>
      <c r="BJ133">
        <v>0</v>
      </c>
      <c r="BK133">
        <v>0</v>
      </c>
      <c r="BL133">
        <v>524.72727272727275</v>
      </c>
      <c r="BM133">
        <v>532.79999999999995</v>
      </c>
      <c r="BN133">
        <v>518</v>
      </c>
      <c r="BO133">
        <v>555</v>
      </c>
      <c r="BP133">
        <v>166.5</v>
      </c>
      <c r="BQ133">
        <f>(I133+J133+N133+O133)/4</f>
        <v>6.291666666666667</v>
      </c>
      <c r="BR133">
        <f>(K133+L133+M133)/3</f>
        <v>4.8222222222222229</v>
      </c>
      <c r="BS133">
        <f>BQ133/BR133</f>
        <v>1.3047235023041475</v>
      </c>
      <c r="BT133">
        <f>AQ133/I133</f>
        <v>111</v>
      </c>
      <c r="BU133" t="str">
        <f>IF(OR(A133=2, A133=12), "Central", IF(A133=3, "Semi-Central", "Periférica"))</f>
        <v>Periférica</v>
      </c>
    </row>
    <row r="134" spans="1:73" x14ac:dyDescent="0.3">
      <c r="A134" s="1">
        <v>16</v>
      </c>
      <c r="B134" s="1">
        <v>1634</v>
      </c>
      <c r="C134" s="1">
        <v>234</v>
      </c>
      <c r="D134" t="s">
        <v>1</v>
      </c>
      <c r="F134">
        <v>0</v>
      </c>
      <c r="G134">
        <v>0.66666666666666663</v>
      </c>
      <c r="H134">
        <v>5</v>
      </c>
      <c r="I134">
        <v>6.666666666666667</v>
      </c>
      <c r="J134">
        <v>5.333333333333333</v>
      </c>
      <c r="K134">
        <v>4.666666666666667</v>
      </c>
      <c r="L134">
        <v>4</v>
      </c>
      <c r="M134">
        <v>4</v>
      </c>
      <c r="N134">
        <v>5</v>
      </c>
      <c r="O134">
        <v>5</v>
      </c>
      <c r="P134">
        <v>4</v>
      </c>
      <c r="Q134">
        <v>3.5</v>
      </c>
      <c r="R134">
        <v>0</v>
      </c>
      <c r="S134">
        <v>0</v>
      </c>
      <c r="T134">
        <v>4</v>
      </c>
      <c r="U134">
        <v>4</v>
      </c>
      <c r="V134">
        <v>4</v>
      </c>
      <c r="W134">
        <v>4</v>
      </c>
      <c r="X134">
        <v>4</v>
      </c>
      <c r="Y134">
        <v>4</v>
      </c>
      <c r="Z134">
        <v>3.5</v>
      </c>
      <c r="AA134">
        <v>0</v>
      </c>
      <c r="AB134">
        <v>0</v>
      </c>
      <c r="AC134">
        <v>3</v>
      </c>
      <c r="AD134">
        <v>3.0909090909090908</v>
      </c>
      <c r="AE134">
        <v>3</v>
      </c>
      <c r="AF134">
        <v>3</v>
      </c>
      <c r="AG134">
        <v>3</v>
      </c>
      <c r="AH134">
        <v>2.5</v>
      </c>
      <c r="AI134" s="1">
        <v>16</v>
      </c>
      <c r="AJ134" s="1">
        <v>1634</v>
      </c>
      <c r="AK134" s="1">
        <v>234</v>
      </c>
      <c r="AL134" t="s">
        <v>1</v>
      </c>
      <c r="AN134">
        <v>0</v>
      </c>
      <c r="AO134">
        <v>100</v>
      </c>
      <c r="AP134">
        <v>750</v>
      </c>
      <c r="AQ134">
        <v>1000</v>
      </c>
      <c r="AR134">
        <v>800</v>
      </c>
      <c r="AS134">
        <v>700</v>
      </c>
      <c r="AT134">
        <v>600</v>
      </c>
      <c r="AU134">
        <v>600</v>
      </c>
      <c r="AV134">
        <v>750</v>
      </c>
      <c r="AW134">
        <v>750</v>
      </c>
      <c r="AX134">
        <v>600</v>
      </c>
      <c r="AY134">
        <v>525</v>
      </c>
      <c r="AZ134">
        <v>0</v>
      </c>
      <c r="BA134">
        <v>0</v>
      </c>
      <c r="BB134">
        <v>600</v>
      </c>
      <c r="BC134">
        <v>600</v>
      </c>
      <c r="BD134">
        <v>600</v>
      </c>
      <c r="BE134">
        <v>600</v>
      </c>
      <c r="BF134">
        <v>600</v>
      </c>
      <c r="BG134">
        <v>600</v>
      </c>
      <c r="BH134">
        <v>525</v>
      </c>
      <c r="BI134">
        <v>0</v>
      </c>
      <c r="BJ134">
        <v>0</v>
      </c>
      <c r="BK134">
        <v>450</v>
      </c>
      <c r="BL134">
        <v>463.63636363636363</v>
      </c>
      <c r="BM134">
        <v>450</v>
      </c>
      <c r="BN134">
        <v>450</v>
      </c>
      <c r="BO134">
        <v>450</v>
      </c>
      <c r="BP134">
        <v>375</v>
      </c>
      <c r="BQ134">
        <f>(I134+J134+N134+O134)/4</f>
        <v>5.5</v>
      </c>
      <c r="BR134">
        <f>(K134+L134+M134)/3</f>
        <v>4.2222222222222223</v>
      </c>
      <c r="BS134">
        <f>BQ134/BR134</f>
        <v>1.3026315789473684</v>
      </c>
      <c r="BT134">
        <f>AQ134/I134</f>
        <v>150</v>
      </c>
      <c r="BU134" t="str">
        <f>IF(OR(A134=2, A134=12), "Central", IF(A134=3, "Semi-Central", "Periférica"))</f>
        <v>Periférica</v>
      </c>
    </row>
    <row r="135" spans="1:73" x14ac:dyDescent="0.3">
      <c r="A135" s="1">
        <v>13</v>
      </c>
      <c r="B135" s="1">
        <v>1328</v>
      </c>
      <c r="C135" s="1">
        <v>428</v>
      </c>
      <c r="D135" t="s">
        <v>5</v>
      </c>
      <c r="F135">
        <v>2</v>
      </c>
      <c r="G135">
        <v>1.1111111111111109</v>
      </c>
      <c r="H135">
        <v>6</v>
      </c>
      <c r="I135">
        <v>8.6666666666666661</v>
      </c>
      <c r="J135">
        <v>6.666666666666667</v>
      </c>
      <c r="K135">
        <v>6</v>
      </c>
      <c r="L135">
        <v>6</v>
      </c>
      <c r="M135">
        <v>6.4</v>
      </c>
      <c r="N135">
        <v>9.5</v>
      </c>
      <c r="O135">
        <v>7</v>
      </c>
      <c r="P135">
        <v>5.333333333333333</v>
      </c>
      <c r="Q135">
        <v>4</v>
      </c>
      <c r="R135">
        <v>2</v>
      </c>
      <c r="S135">
        <v>0.66666666666666663</v>
      </c>
      <c r="T135">
        <v>6</v>
      </c>
      <c r="U135">
        <v>7.2</v>
      </c>
      <c r="V135">
        <v>6.333333333333333</v>
      </c>
      <c r="W135">
        <v>7.333333333333333</v>
      </c>
      <c r="X135">
        <v>6</v>
      </c>
      <c r="Y135">
        <v>6</v>
      </c>
      <c r="Z135">
        <v>4</v>
      </c>
      <c r="AA135">
        <v>2</v>
      </c>
      <c r="AB135">
        <v>0.66666666666666663</v>
      </c>
      <c r="AC135">
        <v>4.5</v>
      </c>
      <c r="AD135">
        <v>5.0909090909090908</v>
      </c>
      <c r="AE135">
        <v>4.8</v>
      </c>
      <c r="AF135">
        <v>5.333333333333333</v>
      </c>
      <c r="AG135">
        <v>5</v>
      </c>
      <c r="AH135">
        <v>3.5</v>
      </c>
      <c r="AI135" s="1">
        <v>13</v>
      </c>
      <c r="AJ135" s="1">
        <v>1328</v>
      </c>
      <c r="AK135" s="1">
        <v>428</v>
      </c>
      <c r="AL135" t="s">
        <v>5</v>
      </c>
      <c r="AN135">
        <v>180</v>
      </c>
      <c r="AO135">
        <v>100</v>
      </c>
      <c r="AP135">
        <v>540</v>
      </c>
      <c r="AQ135">
        <v>780</v>
      </c>
      <c r="AR135">
        <v>600</v>
      </c>
      <c r="AS135">
        <v>540</v>
      </c>
      <c r="AT135">
        <v>540</v>
      </c>
      <c r="AU135">
        <v>576</v>
      </c>
      <c r="AV135">
        <v>855</v>
      </c>
      <c r="AW135">
        <v>630</v>
      </c>
      <c r="AX135">
        <v>480</v>
      </c>
      <c r="AY135">
        <v>360</v>
      </c>
      <c r="AZ135">
        <v>180</v>
      </c>
      <c r="BA135">
        <v>60</v>
      </c>
      <c r="BB135">
        <v>540</v>
      </c>
      <c r="BC135">
        <v>648</v>
      </c>
      <c r="BD135">
        <v>570</v>
      </c>
      <c r="BE135">
        <v>660</v>
      </c>
      <c r="BF135">
        <v>540</v>
      </c>
      <c r="BG135">
        <v>540</v>
      </c>
      <c r="BH135">
        <v>360</v>
      </c>
      <c r="BI135">
        <v>180</v>
      </c>
      <c r="BJ135">
        <v>60</v>
      </c>
      <c r="BK135">
        <v>405</v>
      </c>
      <c r="BL135">
        <v>458.18181818181819</v>
      </c>
      <c r="BM135">
        <v>432</v>
      </c>
      <c r="BN135">
        <v>480</v>
      </c>
      <c r="BO135">
        <v>450</v>
      </c>
      <c r="BP135">
        <v>315</v>
      </c>
      <c r="BQ135">
        <f>(I135+J135+N135+O135)/4</f>
        <v>7.958333333333333</v>
      </c>
      <c r="BR135">
        <f>(K135+L135+M135)/3</f>
        <v>6.1333333333333329</v>
      </c>
      <c r="BS135">
        <f>BQ135/BR135</f>
        <v>1.2975543478260869</v>
      </c>
      <c r="BT135">
        <f>AQ135/I135</f>
        <v>90</v>
      </c>
      <c r="BU135" t="str">
        <f>IF(OR(A135=2, A135=12), "Central", IF(A135=3, "Semi-Central", "Periférica"))</f>
        <v>Periférica</v>
      </c>
    </row>
    <row r="136" spans="1:73" x14ac:dyDescent="0.3">
      <c r="A136" s="1">
        <v>12</v>
      </c>
      <c r="B136" s="1">
        <v>1226</v>
      </c>
      <c r="C136" s="1" t="s">
        <v>80</v>
      </c>
      <c r="D136" t="s">
        <v>5</v>
      </c>
      <c r="F136">
        <v>0</v>
      </c>
      <c r="G136">
        <v>0.44444444444444442</v>
      </c>
      <c r="H136">
        <v>3</v>
      </c>
      <c r="I136">
        <v>4</v>
      </c>
      <c r="J136">
        <v>3.333333333333333</v>
      </c>
      <c r="K136">
        <v>3</v>
      </c>
      <c r="L136">
        <v>2.666666666666667</v>
      </c>
      <c r="M136">
        <v>3.2</v>
      </c>
      <c r="N136">
        <v>4</v>
      </c>
      <c r="O136">
        <v>4</v>
      </c>
      <c r="P136">
        <v>3.333333333333333</v>
      </c>
      <c r="Q136">
        <v>2.5</v>
      </c>
      <c r="R136">
        <v>0</v>
      </c>
      <c r="S136">
        <v>0.44444444444444442</v>
      </c>
      <c r="T136">
        <v>3</v>
      </c>
      <c r="U136">
        <v>3.2</v>
      </c>
      <c r="V136">
        <v>3</v>
      </c>
      <c r="W136">
        <v>3</v>
      </c>
      <c r="X136">
        <v>2.8888888888888888</v>
      </c>
      <c r="Y136">
        <v>3.2</v>
      </c>
      <c r="Z136">
        <v>2.5</v>
      </c>
      <c r="AA136">
        <v>0</v>
      </c>
      <c r="AB136">
        <v>0.44444444444444442</v>
      </c>
      <c r="AC136">
        <v>3</v>
      </c>
      <c r="AD136">
        <v>3.0909090909090908</v>
      </c>
      <c r="AE136">
        <v>3</v>
      </c>
      <c r="AF136">
        <v>3</v>
      </c>
      <c r="AG136">
        <v>3</v>
      </c>
      <c r="AH136">
        <v>2.5</v>
      </c>
      <c r="AI136" s="1">
        <v>12</v>
      </c>
      <c r="AJ136" s="1">
        <v>1226</v>
      </c>
      <c r="AK136" s="1" t="s">
        <v>80</v>
      </c>
      <c r="AL136" t="s">
        <v>5</v>
      </c>
      <c r="AN136">
        <v>0</v>
      </c>
      <c r="AO136">
        <v>40</v>
      </c>
      <c r="AP136">
        <v>270</v>
      </c>
      <c r="AQ136">
        <v>360</v>
      </c>
      <c r="AR136">
        <v>300</v>
      </c>
      <c r="AS136">
        <v>270</v>
      </c>
      <c r="AT136">
        <v>240</v>
      </c>
      <c r="AU136">
        <v>288</v>
      </c>
      <c r="AV136">
        <v>360</v>
      </c>
      <c r="AW136">
        <v>360</v>
      </c>
      <c r="AX136">
        <v>300</v>
      </c>
      <c r="AY136">
        <v>225</v>
      </c>
      <c r="AZ136">
        <v>0</v>
      </c>
      <c r="BA136">
        <v>40</v>
      </c>
      <c r="BB136">
        <v>270</v>
      </c>
      <c r="BC136">
        <v>288</v>
      </c>
      <c r="BD136">
        <v>270</v>
      </c>
      <c r="BE136">
        <v>270</v>
      </c>
      <c r="BF136">
        <v>260</v>
      </c>
      <c r="BG136">
        <v>288</v>
      </c>
      <c r="BH136">
        <v>225</v>
      </c>
      <c r="BI136">
        <v>0</v>
      </c>
      <c r="BJ136">
        <v>40</v>
      </c>
      <c r="BK136">
        <v>270</v>
      </c>
      <c r="BL136">
        <v>278.18181818181819</v>
      </c>
      <c r="BM136">
        <v>270</v>
      </c>
      <c r="BN136">
        <v>270</v>
      </c>
      <c r="BO136">
        <v>270</v>
      </c>
      <c r="BP136">
        <v>225</v>
      </c>
      <c r="BQ136">
        <f>(I136+J136+N136+O136)/4</f>
        <v>3.833333333333333</v>
      </c>
      <c r="BR136">
        <f>(K136+L136+M136)/3</f>
        <v>2.9555555555555557</v>
      </c>
      <c r="BS136">
        <f>BQ136/BR136</f>
        <v>1.2969924812030074</v>
      </c>
      <c r="BT136">
        <f>AQ136/I136</f>
        <v>90</v>
      </c>
      <c r="BU136" t="str">
        <f>IF(OR(A136=2, A136=12), "Central", IF(A136=3, "Semi-Central", "Periférica"))</f>
        <v>Central</v>
      </c>
    </row>
    <row r="137" spans="1:73" x14ac:dyDescent="0.3">
      <c r="A137" s="1">
        <v>16</v>
      </c>
      <c r="B137" s="1">
        <v>1637</v>
      </c>
      <c r="C137" s="1" t="s">
        <v>364</v>
      </c>
      <c r="D137" t="s">
        <v>1</v>
      </c>
      <c r="E137" t="s">
        <v>0</v>
      </c>
      <c r="F137">
        <v>0</v>
      </c>
      <c r="G137">
        <v>0</v>
      </c>
      <c r="H137">
        <v>4</v>
      </c>
      <c r="I137">
        <v>6.666666666666667</v>
      </c>
      <c r="J137">
        <v>6</v>
      </c>
      <c r="K137">
        <v>5</v>
      </c>
      <c r="L137">
        <v>4</v>
      </c>
      <c r="M137">
        <v>4.4000000000000004</v>
      </c>
      <c r="N137">
        <v>5.5</v>
      </c>
      <c r="O137">
        <v>5</v>
      </c>
      <c r="P137">
        <v>4.666666666666667</v>
      </c>
      <c r="Q137">
        <v>1.5</v>
      </c>
      <c r="R137">
        <v>0</v>
      </c>
      <c r="S137">
        <v>0</v>
      </c>
      <c r="T137">
        <v>3</v>
      </c>
      <c r="U137">
        <v>4</v>
      </c>
      <c r="V137">
        <v>4</v>
      </c>
      <c r="W137">
        <v>4.666666666666667</v>
      </c>
      <c r="X137">
        <v>4</v>
      </c>
      <c r="Y137">
        <v>4</v>
      </c>
      <c r="Z137">
        <v>2</v>
      </c>
      <c r="AA137">
        <v>0</v>
      </c>
      <c r="AB137">
        <v>0</v>
      </c>
      <c r="AC137">
        <v>1.5</v>
      </c>
      <c r="AD137">
        <v>4</v>
      </c>
      <c r="AE137">
        <v>4</v>
      </c>
      <c r="AF137">
        <v>3.666666666666667</v>
      </c>
      <c r="AG137">
        <v>3</v>
      </c>
      <c r="AH137">
        <v>1.5</v>
      </c>
      <c r="AI137" s="1">
        <v>16</v>
      </c>
      <c r="AJ137" s="1">
        <v>1637</v>
      </c>
      <c r="AK137" s="1" t="s">
        <v>364</v>
      </c>
      <c r="AL137" t="s">
        <v>1</v>
      </c>
      <c r="AM137" t="s">
        <v>0</v>
      </c>
      <c r="AN137">
        <v>0</v>
      </c>
      <c r="AO137">
        <v>0</v>
      </c>
      <c r="AP137">
        <v>360</v>
      </c>
      <c r="AQ137">
        <v>600</v>
      </c>
      <c r="AR137">
        <v>540</v>
      </c>
      <c r="AS137">
        <v>450</v>
      </c>
      <c r="AT137">
        <v>360</v>
      </c>
      <c r="AU137">
        <v>396</v>
      </c>
      <c r="AV137">
        <v>495</v>
      </c>
      <c r="AW137">
        <v>450</v>
      </c>
      <c r="AX137">
        <v>420</v>
      </c>
      <c r="AY137">
        <v>135</v>
      </c>
      <c r="AZ137">
        <v>0</v>
      </c>
      <c r="BA137">
        <v>0</v>
      </c>
      <c r="BB137">
        <v>270</v>
      </c>
      <c r="BC137">
        <v>360</v>
      </c>
      <c r="BD137">
        <v>360</v>
      </c>
      <c r="BE137">
        <v>420</v>
      </c>
      <c r="BF137">
        <v>360</v>
      </c>
      <c r="BG137">
        <v>360</v>
      </c>
      <c r="BH137">
        <v>180</v>
      </c>
      <c r="BI137">
        <v>0</v>
      </c>
      <c r="BJ137">
        <v>0</v>
      </c>
      <c r="BK137">
        <v>135</v>
      </c>
      <c r="BL137">
        <v>360</v>
      </c>
      <c r="BM137">
        <v>360</v>
      </c>
      <c r="BN137">
        <v>330</v>
      </c>
      <c r="BO137">
        <v>270</v>
      </c>
      <c r="BP137">
        <v>135</v>
      </c>
      <c r="BQ137">
        <f>(I137+J137+N137+O137)/4</f>
        <v>5.791666666666667</v>
      </c>
      <c r="BR137">
        <f>(K137+L137+M137)/3</f>
        <v>4.4666666666666668</v>
      </c>
      <c r="BS137">
        <f>BQ137/BR137</f>
        <v>1.2966417910447761</v>
      </c>
      <c r="BT137">
        <f>AQ137/I137</f>
        <v>90</v>
      </c>
      <c r="BU137" t="str">
        <f>IF(OR(A137=2, A137=12), "Central", IF(A137=3, "Semi-Central", "Periférica"))</f>
        <v>Periférica</v>
      </c>
    </row>
    <row r="138" spans="1:73" x14ac:dyDescent="0.3">
      <c r="A138" s="1">
        <v>16</v>
      </c>
      <c r="B138" s="1">
        <v>1622</v>
      </c>
      <c r="C138" s="1">
        <v>322</v>
      </c>
      <c r="D138" t="s">
        <v>5</v>
      </c>
      <c r="E138" t="s">
        <v>0</v>
      </c>
      <c r="F138">
        <v>0</v>
      </c>
      <c r="G138">
        <v>0</v>
      </c>
      <c r="H138">
        <v>2</v>
      </c>
      <c r="I138">
        <v>6</v>
      </c>
      <c r="J138">
        <v>6</v>
      </c>
      <c r="K138">
        <v>4.333333333333333</v>
      </c>
      <c r="L138">
        <v>5.333333333333333</v>
      </c>
      <c r="M138">
        <v>4.8</v>
      </c>
      <c r="N138">
        <v>6.5</v>
      </c>
      <c r="O138">
        <v>6.5</v>
      </c>
      <c r="P138">
        <v>4.666666666666667</v>
      </c>
      <c r="Q138">
        <v>3.5</v>
      </c>
      <c r="R138">
        <v>0</v>
      </c>
      <c r="S138">
        <v>0</v>
      </c>
      <c r="T138">
        <v>1</v>
      </c>
      <c r="U138">
        <v>4</v>
      </c>
      <c r="V138">
        <v>4</v>
      </c>
      <c r="W138">
        <v>4.666666666666667</v>
      </c>
      <c r="X138">
        <v>4</v>
      </c>
      <c r="Y138">
        <v>4.8</v>
      </c>
      <c r="Z138">
        <v>3</v>
      </c>
      <c r="AA138">
        <v>0</v>
      </c>
      <c r="AB138">
        <v>0</v>
      </c>
      <c r="AC138">
        <v>1.5</v>
      </c>
      <c r="AD138">
        <v>3.0909090909090908</v>
      </c>
      <c r="AE138">
        <v>3.2</v>
      </c>
      <c r="AF138">
        <v>3.333333333333333</v>
      </c>
      <c r="AG138">
        <v>3</v>
      </c>
      <c r="AH138">
        <v>2.5</v>
      </c>
      <c r="AI138" s="1">
        <v>16</v>
      </c>
      <c r="AJ138" s="1">
        <v>1622</v>
      </c>
      <c r="AK138" s="1">
        <v>322</v>
      </c>
      <c r="AL138" t="s">
        <v>5</v>
      </c>
      <c r="AM138" t="s">
        <v>0</v>
      </c>
      <c r="AN138">
        <v>0</v>
      </c>
      <c r="AO138">
        <v>0</v>
      </c>
      <c r="AP138">
        <v>120</v>
      </c>
      <c r="AQ138">
        <v>360</v>
      </c>
      <c r="AR138">
        <v>360</v>
      </c>
      <c r="AS138">
        <v>260</v>
      </c>
      <c r="AT138">
        <v>320</v>
      </c>
      <c r="AU138">
        <v>288</v>
      </c>
      <c r="AV138">
        <v>390</v>
      </c>
      <c r="AW138">
        <v>390</v>
      </c>
      <c r="AX138">
        <v>280</v>
      </c>
      <c r="AY138">
        <v>210</v>
      </c>
      <c r="AZ138">
        <v>0</v>
      </c>
      <c r="BA138">
        <v>0</v>
      </c>
      <c r="BB138">
        <v>60</v>
      </c>
      <c r="BC138">
        <v>240</v>
      </c>
      <c r="BD138">
        <v>240</v>
      </c>
      <c r="BE138">
        <v>280</v>
      </c>
      <c r="BF138">
        <v>240</v>
      </c>
      <c r="BG138">
        <v>288</v>
      </c>
      <c r="BH138">
        <v>180</v>
      </c>
      <c r="BI138">
        <v>0</v>
      </c>
      <c r="BJ138">
        <v>0</v>
      </c>
      <c r="BK138">
        <v>90</v>
      </c>
      <c r="BL138">
        <v>185.4545454545455</v>
      </c>
      <c r="BM138">
        <v>192</v>
      </c>
      <c r="BN138">
        <v>200</v>
      </c>
      <c r="BO138">
        <v>180</v>
      </c>
      <c r="BP138">
        <v>150</v>
      </c>
      <c r="BQ138">
        <f>(I138+J138+N138+O138)/4</f>
        <v>6.25</v>
      </c>
      <c r="BR138">
        <f>(K138+L138+M138)/3</f>
        <v>4.822222222222222</v>
      </c>
      <c r="BS138">
        <f>BQ138/BR138</f>
        <v>1.2960829493087558</v>
      </c>
      <c r="BT138">
        <f>AQ138/I138</f>
        <v>60</v>
      </c>
      <c r="BU138" t="str">
        <f>IF(OR(A138=2, A138=12), "Central", IF(A138=3, "Semi-Central", "Periférica"))</f>
        <v>Periférica</v>
      </c>
    </row>
    <row r="139" spans="1:73" x14ac:dyDescent="0.3">
      <c r="A139" s="1">
        <v>2</v>
      </c>
      <c r="B139" s="1">
        <v>244</v>
      </c>
      <c r="C139" s="1" t="s">
        <v>371</v>
      </c>
      <c r="D139" t="s">
        <v>5</v>
      </c>
      <c r="E139" t="s">
        <v>0</v>
      </c>
      <c r="F139">
        <v>0</v>
      </c>
      <c r="G139">
        <v>0</v>
      </c>
      <c r="H139">
        <v>6</v>
      </c>
      <c r="I139">
        <v>6.666666666666667</v>
      </c>
      <c r="J139">
        <v>5.333333333333333</v>
      </c>
      <c r="K139">
        <v>5</v>
      </c>
      <c r="L139">
        <v>4</v>
      </c>
      <c r="M139">
        <v>5.2</v>
      </c>
      <c r="N139">
        <v>6</v>
      </c>
      <c r="O139">
        <v>6.5</v>
      </c>
      <c r="P139">
        <v>4.666666666666667</v>
      </c>
      <c r="Q139">
        <v>3.5</v>
      </c>
      <c r="R139">
        <v>0</v>
      </c>
      <c r="S139">
        <v>0</v>
      </c>
      <c r="T139">
        <v>4</v>
      </c>
      <c r="U139">
        <v>4.8</v>
      </c>
      <c r="V139">
        <v>4.333333333333333</v>
      </c>
      <c r="W139">
        <v>5</v>
      </c>
      <c r="X139">
        <v>4.666666666666667</v>
      </c>
      <c r="Y139">
        <v>4</v>
      </c>
      <c r="Z139">
        <v>3</v>
      </c>
      <c r="AA139">
        <v>0</v>
      </c>
      <c r="AB139">
        <v>0</v>
      </c>
      <c r="AC139">
        <v>4</v>
      </c>
      <c r="AD139">
        <v>4</v>
      </c>
      <c r="AE139">
        <v>3.8</v>
      </c>
      <c r="AF139">
        <v>4.333333333333333</v>
      </c>
      <c r="AG139">
        <v>3</v>
      </c>
      <c r="AH139">
        <v>2.5</v>
      </c>
      <c r="AI139" s="1">
        <v>2</v>
      </c>
      <c r="AJ139" s="1">
        <v>244</v>
      </c>
      <c r="AK139" s="1" t="s">
        <v>371</v>
      </c>
      <c r="AL139" t="s">
        <v>5</v>
      </c>
      <c r="AM139" t="s">
        <v>0</v>
      </c>
      <c r="AN139">
        <v>0</v>
      </c>
      <c r="AO139">
        <v>0</v>
      </c>
      <c r="AP139">
        <v>552</v>
      </c>
      <c r="AQ139">
        <v>613.33333333333337</v>
      </c>
      <c r="AR139">
        <v>490.66666666666669</v>
      </c>
      <c r="AS139">
        <v>460</v>
      </c>
      <c r="AT139">
        <v>368</v>
      </c>
      <c r="AU139">
        <v>478.4</v>
      </c>
      <c r="AV139">
        <v>552</v>
      </c>
      <c r="AW139">
        <v>598</v>
      </c>
      <c r="AX139">
        <v>429.33333333333331</v>
      </c>
      <c r="AY139">
        <v>322</v>
      </c>
      <c r="AZ139">
        <v>0</v>
      </c>
      <c r="BA139">
        <v>0</v>
      </c>
      <c r="BB139">
        <v>368</v>
      </c>
      <c r="BC139">
        <v>441.6</v>
      </c>
      <c r="BD139">
        <v>398.66666666666669</v>
      </c>
      <c r="BE139">
        <v>460</v>
      </c>
      <c r="BF139">
        <v>429.33333333333331</v>
      </c>
      <c r="BG139">
        <v>368</v>
      </c>
      <c r="BH139">
        <v>276</v>
      </c>
      <c r="BI139">
        <v>0</v>
      </c>
      <c r="BJ139">
        <v>0</v>
      </c>
      <c r="BK139">
        <v>368</v>
      </c>
      <c r="BL139">
        <v>368</v>
      </c>
      <c r="BM139">
        <v>349.6</v>
      </c>
      <c r="BN139">
        <v>398.66666666666669</v>
      </c>
      <c r="BO139">
        <v>276</v>
      </c>
      <c r="BP139">
        <v>230</v>
      </c>
      <c r="BQ139">
        <f>(I139+J139+N139+O139)/4</f>
        <v>6.125</v>
      </c>
      <c r="BR139">
        <f>(K139+L139+M139)/3</f>
        <v>4.7333333333333334</v>
      </c>
      <c r="BS139">
        <f>BQ139/BR139</f>
        <v>1.2940140845070423</v>
      </c>
      <c r="BT139">
        <f>AQ139/I139</f>
        <v>92</v>
      </c>
      <c r="BU139" t="str">
        <f>IF(OR(A139=2, A139=12), "Central", IF(A139=3, "Semi-Central", "Periférica"))</f>
        <v>Central</v>
      </c>
    </row>
    <row r="140" spans="1:73" x14ac:dyDescent="0.3">
      <c r="A140" s="1">
        <v>2</v>
      </c>
      <c r="B140" s="1">
        <v>244</v>
      </c>
      <c r="C140" s="1" t="s">
        <v>371</v>
      </c>
      <c r="D140" t="s">
        <v>1</v>
      </c>
      <c r="E140" t="s">
        <v>0</v>
      </c>
      <c r="F140">
        <v>0</v>
      </c>
      <c r="G140">
        <v>0</v>
      </c>
      <c r="H140">
        <v>6</v>
      </c>
      <c r="I140">
        <v>6.666666666666667</v>
      </c>
      <c r="J140">
        <v>5.333333333333333</v>
      </c>
      <c r="K140">
        <v>5</v>
      </c>
      <c r="L140">
        <v>4</v>
      </c>
      <c r="M140">
        <v>5.2</v>
      </c>
      <c r="N140">
        <v>6</v>
      </c>
      <c r="O140">
        <v>6.5</v>
      </c>
      <c r="P140">
        <v>4</v>
      </c>
      <c r="Q140">
        <v>2</v>
      </c>
      <c r="R140">
        <v>0</v>
      </c>
      <c r="S140">
        <v>0</v>
      </c>
      <c r="T140">
        <v>4</v>
      </c>
      <c r="U140">
        <v>5.2</v>
      </c>
      <c r="V140">
        <v>5</v>
      </c>
      <c r="W140">
        <v>4.666666666666667</v>
      </c>
      <c r="X140">
        <v>4.2222222222222223</v>
      </c>
      <c r="Y140">
        <v>3.2</v>
      </c>
      <c r="Z140">
        <v>1.5</v>
      </c>
      <c r="AA140">
        <v>0</v>
      </c>
      <c r="AB140">
        <v>0</v>
      </c>
      <c r="AC140">
        <v>4</v>
      </c>
      <c r="AD140">
        <v>4.1818181818181817</v>
      </c>
      <c r="AE140">
        <v>3.8</v>
      </c>
      <c r="AF140">
        <v>3.6666666666666665</v>
      </c>
      <c r="AG140">
        <v>3</v>
      </c>
      <c r="AH140">
        <v>1.5</v>
      </c>
      <c r="AI140" s="1">
        <v>2</v>
      </c>
      <c r="AJ140" s="1">
        <v>244</v>
      </c>
      <c r="AK140" s="1" t="s">
        <v>371</v>
      </c>
      <c r="AL140" t="s">
        <v>1</v>
      </c>
      <c r="AM140" t="s">
        <v>0</v>
      </c>
      <c r="AN140">
        <v>0</v>
      </c>
      <c r="AO140">
        <v>0</v>
      </c>
      <c r="AP140">
        <v>552</v>
      </c>
      <c r="AQ140">
        <v>613.33333333333337</v>
      </c>
      <c r="AR140">
        <v>490.66666666666669</v>
      </c>
      <c r="AS140">
        <v>460</v>
      </c>
      <c r="AT140">
        <v>368</v>
      </c>
      <c r="AU140">
        <v>478.4</v>
      </c>
      <c r="AV140">
        <v>552</v>
      </c>
      <c r="AW140">
        <v>598</v>
      </c>
      <c r="AX140">
        <v>368</v>
      </c>
      <c r="AY140">
        <v>184</v>
      </c>
      <c r="AZ140">
        <v>0</v>
      </c>
      <c r="BA140">
        <v>0</v>
      </c>
      <c r="BB140">
        <v>368</v>
      </c>
      <c r="BC140">
        <v>478.4</v>
      </c>
      <c r="BD140">
        <v>460</v>
      </c>
      <c r="BE140">
        <v>429.33333333333331</v>
      </c>
      <c r="BF140">
        <v>388.44444444444446</v>
      </c>
      <c r="BG140">
        <v>294.39999999999998</v>
      </c>
      <c r="BH140">
        <v>138</v>
      </c>
      <c r="BI140">
        <v>0</v>
      </c>
      <c r="BJ140">
        <v>0</v>
      </c>
      <c r="BK140">
        <v>368</v>
      </c>
      <c r="BL140">
        <v>384.72727272727275</v>
      </c>
      <c r="BM140">
        <v>349.6</v>
      </c>
      <c r="BN140">
        <v>337.33333333333331</v>
      </c>
      <c r="BO140">
        <v>276</v>
      </c>
      <c r="BP140">
        <v>138</v>
      </c>
      <c r="BQ140">
        <f>(I140+J140+N140+O140)/4</f>
        <v>6.125</v>
      </c>
      <c r="BR140">
        <f>(K140+L140+M140)/3</f>
        <v>4.7333333333333334</v>
      </c>
      <c r="BS140">
        <f>BQ140/BR140</f>
        <v>1.2940140845070423</v>
      </c>
      <c r="BT140">
        <f>AQ140/I140</f>
        <v>92</v>
      </c>
      <c r="BU140" t="str">
        <f>IF(OR(A140=2, A140=12), "Central", IF(A140=3, "Semi-Central", "Periférica"))</f>
        <v>Central</v>
      </c>
    </row>
    <row r="141" spans="1:73" x14ac:dyDescent="0.3">
      <c r="A141" s="1">
        <v>13</v>
      </c>
      <c r="B141" s="1">
        <v>1325</v>
      </c>
      <c r="C141" s="1">
        <v>425</v>
      </c>
      <c r="D141" t="s">
        <v>5</v>
      </c>
      <c r="F141">
        <v>2</v>
      </c>
      <c r="G141">
        <v>0.66666666666666663</v>
      </c>
      <c r="H141">
        <v>13</v>
      </c>
      <c r="I141">
        <v>13.33333333333333</v>
      </c>
      <c r="J141">
        <v>9.3333333333333339</v>
      </c>
      <c r="K141">
        <v>7.333333333333333</v>
      </c>
      <c r="L141">
        <v>8</v>
      </c>
      <c r="M141">
        <v>8</v>
      </c>
      <c r="N141">
        <v>9.5</v>
      </c>
      <c r="O141">
        <v>8</v>
      </c>
      <c r="P141">
        <v>6</v>
      </c>
      <c r="Q141">
        <v>3.5</v>
      </c>
      <c r="R141">
        <v>2</v>
      </c>
      <c r="S141">
        <v>0.44444444444444442</v>
      </c>
      <c r="T141">
        <v>8</v>
      </c>
      <c r="U141">
        <v>9.1999999999999993</v>
      </c>
      <c r="V141">
        <v>8.3333333333333339</v>
      </c>
      <c r="W141">
        <v>8</v>
      </c>
      <c r="X141">
        <v>6.666666666666667</v>
      </c>
      <c r="Y141">
        <v>6</v>
      </c>
      <c r="Z141">
        <v>3.5</v>
      </c>
      <c r="AA141">
        <v>2</v>
      </c>
      <c r="AB141">
        <v>0.44444444444444442</v>
      </c>
      <c r="AC141">
        <v>5.5</v>
      </c>
      <c r="AD141">
        <v>6.3636363636363633</v>
      </c>
      <c r="AE141">
        <v>6.2</v>
      </c>
      <c r="AF141">
        <v>6</v>
      </c>
      <c r="AG141">
        <v>5</v>
      </c>
      <c r="AH141">
        <v>3</v>
      </c>
      <c r="AI141" s="1">
        <v>13</v>
      </c>
      <c r="AJ141" s="1">
        <v>1325</v>
      </c>
      <c r="AK141" s="1">
        <v>425</v>
      </c>
      <c r="AL141" t="s">
        <v>5</v>
      </c>
      <c r="AN141">
        <v>180</v>
      </c>
      <c r="AO141">
        <v>60</v>
      </c>
      <c r="AP141">
        <v>1170</v>
      </c>
      <c r="AQ141">
        <v>1200</v>
      </c>
      <c r="AR141">
        <v>840</v>
      </c>
      <c r="AS141">
        <v>660</v>
      </c>
      <c r="AT141">
        <v>720</v>
      </c>
      <c r="AU141">
        <v>720</v>
      </c>
      <c r="AV141">
        <v>855</v>
      </c>
      <c r="AW141">
        <v>720</v>
      </c>
      <c r="AX141">
        <v>540</v>
      </c>
      <c r="AY141">
        <v>315</v>
      </c>
      <c r="AZ141">
        <v>180</v>
      </c>
      <c r="BA141">
        <v>40</v>
      </c>
      <c r="BB141">
        <v>720</v>
      </c>
      <c r="BC141">
        <v>828</v>
      </c>
      <c r="BD141">
        <v>750</v>
      </c>
      <c r="BE141">
        <v>720</v>
      </c>
      <c r="BF141">
        <v>600</v>
      </c>
      <c r="BG141">
        <v>540</v>
      </c>
      <c r="BH141">
        <v>315</v>
      </c>
      <c r="BI141">
        <v>180</v>
      </c>
      <c r="BJ141">
        <v>40</v>
      </c>
      <c r="BK141">
        <v>495</v>
      </c>
      <c r="BL141">
        <v>572.72727272727275</v>
      </c>
      <c r="BM141">
        <v>558</v>
      </c>
      <c r="BN141">
        <v>540</v>
      </c>
      <c r="BO141">
        <v>450</v>
      </c>
      <c r="BP141">
        <v>270</v>
      </c>
      <c r="BQ141">
        <f>(I141+J141+N141+O141)/4</f>
        <v>10.041666666666666</v>
      </c>
      <c r="BR141">
        <f>(K141+L141+M141)/3</f>
        <v>7.7777777777777777</v>
      </c>
      <c r="BS141">
        <f>BQ141/BR141</f>
        <v>1.2910714285714284</v>
      </c>
      <c r="BT141">
        <f>AQ141/I141</f>
        <v>90.000000000000014</v>
      </c>
      <c r="BU141" t="str">
        <f>IF(OR(A141=2, A141=12), "Central", IF(A141=3, "Semi-Central", "Periférica"))</f>
        <v>Periférica</v>
      </c>
    </row>
    <row r="142" spans="1:73" x14ac:dyDescent="0.3">
      <c r="A142" s="1">
        <v>14</v>
      </c>
      <c r="B142" s="1">
        <v>1451</v>
      </c>
      <c r="C142" s="1">
        <v>481</v>
      </c>
      <c r="D142" t="s">
        <v>1</v>
      </c>
      <c r="F142">
        <v>0</v>
      </c>
      <c r="G142">
        <v>0.44444444444444442</v>
      </c>
      <c r="H142">
        <v>7</v>
      </c>
      <c r="I142">
        <v>8.6666666666666661</v>
      </c>
      <c r="J142">
        <v>5.333333333333333</v>
      </c>
      <c r="K142">
        <v>4.666666666666667</v>
      </c>
      <c r="L142">
        <v>4.666666666666667</v>
      </c>
      <c r="M142">
        <v>5.2</v>
      </c>
      <c r="N142">
        <v>6</v>
      </c>
      <c r="O142">
        <v>5</v>
      </c>
      <c r="P142">
        <v>4</v>
      </c>
      <c r="Q142">
        <v>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s="1">
        <v>14</v>
      </c>
      <c r="AJ142" s="1">
        <v>1451</v>
      </c>
      <c r="AK142" s="1">
        <v>481</v>
      </c>
      <c r="AL142" t="s">
        <v>1</v>
      </c>
      <c r="AN142">
        <v>0</v>
      </c>
      <c r="AO142">
        <v>40</v>
      </c>
      <c r="AP142">
        <v>630</v>
      </c>
      <c r="AQ142">
        <v>780</v>
      </c>
      <c r="AR142">
        <v>480</v>
      </c>
      <c r="AS142">
        <v>420</v>
      </c>
      <c r="AT142">
        <v>420</v>
      </c>
      <c r="AU142">
        <v>468</v>
      </c>
      <c r="AV142">
        <v>540</v>
      </c>
      <c r="AW142">
        <v>450</v>
      </c>
      <c r="AX142">
        <v>360</v>
      </c>
      <c r="AY142">
        <v>180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f>(I142+J142+N142+O142)/4</f>
        <v>6.25</v>
      </c>
      <c r="BR142">
        <f>(K142+L142+M142)/3</f>
        <v>4.844444444444445</v>
      </c>
      <c r="BS142">
        <f>BQ142/BR142</f>
        <v>1.290137614678899</v>
      </c>
      <c r="BT142">
        <f>AQ142/I142</f>
        <v>90</v>
      </c>
      <c r="BU142" t="str">
        <f>IF(OR(A142=2, A142=12), "Central", IF(A142=3, "Semi-Central", "Periférica"))</f>
        <v>Periférica</v>
      </c>
    </row>
    <row r="143" spans="1:73" x14ac:dyDescent="0.3">
      <c r="A143" s="1">
        <v>13</v>
      </c>
      <c r="B143" s="1">
        <v>1325</v>
      </c>
      <c r="C143" s="1">
        <v>425</v>
      </c>
      <c r="D143" t="s">
        <v>1</v>
      </c>
      <c r="F143">
        <v>2</v>
      </c>
      <c r="G143">
        <v>0.66666666666666663</v>
      </c>
      <c r="H143">
        <v>8</v>
      </c>
      <c r="I143">
        <v>14</v>
      </c>
      <c r="J143">
        <v>8.6666666666666661</v>
      </c>
      <c r="K143">
        <v>7.666666666666667</v>
      </c>
      <c r="L143">
        <v>8</v>
      </c>
      <c r="M143">
        <v>8</v>
      </c>
      <c r="N143">
        <v>10</v>
      </c>
      <c r="O143">
        <v>8</v>
      </c>
      <c r="P143">
        <v>6</v>
      </c>
      <c r="Q143">
        <v>4.5</v>
      </c>
      <c r="R143">
        <v>2</v>
      </c>
      <c r="S143">
        <v>0.66666666666666663</v>
      </c>
      <c r="T143">
        <v>6</v>
      </c>
      <c r="U143">
        <v>9.1999999999999993</v>
      </c>
      <c r="V143">
        <v>9</v>
      </c>
      <c r="W143">
        <v>7.666666666666667</v>
      </c>
      <c r="X143">
        <v>7.1111111111111107</v>
      </c>
      <c r="Y143">
        <v>7.6</v>
      </c>
      <c r="Z143">
        <v>5</v>
      </c>
      <c r="AA143">
        <v>2</v>
      </c>
      <c r="AB143">
        <v>0.66666666666666663</v>
      </c>
      <c r="AC143">
        <v>5</v>
      </c>
      <c r="AD143">
        <v>6.3636363636363633</v>
      </c>
      <c r="AE143">
        <v>6.2</v>
      </c>
      <c r="AF143">
        <v>6</v>
      </c>
      <c r="AG143">
        <v>5</v>
      </c>
      <c r="AH143">
        <v>3</v>
      </c>
      <c r="AI143" s="1">
        <v>13</v>
      </c>
      <c r="AJ143" s="1">
        <v>1325</v>
      </c>
      <c r="AK143" s="1">
        <v>425</v>
      </c>
      <c r="AL143" t="s">
        <v>1</v>
      </c>
      <c r="AN143">
        <v>180</v>
      </c>
      <c r="AO143">
        <v>60</v>
      </c>
      <c r="AP143">
        <v>720</v>
      </c>
      <c r="AQ143">
        <v>1260</v>
      </c>
      <c r="AR143">
        <v>780</v>
      </c>
      <c r="AS143">
        <v>690</v>
      </c>
      <c r="AT143">
        <v>720</v>
      </c>
      <c r="AU143">
        <v>720</v>
      </c>
      <c r="AV143">
        <v>900</v>
      </c>
      <c r="AW143">
        <v>720</v>
      </c>
      <c r="AX143">
        <v>540</v>
      </c>
      <c r="AY143">
        <v>405</v>
      </c>
      <c r="AZ143">
        <v>180</v>
      </c>
      <c r="BA143">
        <v>60</v>
      </c>
      <c r="BB143">
        <v>540</v>
      </c>
      <c r="BC143">
        <v>828</v>
      </c>
      <c r="BD143">
        <v>810</v>
      </c>
      <c r="BE143">
        <v>690</v>
      </c>
      <c r="BF143">
        <v>640</v>
      </c>
      <c r="BG143">
        <v>684</v>
      </c>
      <c r="BH143">
        <v>450</v>
      </c>
      <c r="BI143">
        <v>180</v>
      </c>
      <c r="BJ143">
        <v>60</v>
      </c>
      <c r="BK143">
        <v>450</v>
      </c>
      <c r="BL143">
        <v>572.72727272727275</v>
      </c>
      <c r="BM143">
        <v>558</v>
      </c>
      <c r="BN143">
        <v>540</v>
      </c>
      <c r="BO143">
        <v>450</v>
      </c>
      <c r="BP143">
        <v>270</v>
      </c>
      <c r="BQ143">
        <f>(I143+J143+N143+O143)/4</f>
        <v>10.166666666666666</v>
      </c>
      <c r="BR143">
        <f>(K143+L143+M143)/3</f>
        <v>7.8888888888888893</v>
      </c>
      <c r="BS143">
        <f>BQ143/BR143</f>
        <v>1.288732394366197</v>
      </c>
      <c r="BT143">
        <f>AQ143/I143</f>
        <v>90</v>
      </c>
      <c r="BU143" t="str">
        <f>IF(OR(A143=2, A143=12), "Central", IF(A143=3, "Semi-Central", "Periférica"))</f>
        <v>Periférica</v>
      </c>
    </row>
    <row r="144" spans="1:73" x14ac:dyDescent="0.3">
      <c r="A144" s="1">
        <v>8</v>
      </c>
      <c r="B144" s="1">
        <v>841</v>
      </c>
      <c r="C144" s="1">
        <v>410</v>
      </c>
      <c r="D144" t="s">
        <v>1</v>
      </c>
      <c r="F144">
        <v>2</v>
      </c>
      <c r="G144">
        <v>0</v>
      </c>
      <c r="H144">
        <v>4</v>
      </c>
      <c r="I144">
        <v>4.666666666666667</v>
      </c>
      <c r="J144">
        <v>5.333333333333333</v>
      </c>
      <c r="K144">
        <v>5.333333333333333</v>
      </c>
      <c r="L144">
        <v>5.333333333333333</v>
      </c>
      <c r="M144">
        <v>6.8</v>
      </c>
      <c r="N144">
        <v>10</v>
      </c>
      <c r="O144">
        <v>10</v>
      </c>
      <c r="P144">
        <v>8</v>
      </c>
      <c r="Q144">
        <v>3.5</v>
      </c>
      <c r="R144">
        <v>2</v>
      </c>
      <c r="S144">
        <v>0</v>
      </c>
      <c r="T144">
        <v>3</v>
      </c>
      <c r="U144">
        <v>3.6</v>
      </c>
      <c r="V144">
        <v>4.666666666666667</v>
      </c>
      <c r="W144">
        <v>5</v>
      </c>
      <c r="X144">
        <v>4</v>
      </c>
      <c r="Y144">
        <v>2.8</v>
      </c>
      <c r="Z144">
        <v>3</v>
      </c>
      <c r="AA144">
        <v>2</v>
      </c>
      <c r="AB144">
        <v>0</v>
      </c>
      <c r="AC144">
        <v>2.5</v>
      </c>
      <c r="AD144">
        <v>3.454545454545455</v>
      </c>
      <c r="AE144">
        <v>3</v>
      </c>
      <c r="AF144">
        <v>3</v>
      </c>
      <c r="AG144">
        <v>3</v>
      </c>
      <c r="AH144">
        <v>3</v>
      </c>
      <c r="AI144" s="1">
        <v>8</v>
      </c>
      <c r="AJ144" s="1">
        <v>841</v>
      </c>
      <c r="AK144" s="1">
        <v>410</v>
      </c>
      <c r="AL144" t="s">
        <v>1</v>
      </c>
      <c r="AN144">
        <v>300</v>
      </c>
      <c r="AO144">
        <v>0</v>
      </c>
      <c r="AP144">
        <v>600</v>
      </c>
      <c r="AQ144">
        <v>700</v>
      </c>
      <c r="AR144">
        <v>800</v>
      </c>
      <c r="AS144">
        <v>800</v>
      </c>
      <c r="AT144">
        <v>800</v>
      </c>
      <c r="AU144">
        <v>1020</v>
      </c>
      <c r="AV144">
        <v>1500</v>
      </c>
      <c r="AW144">
        <v>1500</v>
      </c>
      <c r="AX144">
        <v>1200</v>
      </c>
      <c r="AY144">
        <v>525</v>
      </c>
      <c r="AZ144">
        <v>300</v>
      </c>
      <c r="BA144">
        <v>0</v>
      </c>
      <c r="BB144">
        <v>450</v>
      </c>
      <c r="BC144">
        <v>540</v>
      </c>
      <c r="BD144">
        <v>700</v>
      </c>
      <c r="BE144">
        <v>750</v>
      </c>
      <c r="BF144">
        <v>600</v>
      </c>
      <c r="BG144">
        <v>420</v>
      </c>
      <c r="BH144">
        <v>450</v>
      </c>
      <c r="BI144">
        <v>180</v>
      </c>
      <c r="BJ144">
        <v>0</v>
      </c>
      <c r="BK144">
        <v>225</v>
      </c>
      <c r="BL144">
        <v>310.90909090909088</v>
      </c>
      <c r="BM144">
        <v>270</v>
      </c>
      <c r="BN144">
        <v>270</v>
      </c>
      <c r="BO144">
        <v>270</v>
      </c>
      <c r="BP144">
        <v>270</v>
      </c>
      <c r="BQ144">
        <f>(I144+J144+N144+O144)/4</f>
        <v>7.5</v>
      </c>
      <c r="BR144">
        <f>(K144+L144+M144)/3</f>
        <v>5.822222222222222</v>
      </c>
      <c r="BS144">
        <f>BQ144/BR144</f>
        <v>1.2881679389312977</v>
      </c>
      <c r="BT144">
        <f>AQ144/I144</f>
        <v>150</v>
      </c>
      <c r="BU144" t="str">
        <f>IF(OR(A144=2, A144=12), "Central", IF(A144=3, "Semi-Central", "Periférica"))</f>
        <v>Periférica</v>
      </c>
    </row>
    <row r="145" spans="1:73" x14ac:dyDescent="0.3">
      <c r="A145" s="1">
        <v>5</v>
      </c>
      <c r="B145" s="1">
        <v>556</v>
      </c>
      <c r="C145" s="1">
        <v>406</v>
      </c>
      <c r="D145" t="s">
        <v>5</v>
      </c>
      <c r="E145" t="s">
        <v>0</v>
      </c>
      <c r="F145">
        <v>0</v>
      </c>
      <c r="G145">
        <v>1.5555555555555556</v>
      </c>
      <c r="H145">
        <v>12</v>
      </c>
      <c r="I145">
        <v>16</v>
      </c>
      <c r="J145">
        <v>8</v>
      </c>
      <c r="K145">
        <v>6</v>
      </c>
      <c r="L145">
        <v>7.333333333333333</v>
      </c>
      <c r="M145">
        <v>10</v>
      </c>
      <c r="N145">
        <v>10.5</v>
      </c>
      <c r="O145">
        <v>5.5</v>
      </c>
      <c r="P145">
        <v>3.3333333333333335</v>
      </c>
      <c r="Q145">
        <v>1</v>
      </c>
      <c r="R145">
        <v>0</v>
      </c>
      <c r="S145">
        <v>0.66666666666666663</v>
      </c>
      <c r="T145">
        <v>5</v>
      </c>
      <c r="U145">
        <v>5.2</v>
      </c>
      <c r="V145">
        <v>4.666666666666667</v>
      </c>
      <c r="W145">
        <v>5</v>
      </c>
      <c r="X145">
        <v>5.1111111111111107</v>
      </c>
      <c r="Y145">
        <v>3.6</v>
      </c>
      <c r="Z145">
        <v>1.5</v>
      </c>
      <c r="AA145">
        <v>0</v>
      </c>
      <c r="AB145">
        <v>0</v>
      </c>
      <c r="AC145">
        <v>4.5</v>
      </c>
      <c r="AD145">
        <v>3.4545454545454546</v>
      </c>
      <c r="AE145">
        <v>3.6</v>
      </c>
      <c r="AF145">
        <v>3.6666666666666665</v>
      </c>
      <c r="AG145">
        <v>3</v>
      </c>
      <c r="AH145">
        <v>1</v>
      </c>
      <c r="AI145" s="1">
        <v>5</v>
      </c>
      <c r="AJ145" s="1">
        <v>556</v>
      </c>
      <c r="AK145" s="1">
        <v>406</v>
      </c>
      <c r="AL145" t="s">
        <v>5</v>
      </c>
      <c r="AM145" t="s">
        <v>0</v>
      </c>
      <c r="AN145">
        <v>0</v>
      </c>
      <c r="AO145">
        <v>219.33333333333334</v>
      </c>
      <c r="AP145">
        <v>1692</v>
      </c>
      <c r="AQ145">
        <v>2256</v>
      </c>
      <c r="AR145">
        <v>1128</v>
      </c>
      <c r="AS145">
        <v>846</v>
      </c>
      <c r="AT145">
        <v>1034</v>
      </c>
      <c r="AU145">
        <v>1410</v>
      </c>
      <c r="AV145">
        <v>1480.5</v>
      </c>
      <c r="AW145">
        <v>775.5</v>
      </c>
      <c r="AX145">
        <v>470</v>
      </c>
      <c r="AY145">
        <v>141</v>
      </c>
      <c r="AZ145">
        <v>0</v>
      </c>
      <c r="BA145">
        <v>94</v>
      </c>
      <c r="BB145">
        <v>705</v>
      </c>
      <c r="BC145">
        <v>733.2</v>
      </c>
      <c r="BD145">
        <v>658</v>
      </c>
      <c r="BE145">
        <v>705</v>
      </c>
      <c r="BF145">
        <v>720.66666666666663</v>
      </c>
      <c r="BG145">
        <v>507.6</v>
      </c>
      <c r="BH145">
        <v>211.5</v>
      </c>
      <c r="BI145">
        <v>0</v>
      </c>
      <c r="BJ145">
        <v>0</v>
      </c>
      <c r="BK145">
        <v>634.5</v>
      </c>
      <c r="BL145">
        <v>487.09090909090907</v>
      </c>
      <c r="BM145">
        <v>507.6</v>
      </c>
      <c r="BN145">
        <v>517</v>
      </c>
      <c r="BO145">
        <v>423</v>
      </c>
      <c r="BP145">
        <v>141</v>
      </c>
      <c r="BQ145">
        <f>(I145+J145+N145+O145)/4</f>
        <v>10</v>
      </c>
      <c r="BR145">
        <f>(K145+L145+M145)/3</f>
        <v>7.7777777777777777</v>
      </c>
      <c r="BS145">
        <f>BQ145/BR145</f>
        <v>1.2857142857142858</v>
      </c>
      <c r="BT145">
        <f>AQ145/I145</f>
        <v>141</v>
      </c>
      <c r="BU145" t="str">
        <f>IF(OR(A145=2, A145=12), "Central", IF(A145=3, "Semi-Central", "Periférica"))</f>
        <v>Periférica</v>
      </c>
    </row>
    <row r="146" spans="1:73" x14ac:dyDescent="0.3">
      <c r="A146" s="1">
        <v>12</v>
      </c>
      <c r="B146" s="1">
        <v>1231</v>
      </c>
      <c r="C146" s="1">
        <v>411</v>
      </c>
      <c r="D146" t="s">
        <v>5</v>
      </c>
      <c r="E146" t="s">
        <v>0</v>
      </c>
      <c r="F146">
        <v>0</v>
      </c>
      <c r="G146">
        <v>0</v>
      </c>
      <c r="H146">
        <v>5</v>
      </c>
      <c r="I146">
        <v>9.3333333333333339</v>
      </c>
      <c r="J146">
        <v>8.6666666666666661</v>
      </c>
      <c r="K146">
        <v>5.666666666666667</v>
      </c>
      <c r="L146">
        <v>4.666666666666667</v>
      </c>
      <c r="M146">
        <v>6</v>
      </c>
      <c r="N146">
        <v>5</v>
      </c>
      <c r="O146">
        <v>5</v>
      </c>
      <c r="P146">
        <v>3.333333333333333</v>
      </c>
      <c r="Q146">
        <v>3.5</v>
      </c>
      <c r="R146">
        <v>0</v>
      </c>
      <c r="S146">
        <v>0</v>
      </c>
      <c r="T146">
        <v>2</v>
      </c>
      <c r="U146">
        <v>4.8</v>
      </c>
      <c r="V146">
        <v>6.333333333333333</v>
      </c>
      <c r="W146">
        <v>5</v>
      </c>
      <c r="X146">
        <v>3.5555555555555549</v>
      </c>
      <c r="Y146">
        <v>3.2</v>
      </c>
      <c r="Z146">
        <v>3</v>
      </c>
      <c r="AA146">
        <v>0</v>
      </c>
      <c r="AB146">
        <v>0</v>
      </c>
      <c r="AC146">
        <v>2</v>
      </c>
      <c r="AD146">
        <v>3.6363636363636358</v>
      </c>
      <c r="AE146">
        <v>3.6</v>
      </c>
      <c r="AF146">
        <v>2.666666666666667</v>
      </c>
      <c r="AG146">
        <v>2</v>
      </c>
      <c r="AH146">
        <v>3</v>
      </c>
      <c r="AI146" s="1">
        <v>12</v>
      </c>
      <c r="AJ146" s="1">
        <v>1231</v>
      </c>
      <c r="AK146" s="1">
        <v>411</v>
      </c>
      <c r="AL146" t="s">
        <v>5</v>
      </c>
      <c r="AM146" t="s">
        <v>0</v>
      </c>
      <c r="AN146">
        <v>0</v>
      </c>
      <c r="AO146">
        <v>0</v>
      </c>
      <c r="AP146">
        <v>450</v>
      </c>
      <c r="AQ146">
        <v>880</v>
      </c>
      <c r="AR146">
        <v>820</v>
      </c>
      <c r="AS146">
        <v>510</v>
      </c>
      <c r="AT146">
        <v>420</v>
      </c>
      <c r="AU146">
        <v>612</v>
      </c>
      <c r="AV146">
        <v>450</v>
      </c>
      <c r="AW146">
        <v>450</v>
      </c>
      <c r="AX146">
        <v>300</v>
      </c>
      <c r="AY146">
        <v>315</v>
      </c>
      <c r="AZ146">
        <v>0</v>
      </c>
      <c r="BA146">
        <v>0</v>
      </c>
      <c r="BB146">
        <v>180</v>
      </c>
      <c r="BC146">
        <v>432</v>
      </c>
      <c r="BD146">
        <v>570</v>
      </c>
      <c r="BE146">
        <v>450</v>
      </c>
      <c r="BF146">
        <v>320</v>
      </c>
      <c r="BG146">
        <v>288</v>
      </c>
      <c r="BH146">
        <v>270</v>
      </c>
      <c r="BI146">
        <v>0</v>
      </c>
      <c r="BJ146">
        <v>0</v>
      </c>
      <c r="BK146">
        <v>180</v>
      </c>
      <c r="BL146">
        <v>327.27272727272731</v>
      </c>
      <c r="BM146">
        <v>324</v>
      </c>
      <c r="BN146">
        <v>240</v>
      </c>
      <c r="BO146">
        <v>180</v>
      </c>
      <c r="BP146">
        <v>270</v>
      </c>
      <c r="BQ146">
        <f>(I146+J146+N146+O146)/4</f>
        <v>7</v>
      </c>
      <c r="BR146">
        <f>(K146+L146+M146)/3</f>
        <v>5.4444444444444455</v>
      </c>
      <c r="BS146">
        <f>BQ146/BR146</f>
        <v>1.2857142857142854</v>
      </c>
      <c r="BT146">
        <f>AQ146/I146</f>
        <v>94.285714285714278</v>
      </c>
      <c r="BU146" t="str">
        <f>IF(OR(A146=2, A146=12), "Central", IF(A146=3, "Semi-Central", "Periférica"))</f>
        <v>Central</v>
      </c>
    </row>
    <row r="147" spans="1:73" x14ac:dyDescent="0.3">
      <c r="A147" s="1">
        <v>18</v>
      </c>
      <c r="B147" s="1">
        <v>1821</v>
      </c>
      <c r="C147" s="1">
        <v>321</v>
      </c>
      <c r="D147" t="s">
        <v>5</v>
      </c>
      <c r="E147" t="s">
        <v>0</v>
      </c>
      <c r="F147">
        <v>0</v>
      </c>
      <c r="G147">
        <v>0</v>
      </c>
      <c r="H147">
        <v>5</v>
      </c>
      <c r="I147">
        <v>4.666666666666667</v>
      </c>
      <c r="J147">
        <v>4.666666666666667</v>
      </c>
      <c r="K147">
        <v>3.666666666666667</v>
      </c>
      <c r="L147">
        <v>3.333333333333333</v>
      </c>
      <c r="M147">
        <v>4</v>
      </c>
      <c r="N147">
        <v>4.5</v>
      </c>
      <c r="O147">
        <v>5</v>
      </c>
      <c r="P147">
        <v>4</v>
      </c>
      <c r="Q147">
        <v>2</v>
      </c>
      <c r="R147">
        <v>0</v>
      </c>
      <c r="S147">
        <v>0</v>
      </c>
      <c r="T147">
        <v>3</v>
      </c>
      <c r="U147">
        <v>4</v>
      </c>
      <c r="V147">
        <v>4</v>
      </c>
      <c r="W147">
        <v>4.333333333333333</v>
      </c>
      <c r="X147">
        <v>4.2222222222222223</v>
      </c>
      <c r="Y147">
        <v>4</v>
      </c>
      <c r="Z147">
        <v>1.5</v>
      </c>
      <c r="AA147">
        <v>0</v>
      </c>
      <c r="AB147">
        <v>0</v>
      </c>
      <c r="AC147">
        <v>3</v>
      </c>
      <c r="AD147">
        <v>4</v>
      </c>
      <c r="AE147">
        <v>4</v>
      </c>
      <c r="AF147">
        <v>4</v>
      </c>
      <c r="AG147">
        <v>3</v>
      </c>
      <c r="AH147">
        <v>1.5</v>
      </c>
      <c r="AI147" s="1">
        <v>18</v>
      </c>
      <c r="AJ147" s="1">
        <v>1821</v>
      </c>
      <c r="AK147" s="1">
        <v>321</v>
      </c>
      <c r="AL147" t="s">
        <v>5</v>
      </c>
      <c r="AM147" t="s">
        <v>0</v>
      </c>
      <c r="AN147">
        <v>0</v>
      </c>
      <c r="AO147">
        <v>0</v>
      </c>
      <c r="AP147">
        <v>300</v>
      </c>
      <c r="AQ147">
        <v>280</v>
      </c>
      <c r="AR147">
        <v>280</v>
      </c>
      <c r="AS147">
        <v>220</v>
      </c>
      <c r="AT147">
        <v>200</v>
      </c>
      <c r="AU147">
        <v>240</v>
      </c>
      <c r="AV147">
        <v>270</v>
      </c>
      <c r="AW147">
        <v>300</v>
      </c>
      <c r="AX147">
        <v>240</v>
      </c>
      <c r="AY147">
        <v>120</v>
      </c>
      <c r="AZ147">
        <v>0</v>
      </c>
      <c r="BA147">
        <v>0</v>
      </c>
      <c r="BB147">
        <v>180</v>
      </c>
      <c r="BC147">
        <v>240</v>
      </c>
      <c r="BD147">
        <v>240</v>
      </c>
      <c r="BE147">
        <v>260</v>
      </c>
      <c r="BF147">
        <v>253.33333333333329</v>
      </c>
      <c r="BG147">
        <v>240</v>
      </c>
      <c r="BH147">
        <v>90</v>
      </c>
      <c r="BI147">
        <v>0</v>
      </c>
      <c r="BJ147">
        <v>0</v>
      </c>
      <c r="BK147">
        <v>180</v>
      </c>
      <c r="BL147">
        <v>240</v>
      </c>
      <c r="BM147">
        <v>240</v>
      </c>
      <c r="BN147">
        <v>240</v>
      </c>
      <c r="BO147">
        <v>180</v>
      </c>
      <c r="BP147">
        <v>90</v>
      </c>
      <c r="BQ147">
        <f>(I147+J147+N147+O147)/4</f>
        <v>4.7083333333333339</v>
      </c>
      <c r="BR147">
        <f>(K147+L147+M147)/3</f>
        <v>3.6666666666666665</v>
      </c>
      <c r="BS147">
        <f>BQ147/BR147</f>
        <v>1.2840909090909094</v>
      </c>
      <c r="BT147">
        <f>AQ147/I147</f>
        <v>59.999999999999993</v>
      </c>
      <c r="BU147" t="str">
        <f>IF(OR(A147=2, A147=12), "Central", IF(A147=3, "Semi-Central", "Periférica"))</f>
        <v>Periférica</v>
      </c>
    </row>
    <row r="148" spans="1:73" x14ac:dyDescent="0.3">
      <c r="A148" s="1">
        <v>5</v>
      </c>
      <c r="B148" s="1">
        <v>524</v>
      </c>
      <c r="C148" s="1" t="s">
        <v>370</v>
      </c>
      <c r="D148" t="s">
        <v>5</v>
      </c>
      <c r="E148" t="s">
        <v>0</v>
      </c>
      <c r="F148">
        <v>0</v>
      </c>
      <c r="G148">
        <v>0</v>
      </c>
      <c r="H148">
        <v>3</v>
      </c>
      <c r="I148">
        <v>8</v>
      </c>
      <c r="J148">
        <v>5.333333333333333</v>
      </c>
      <c r="K148">
        <v>5.333333333333333</v>
      </c>
      <c r="L148">
        <v>5.333333333333333</v>
      </c>
      <c r="M148">
        <v>5.6</v>
      </c>
      <c r="N148">
        <v>6.5</v>
      </c>
      <c r="O148">
        <v>8</v>
      </c>
      <c r="P148">
        <v>5.333333333333333</v>
      </c>
      <c r="Q148">
        <v>3</v>
      </c>
      <c r="R148">
        <v>0</v>
      </c>
      <c r="S148">
        <v>0</v>
      </c>
      <c r="T148">
        <v>2</v>
      </c>
      <c r="U148">
        <v>4</v>
      </c>
      <c r="V148">
        <v>3.6666666666666665</v>
      </c>
      <c r="W148">
        <v>4</v>
      </c>
      <c r="X148">
        <v>4.2222222222222223</v>
      </c>
      <c r="Y148">
        <v>4</v>
      </c>
      <c r="Z148">
        <v>2.5</v>
      </c>
      <c r="AA148">
        <v>0</v>
      </c>
      <c r="AB148">
        <v>0</v>
      </c>
      <c r="AC148">
        <v>3</v>
      </c>
      <c r="AD148">
        <v>3.6363636363636362</v>
      </c>
      <c r="AE148">
        <v>3</v>
      </c>
      <c r="AF148">
        <v>3.6666666666666665</v>
      </c>
      <c r="AG148">
        <v>3</v>
      </c>
      <c r="AH148">
        <v>2</v>
      </c>
      <c r="AI148" s="1">
        <v>5</v>
      </c>
      <c r="AJ148" s="1">
        <v>524</v>
      </c>
      <c r="AK148" s="1" t="s">
        <v>370</v>
      </c>
      <c r="AL148" t="s">
        <v>5</v>
      </c>
      <c r="AM148" t="s">
        <v>0</v>
      </c>
      <c r="AN148">
        <v>0</v>
      </c>
      <c r="AO148">
        <v>0</v>
      </c>
      <c r="AP148">
        <v>243</v>
      </c>
      <c r="AQ148">
        <v>648</v>
      </c>
      <c r="AR148">
        <v>432</v>
      </c>
      <c r="AS148">
        <v>432</v>
      </c>
      <c r="AT148">
        <v>432</v>
      </c>
      <c r="AU148">
        <v>453.6</v>
      </c>
      <c r="AV148">
        <v>526.5</v>
      </c>
      <c r="AW148">
        <v>648</v>
      </c>
      <c r="AX148">
        <v>432</v>
      </c>
      <c r="AY148">
        <v>243</v>
      </c>
      <c r="AZ148">
        <v>0</v>
      </c>
      <c r="BA148">
        <v>0</v>
      </c>
      <c r="BB148">
        <v>162</v>
      </c>
      <c r="BC148">
        <v>324</v>
      </c>
      <c r="BD148">
        <v>297</v>
      </c>
      <c r="BE148">
        <v>324</v>
      </c>
      <c r="BF148">
        <v>342</v>
      </c>
      <c r="BG148">
        <v>324</v>
      </c>
      <c r="BH148">
        <v>202.5</v>
      </c>
      <c r="BI148">
        <v>0</v>
      </c>
      <c r="BJ148">
        <v>0</v>
      </c>
      <c r="BK148">
        <v>243</v>
      </c>
      <c r="BL148">
        <v>294.54545454545456</v>
      </c>
      <c r="BM148">
        <v>243</v>
      </c>
      <c r="BN148">
        <v>297</v>
      </c>
      <c r="BO148">
        <v>243</v>
      </c>
      <c r="BP148">
        <v>162</v>
      </c>
      <c r="BQ148">
        <f>(I148+J148+N148+O148)/4</f>
        <v>6.958333333333333</v>
      </c>
      <c r="BR148">
        <f>(K148+L148+M148)/3</f>
        <v>5.4222222222222216</v>
      </c>
      <c r="BS148">
        <f>BQ148/BR148</f>
        <v>1.283299180327869</v>
      </c>
      <c r="BT148">
        <f>AQ148/I148</f>
        <v>81</v>
      </c>
      <c r="BU148" t="str">
        <f>IF(OR(A148=2, A148=12), "Central", IF(A148=3, "Semi-Central", "Periférica"))</f>
        <v>Periférica</v>
      </c>
    </row>
    <row r="149" spans="1:73" x14ac:dyDescent="0.3">
      <c r="A149" s="1">
        <v>5</v>
      </c>
      <c r="B149" s="1">
        <v>540</v>
      </c>
      <c r="C149" s="1" t="s">
        <v>185</v>
      </c>
      <c r="D149" t="s">
        <v>5</v>
      </c>
      <c r="E149" t="s">
        <v>0</v>
      </c>
      <c r="F149">
        <v>0</v>
      </c>
      <c r="G149">
        <v>0</v>
      </c>
      <c r="H149">
        <v>4</v>
      </c>
      <c r="I149">
        <v>6</v>
      </c>
      <c r="J149">
        <v>4.666666666666667</v>
      </c>
      <c r="K149">
        <v>4</v>
      </c>
      <c r="L149">
        <v>4</v>
      </c>
      <c r="M149">
        <v>4.4000000000000004</v>
      </c>
      <c r="N149">
        <v>5.5</v>
      </c>
      <c r="O149">
        <v>5</v>
      </c>
      <c r="P149">
        <v>4</v>
      </c>
      <c r="Q149">
        <v>2</v>
      </c>
      <c r="R149">
        <v>0</v>
      </c>
      <c r="S149">
        <v>0</v>
      </c>
      <c r="T149">
        <v>3</v>
      </c>
      <c r="U149">
        <v>4</v>
      </c>
      <c r="V149">
        <v>4</v>
      </c>
      <c r="W149">
        <v>4</v>
      </c>
      <c r="X149">
        <v>4</v>
      </c>
      <c r="Y149">
        <v>3.6</v>
      </c>
      <c r="Z149">
        <v>1</v>
      </c>
      <c r="AA149">
        <v>0</v>
      </c>
      <c r="AB149">
        <v>0</v>
      </c>
      <c r="AC149">
        <v>3</v>
      </c>
      <c r="AD149">
        <v>2.9090909090909092</v>
      </c>
      <c r="AE149">
        <v>3.6</v>
      </c>
      <c r="AF149">
        <v>3</v>
      </c>
      <c r="AG149">
        <v>3</v>
      </c>
      <c r="AH149">
        <v>1</v>
      </c>
      <c r="AI149" s="1">
        <v>5</v>
      </c>
      <c r="AJ149" s="1">
        <v>540</v>
      </c>
      <c r="AK149" s="1" t="s">
        <v>185</v>
      </c>
      <c r="AL149" t="s">
        <v>5</v>
      </c>
      <c r="AM149" t="s">
        <v>0</v>
      </c>
      <c r="AN149">
        <v>0</v>
      </c>
      <c r="AO149">
        <v>0</v>
      </c>
      <c r="AP149">
        <v>324</v>
      </c>
      <c r="AQ149">
        <v>486</v>
      </c>
      <c r="AR149">
        <v>378</v>
      </c>
      <c r="AS149">
        <v>324</v>
      </c>
      <c r="AT149">
        <v>324</v>
      </c>
      <c r="AU149">
        <v>356.4</v>
      </c>
      <c r="AV149">
        <v>445.5</v>
      </c>
      <c r="AW149">
        <v>405</v>
      </c>
      <c r="AX149">
        <v>324</v>
      </c>
      <c r="AY149">
        <v>162</v>
      </c>
      <c r="AZ149">
        <v>0</v>
      </c>
      <c r="BA149">
        <v>0</v>
      </c>
      <c r="BB149">
        <v>243</v>
      </c>
      <c r="BC149">
        <v>324</v>
      </c>
      <c r="BD149">
        <v>324</v>
      </c>
      <c r="BE149">
        <v>324</v>
      </c>
      <c r="BF149">
        <v>324</v>
      </c>
      <c r="BG149">
        <v>291.60000000000002</v>
      </c>
      <c r="BH149">
        <v>81</v>
      </c>
      <c r="BI149">
        <v>0</v>
      </c>
      <c r="BJ149">
        <v>0</v>
      </c>
      <c r="BK149">
        <v>243</v>
      </c>
      <c r="BL149">
        <v>235.63636363636363</v>
      </c>
      <c r="BM149">
        <v>291.60000000000002</v>
      </c>
      <c r="BN149">
        <v>243</v>
      </c>
      <c r="BO149">
        <v>243</v>
      </c>
      <c r="BP149">
        <v>81</v>
      </c>
      <c r="BQ149">
        <f>(I149+J149+N149+O149)/4</f>
        <v>5.291666666666667</v>
      </c>
      <c r="BR149">
        <f>(K149+L149+M149)/3</f>
        <v>4.1333333333333337</v>
      </c>
      <c r="BS149">
        <f>BQ149/BR149</f>
        <v>1.280241935483871</v>
      </c>
      <c r="BT149">
        <f>AQ149/I149</f>
        <v>81</v>
      </c>
      <c r="BU149" t="str">
        <f>IF(OR(A149=2, A149=12), "Central", IF(A149=3, "Semi-Central", "Periférica"))</f>
        <v>Periférica</v>
      </c>
    </row>
    <row r="150" spans="1:73" x14ac:dyDescent="0.3">
      <c r="A150" s="1">
        <v>3</v>
      </c>
      <c r="B150" s="1">
        <v>378</v>
      </c>
      <c r="C150" s="1" t="s">
        <v>362</v>
      </c>
      <c r="D150" t="s">
        <v>1</v>
      </c>
      <c r="E150" t="s">
        <v>0</v>
      </c>
      <c r="F150">
        <v>0</v>
      </c>
      <c r="G150">
        <v>0</v>
      </c>
      <c r="H150">
        <v>5</v>
      </c>
      <c r="I150">
        <v>12.666666666666666</v>
      </c>
      <c r="J150">
        <v>10.666666666666666</v>
      </c>
      <c r="K150">
        <v>10.666666666666666</v>
      </c>
      <c r="L150">
        <v>11.333333333333334</v>
      </c>
      <c r="M150">
        <v>11.6</v>
      </c>
      <c r="N150">
        <v>16</v>
      </c>
      <c r="O150">
        <v>18</v>
      </c>
      <c r="P150">
        <v>9.3333333333333339</v>
      </c>
      <c r="Q150">
        <v>7</v>
      </c>
      <c r="R150">
        <v>0</v>
      </c>
      <c r="S150">
        <v>0</v>
      </c>
      <c r="T150">
        <v>3</v>
      </c>
      <c r="U150">
        <v>4.8</v>
      </c>
      <c r="V150">
        <v>5</v>
      </c>
      <c r="W150">
        <v>4.666666666666667</v>
      </c>
      <c r="X150">
        <v>4.2222222222222223</v>
      </c>
      <c r="Y150">
        <v>4.4000000000000004</v>
      </c>
      <c r="Z150">
        <v>3.5</v>
      </c>
      <c r="AA150">
        <v>0</v>
      </c>
      <c r="AB150">
        <v>0</v>
      </c>
      <c r="AC150">
        <v>2.5</v>
      </c>
      <c r="AD150">
        <v>4</v>
      </c>
      <c r="AE150">
        <v>4</v>
      </c>
      <c r="AF150">
        <v>4</v>
      </c>
      <c r="AG150">
        <v>4</v>
      </c>
      <c r="AH150">
        <v>2.5</v>
      </c>
      <c r="AI150" s="1">
        <v>3</v>
      </c>
      <c r="AJ150" s="1">
        <v>378</v>
      </c>
      <c r="AK150" s="1" t="s">
        <v>362</v>
      </c>
      <c r="AL150" t="s">
        <v>1</v>
      </c>
      <c r="AM150" t="s">
        <v>0</v>
      </c>
      <c r="AN150">
        <v>0</v>
      </c>
      <c r="AO150">
        <v>0</v>
      </c>
      <c r="AP150">
        <v>490</v>
      </c>
      <c r="AQ150">
        <v>1241.3333333333333</v>
      </c>
      <c r="AR150">
        <v>1045.3333333333333</v>
      </c>
      <c r="AS150">
        <v>1045.3333333333333</v>
      </c>
      <c r="AT150">
        <v>1110.6666666666667</v>
      </c>
      <c r="AU150">
        <v>1136.8</v>
      </c>
      <c r="AV150">
        <v>1568</v>
      </c>
      <c r="AW150">
        <v>1764</v>
      </c>
      <c r="AX150">
        <v>914.66666666666663</v>
      </c>
      <c r="AY150">
        <v>686</v>
      </c>
      <c r="AZ150">
        <v>0</v>
      </c>
      <c r="BA150">
        <v>0</v>
      </c>
      <c r="BB150">
        <v>294</v>
      </c>
      <c r="BC150">
        <v>470.4</v>
      </c>
      <c r="BD150">
        <v>490</v>
      </c>
      <c r="BE150">
        <v>457.33333333333331</v>
      </c>
      <c r="BF150">
        <v>413.77777777777777</v>
      </c>
      <c r="BG150">
        <v>431.2</v>
      </c>
      <c r="BH150">
        <v>343</v>
      </c>
      <c r="BI150">
        <v>0</v>
      </c>
      <c r="BJ150">
        <v>0</v>
      </c>
      <c r="BK150">
        <v>245</v>
      </c>
      <c r="BL150">
        <v>392</v>
      </c>
      <c r="BM150">
        <v>392</v>
      </c>
      <c r="BN150">
        <v>392</v>
      </c>
      <c r="BO150">
        <v>392</v>
      </c>
      <c r="BP150">
        <v>245</v>
      </c>
      <c r="BQ150">
        <f>(I150+J150+N150+O150)/4</f>
        <v>14.333333333333332</v>
      </c>
      <c r="BR150">
        <f>(K150+L150+M150)/3</f>
        <v>11.200000000000001</v>
      </c>
      <c r="BS150">
        <f>BQ150/BR150</f>
        <v>1.2797619047619044</v>
      </c>
      <c r="BT150">
        <f>AQ150/I150</f>
        <v>98</v>
      </c>
      <c r="BU150" t="str">
        <f>IF(OR(A150=2, A150=12), "Central", IF(A150=3, "Semi-Central", "Periférica"))</f>
        <v>Semi-Central</v>
      </c>
    </row>
    <row r="151" spans="1:73" x14ac:dyDescent="0.3">
      <c r="A151" s="1">
        <v>14</v>
      </c>
      <c r="B151" s="1">
        <v>1408</v>
      </c>
      <c r="C151" s="1">
        <v>108</v>
      </c>
      <c r="D151" t="s">
        <v>5</v>
      </c>
      <c r="F151">
        <v>0</v>
      </c>
      <c r="G151">
        <v>1.1111111111111109</v>
      </c>
      <c r="H151">
        <v>8</v>
      </c>
      <c r="I151">
        <v>8</v>
      </c>
      <c r="J151">
        <v>6.666666666666667</v>
      </c>
      <c r="K151">
        <v>5</v>
      </c>
      <c r="L151">
        <v>5.333333333333333</v>
      </c>
      <c r="M151">
        <v>5.6</v>
      </c>
      <c r="N151">
        <v>6.5</v>
      </c>
      <c r="O151">
        <v>6</v>
      </c>
      <c r="P151">
        <v>4</v>
      </c>
      <c r="Q151">
        <v>3.5</v>
      </c>
      <c r="R151">
        <v>0</v>
      </c>
      <c r="S151">
        <v>0.44444444444444442</v>
      </c>
      <c r="T151">
        <v>4</v>
      </c>
      <c r="U151">
        <v>4.8</v>
      </c>
      <c r="V151">
        <v>5</v>
      </c>
      <c r="W151">
        <v>4.666666666666667</v>
      </c>
      <c r="X151">
        <v>4.8888888888888893</v>
      </c>
      <c r="Y151">
        <v>4</v>
      </c>
      <c r="Z151">
        <v>2.5</v>
      </c>
      <c r="AA151">
        <v>0</v>
      </c>
      <c r="AB151">
        <v>0</v>
      </c>
      <c r="AC151">
        <v>3</v>
      </c>
      <c r="AD151">
        <v>4</v>
      </c>
      <c r="AE151">
        <v>4.2</v>
      </c>
      <c r="AF151">
        <v>3.666666666666667</v>
      </c>
      <c r="AG151">
        <v>3</v>
      </c>
      <c r="AH151">
        <v>2.5</v>
      </c>
      <c r="AI151" s="1">
        <v>14</v>
      </c>
      <c r="AJ151" s="1">
        <v>1408</v>
      </c>
      <c r="AK151" s="1">
        <v>108</v>
      </c>
      <c r="AL151" t="s">
        <v>5</v>
      </c>
      <c r="AN151">
        <v>0</v>
      </c>
      <c r="AO151">
        <v>100</v>
      </c>
      <c r="AP151">
        <v>720</v>
      </c>
      <c r="AQ151">
        <v>720</v>
      </c>
      <c r="AR151">
        <v>600</v>
      </c>
      <c r="AS151">
        <v>450</v>
      </c>
      <c r="AT151">
        <v>480</v>
      </c>
      <c r="AU151">
        <v>504</v>
      </c>
      <c r="AV151">
        <v>585</v>
      </c>
      <c r="AW151">
        <v>540</v>
      </c>
      <c r="AX151">
        <v>360</v>
      </c>
      <c r="AY151">
        <v>315</v>
      </c>
      <c r="AZ151">
        <v>0</v>
      </c>
      <c r="BA151">
        <v>40</v>
      </c>
      <c r="BB151">
        <v>360</v>
      </c>
      <c r="BC151">
        <v>432</v>
      </c>
      <c r="BD151">
        <v>450</v>
      </c>
      <c r="BE151">
        <v>420</v>
      </c>
      <c r="BF151">
        <v>440</v>
      </c>
      <c r="BG151">
        <v>360</v>
      </c>
      <c r="BH151">
        <v>225</v>
      </c>
      <c r="BI151">
        <v>0</v>
      </c>
      <c r="BJ151">
        <v>0</v>
      </c>
      <c r="BK151">
        <v>270</v>
      </c>
      <c r="BL151">
        <v>360</v>
      </c>
      <c r="BM151">
        <v>378</v>
      </c>
      <c r="BN151">
        <v>330</v>
      </c>
      <c r="BO151">
        <v>270</v>
      </c>
      <c r="BP151">
        <v>225</v>
      </c>
      <c r="BQ151">
        <f>(I151+J151+N151+O151)/4</f>
        <v>6.791666666666667</v>
      </c>
      <c r="BR151">
        <f>(K151+L151+M151)/3</f>
        <v>5.3111111111111109</v>
      </c>
      <c r="BS151">
        <f>BQ151/BR151</f>
        <v>1.2787656903765692</v>
      </c>
      <c r="BT151">
        <f>AQ151/I151</f>
        <v>90</v>
      </c>
      <c r="BU151" t="str">
        <f>IF(OR(A151=2, A151=12), "Central", IF(A151=3, "Semi-Central", "Periférica"))</f>
        <v>Periférica</v>
      </c>
    </row>
    <row r="152" spans="1:73" x14ac:dyDescent="0.3">
      <c r="A152" s="1">
        <v>5</v>
      </c>
      <c r="B152" s="1">
        <v>501</v>
      </c>
      <c r="C152" s="1">
        <v>501</v>
      </c>
      <c r="D152" s="1" t="s">
        <v>5</v>
      </c>
      <c r="E152" t="s">
        <v>0</v>
      </c>
      <c r="F152">
        <v>0</v>
      </c>
      <c r="G152">
        <v>0</v>
      </c>
      <c r="H152">
        <v>3</v>
      </c>
      <c r="I152">
        <v>10.666666666666666</v>
      </c>
      <c r="J152">
        <v>10</v>
      </c>
      <c r="K152">
        <v>6.666666666666667</v>
      </c>
      <c r="L152">
        <v>8</v>
      </c>
      <c r="M152">
        <v>9.1999999999999993</v>
      </c>
      <c r="N152">
        <v>11</v>
      </c>
      <c r="O152">
        <v>9</v>
      </c>
      <c r="P152">
        <v>4.666666666666667</v>
      </c>
      <c r="Q152">
        <v>3</v>
      </c>
      <c r="R152">
        <v>0</v>
      </c>
      <c r="S152">
        <v>0</v>
      </c>
      <c r="T152">
        <v>2</v>
      </c>
      <c r="U152">
        <v>4</v>
      </c>
      <c r="V152">
        <v>4</v>
      </c>
      <c r="W152">
        <v>4</v>
      </c>
      <c r="X152">
        <v>4</v>
      </c>
      <c r="Y152">
        <v>3.6</v>
      </c>
      <c r="Z152">
        <v>2.5</v>
      </c>
      <c r="AA152">
        <v>0</v>
      </c>
      <c r="AB152">
        <v>0</v>
      </c>
      <c r="AC152">
        <v>2.5</v>
      </c>
      <c r="AD152">
        <v>3.0909090909090908</v>
      </c>
      <c r="AE152">
        <v>3</v>
      </c>
      <c r="AF152">
        <v>3</v>
      </c>
      <c r="AG152">
        <v>3</v>
      </c>
      <c r="AH152">
        <v>2.5</v>
      </c>
      <c r="AI152" s="1">
        <v>5</v>
      </c>
      <c r="AJ152" s="1">
        <v>501</v>
      </c>
      <c r="AK152" s="1">
        <v>501</v>
      </c>
      <c r="AL152" s="1" t="s">
        <v>5</v>
      </c>
      <c r="AM152" t="s">
        <v>0</v>
      </c>
      <c r="AN152">
        <v>0</v>
      </c>
      <c r="AO152">
        <v>0</v>
      </c>
      <c r="AP152">
        <v>243</v>
      </c>
      <c r="AQ152">
        <v>864</v>
      </c>
      <c r="AR152">
        <v>810</v>
      </c>
      <c r="AS152">
        <v>540</v>
      </c>
      <c r="AT152">
        <v>648</v>
      </c>
      <c r="AU152">
        <v>745.2</v>
      </c>
      <c r="AV152">
        <v>891</v>
      </c>
      <c r="AW152">
        <v>729</v>
      </c>
      <c r="AX152">
        <v>378</v>
      </c>
      <c r="AY152">
        <v>243</v>
      </c>
      <c r="AZ152">
        <v>0</v>
      </c>
      <c r="BA152">
        <v>0</v>
      </c>
      <c r="BB152">
        <v>162</v>
      </c>
      <c r="BC152">
        <v>324</v>
      </c>
      <c r="BD152">
        <v>324</v>
      </c>
      <c r="BE152">
        <v>324</v>
      </c>
      <c r="BF152">
        <v>324</v>
      </c>
      <c r="BG152">
        <v>291.60000000000002</v>
      </c>
      <c r="BH152">
        <v>202.5</v>
      </c>
      <c r="BI152">
        <v>0</v>
      </c>
      <c r="BJ152">
        <v>0</v>
      </c>
      <c r="BK152">
        <v>202.5</v>
      </c>
      <c r="BL152">
        <v>250.36363636363637</v>
      </c>
      <c r="BM152">
        <v>243</v>
      </c>
      <c r="BN152">
        <v>243</v>
      </c>
      <c r="BO152">
        <v>243</v>
      </c>
      <c r="BP152">
        <v>202.5</v>
      </c>
      <c r="BQ152">
        <f>(I152+J152+N152+O152)/4</f>
        <v>10.166666666666666</v>
      </c>
      <c r="BR152">
        <f>(K152+L152+M152)/3</f>
        <v>7.9555555555555557</v>
      </c>
      <c r="BS152">
        <f>BQ152/BR152</f>
        <v>1.2779329608938546</v>
      </c>
      <c r="BT152">
        <f>AQ152/I152</f>
        <v>81</v>
      </c>
      <c r="BU152" t="str">
        <f>IF(OR(A152=2, A152=12), "Central", IF(A152=3, "Semi-Central", "Periférica"))</f>
        <v>Periférica</v>
      </c>
    </row>
    <row r="153" spans="1:73" x14ac:dyDescent="0.3">
      <c r="A153" s="1">
        <v>5</v>
      </c>
      <c r="B153" s="1">
        <v>518</v>
      </c>
      <c r="C153" s="1">
        <v>518</v>
      </c>
      <c r="D153" t="s">
        <v>1</v>
      </c>
      <c r="E153" t="s">
        <v>0</v>
      </c>
      <c r="F153">
        <v>2</v>
      </c>
      <c r="G153">
        <v>2.2222222222222223</v>
      </c>
      <c r="H153">
        <v>4</v>
      </c>
      <c r="I153">
        <v>9.3333333333333339</v>
      </c>
      <c r="J153">
        <v>6.666666666666667</v>
      </c>
      <c r="K153">
        <v>5</v>
      </c>
      <c r="L153">
        <v>6</v>
      </c>
      <c r="M153">
        <v>7.2</v>
      </c>
      <c r="N153">
        <v>8</v>
      </c>
      <c r="O153">
        <v>7</v>
      </c>
      <c r="P153">
        <v>4.666666666666667</v>
      </c>
      <c r="Q153">
        <v>3.5</v>
      </c>
      <c r="R153">
        <v>2</v>
      </c>
      <c r="S153">
        <v>2.2222222222222223</v>
      </c>
      <c r="T153">
        <v>3</v>
      </c>
      <c r="U153">
        <v>5.2</v>
      </c>
      <c r="V153">
        <v>4.666666666666667</v>
      </c>
      <c r="W153">
        <v>4.666666666666667</v>
      </c>
      <c r="X153">
        <v>4.4444444444444446</v>
      </c>
      <c r="Y153">
        <v>4</v>
      </c>
      <c r="Z153">
        <v>3</v>
      </c>
      <c r="AA153">
        <v>2</v>
      </c>
      <c r="AB153">
        <v>2.2222222222222223</v>
      </c>
      <c r="AC153">
        <v>3</v>
      </c>
      <c r="AD153">
        <v>3.6363636363636362</v>
      </c>
      <c r="AE153">
        <v>4</v>
      </c>
      <c r="AF153">
        <v>3.6666666666666665</v>
      </c>
      <c r="AG153">
        <v>4</v>
      </c>
      <c r="AH153">
        <v>3</v>
      </c>
      <c r="AI153" s="1">
        <v>5</v>
      </c>
      <c r="AJ153" s="1">
        <v>518</v>
      </c>
      <c r="AK153" s="1">
        <v>518</v>
      </c>
      <c r="AL153" t="s">
        <v>1</v>
      </c>
      <c r="AM153" t="s">
        <v>0</v>
      </c>
      <c r="AN153">
        <v>162</v>
      </c>
      <c r="AO153">
        <v>180</v>
      </c>
      <c r="AP153">
        <v>324</v>
      </c>
      <c r="AQ153">
        <v>756</v>
      </c>
      <c r="AR153">
        <v>587.33333333333337</v>
      </c>
      <c r="AS153">
        <v>428.66666666666669</v>
      </c>
      <c r="AT153">
        <v>486</v>
      </c>
      <c r="AU153">
        <v>611.6</v>
      </c>
      <c r="AV153">
        <v>683.5</v>
      </c>
      <c r="AW153">
        <v>602.5</v>
      </c>
      <c r="AX153">
        <v>378</v>
      </c>
      <c r="AY153">
        <v>283.5</v>
      </c>
      <c r="AZ153">
        <v>162</v>
      </c>
      <c r="BA153">
        <v>180</v>
      </c>
      <c r="BB153">
        <v>243</v>
      </c>
      <c r="BC153">
        <v>421.2</v>
      </c>
      <c r="BD153">
        <v>378</v>
      </c>
      <c r="BE153">
        <v>378</v>
      </c>
      <c r="BF153">
        <v>360</v>
      </c>
      <c r="BG153">
        <v>324</v>
      </c>
      <c r="BH153">
        <v>243</v>
      </c>
      <c r="BI153">
        <v>162</v>
      </c>
      <c r="BJ153">
        <v>180</v>
      </c>
      <c r="BK153">
        <v>243</v>
      </c>
      <c r="BL153">
        <v>294.54545454545456</v>
      </c>
      <c r="BM153">
        <v>324</v>
      </c>
      <c r="BN153">
        <v>297</v>
      </c>
      <c r="BO153">
        <v>324</v>
      </c>
      <c r="BP153">
        <v>243</v>
      </c>
      <c r="BQ153">
        <f>(I153+J153+N153+O153)/4</f>
        <v>7.75</v>
      </c>
      <c r="BR153">
        <f>(K153+L153+M153)/3</f>
        <v>6.0666666666666664</v>
      </c>
      <c r="BS153">
        <f>BQ153/BR153</f>
        <v>1.2774725274725276</v>
      </c>
      <c r="BT153">
        <f>AQ153/I153</f>
        <v>81</v>
      </c>
      <c r="BU153" t="str">
        <f>IF(OR(A153=2, A153=12), "Central", IF(A153=3, "Semi-Central", "Periférica"))</f>
        <v>Periférica</v>
      </c>
    </row>
    <row r="154" spans="1:73" x14ac:dyDescent="0.3">
      <c r="A154" s="1">
        <v>3</v>
      </c>
      <c r="B154" s="1">
        <v>320</v>
      </c>
      <c r="C154" s="1">
        <v>121</v>
      </c>
      <c r="D154" t="s">
        <v>1</v>
      </c>
      <c r="E154" t="s">
        <v>0</v>
      </c>
      <c r="F154">
        <v>0</v>
      </c>
      <c r="G154">
        <v>0</v>
      </c>
      <c r="H154">
        <v>6</v>
      </c>
      <c r="I154">
        <v>8</v>
      </c>
      <c r="J154">
        <v>6</v>
      </c>
      <c r="K154">
        <v>5.333333333333333</v>
      </c>
      <c r="L154">
        <v>5.333333333333333</v>
      </c>
      <c r="M154">
        <v>5.2</v>
      </c>
      <c r="N154">
        <v>6.5</v>
      </c>
      <c r="O154">
        <v>6.5</v>
      </c>
      <c r="P154">
        <v>4</v>
      </c>
      <c r="Q154">
        <v>2</v>
      </c>
      <c r="R154">
        <v>0</v>
      </c>
      <c r="S154">
        <v>0</v>
      </c>
      <c r="T154">
        <v>3</v>
      </c>
      <c r="U154">
        <v>5.2</v>
      </c>
      <c r="V154">
        <v>4.333333333333333</v>
      </c>
      <c r="W154">
        <v>4.333333333333333</v>
      </c>
      <c r="X154">
        <v>4</v>
      </c>
      <c r="Y154">
        <v>4.4000000000000004</v>
      </c>
      <c r="Z154">
        <v>1.5</v>
      </c>
      <c r="AA154">
        <v>0</v>
      </c>
      <c r="AB154">
        <v>0</v>
      </c>
      <c r="AC154">
        <v>3</v>
      </c>
      <c r="AD154">
        <v>4</v>
      </c>
      <c r="AE154">
        <v>4</v>
      </c>
      <c r="AF154">
        <v>4</v>
      </c>
      <c r="AG154">
        <v>3</v>
      </c>
      <c r="AH154">
        <v>1</v>
      </c>
      <c r="AI154" s="1">
        <v>3</v>
      </c>
      <c r="AJ154" s="1">
        <v>320</v>
      </c>
      <c r="AK154" s="1">
        <v>121</v>
      </c>
      <c r="AL154" t="s">
        <v>1</v>
      </c>
      <c r="AM154" t="s">
        <v>0</v>
      </c>
      <c r="AN154">
        <v>0</v>
      </c>
      <c r="AO154">
        <v>0</v>
      </c>
      <c r="AP154">
        <v>588</v>
      </c>
      <c r="AQ154">
        <v>784</v>
      </c>
      <c r="AR154">
        <v>588</v>
      </c>
      <c r="AS154">
        <v>522.66666666666663</v>
      </c>
      <c r="AT154">
        <v>522.66666666666663</v>
      </c>
      <c r="AU154">
        <v>509.6</v>
      </c>
      <c r="AV154">
        <v>637</v>
      </c>
      <c r="AW154">
        <v>637</v>
      </c>
      <c r="AX154">
        <v>392</v>
      </c>
      <c r="AY154">
        <v>196</v>
      </c>
      <c r="AZ154">
        <v>0</v>
      </c>
      <c r="BA154">
        <v>0</v>
      </c>
      <c r="BB154">
        <v>294</v>
      </c>
      <c r="BC154">
        <v>509.6</v>
      </c>
      <c r="BD154">
        <v>424.66666666666669</v>
      </c>
      <c r="BE154">
        <v>424.66666666666669</v>
      </c>
      <c r="BF154">
        <v>392</v>
      </c>
      <c r="BG154">
        <v>431.2</v>
      </c>
      <c r="BH154">
        <v>147</v>
      </c>
      <c r="BI154">
        <v>0</v>
      </c>
      <c r="BJ154">
        <v>0</v>
      </c>
      <c r="BK154">
        <v>294</v>
      </c>
      <c r="BL154">
        <v>392</v>
      </c>
      <c r="BM154">
        <v>392</v>
      </c>
      <c r="BN154">
        <v>392</v>
      </c>
      <c r="BO154">
        <v>294</v>
      </c>
      <c r="BP154">
        <v>98</v>
      </c>
      <c r="BQ154">
        <f>(I154+J154+N154+O154)/4</f>
        <v>6.75</v>
      </c>
      <c r="BR154">
        <f>(K154+L154+M154)/3</f>
        <v>5.2888888888888888</v>
      </c>
      <c r="BS154">
        <f>BQ154/BR154</f>
        <v>1.2762605042016808</v>
      </c>
      <c r="BT154">
        <f>AQ154/I154</f>
        <v>98</v>
      </c>
      <c r="BU154" t="str">
        <f>IF(OR(A154=2, A154=12), "Central", IF(A154=3, "Semi-Central", "Periférica"))</f>
        <v>Semi-Central</v>
      </c>
    </row>
    <row r="155" spans="1:73" x14ac:dyDescent="0.3">
      <c r="A155" s="1">
        <v>16</v>
      </c>
      <c r="B155" s="1">
        <v>1609</v>
      </c>
      <c r="C155" s="1">
        <v>209</v>
      </c>
      <c r="D155" t="s">
        <v>1</v>
      </c>
      <c r="E155" t="s">
        <v>0</v>
      </c>
      <c r="F155">
        <v>2</v>
      </c>
      <c r="G155">
        <v>0.88888888888888884</v>
      </c>
      <c r="H155">
        <v>8</v>
      </c>
      <c r="I155">
        <v>7.333333333333333</v>
      </c>
      <c r="J155">
        <v>8</v>
      </c>
      <c r="K155">
        <v>6</v>
      </c>
      <c r="L155">
        <v>4.666666666666667</v>
      </c>
      <c r="M155">
        <v>6</v>
      </c>
      <c r="N155">
        <v>7</v>
      </c>
      <c r="O155">
        <v>6</v>
      </c>
      <c r="P155">
        <v>4.666666666666667</v>
      </c>
      <c r="Q155">
        <v>4</v>
      </c>
      <c r="R155">
        <v>2</v>
      </c>
      <c r="S155">
        <v>0</v>
      </c>
      <c r="T155">
        <v>7</v>
      </c>
      <c r="U155">
        <v>6.4</v>
      </c>
      <c r="V155">
        <v>6</v>
      </c>
      <c r="W155">
        <v>6</v>
      </c>
      <c r="X155">
        <v>5.1111111111111107</v>
      </c>
      <c r="Y155">
        <v>4.4000000000000004</v>
      </c>
      <c r="Z155">
        <v>4</v>
      </c>
      <c r="AA155">
        <v>2</v>
      </c>
      <c r="AB155">
        <v>0</v>
      </c>
      <c r="AC155">
        <v>4.5</v>
      </c>
      <c r="AD155">
        <v>4.9090909090909092</v>
      </c>
      <c r="AE155">
        <v>4.8</v>
      </c>
      <c r="AF155">
        <v>4.666666666666667</v>
      </c>
      <c r="AG155">
        <v>4</v>
      </c>
      <c r="AH155">
        <v>3.5</v>
      </c>
      <c r="AI155" s="1">
        <v>16</v>
      </c>
      <c r="AJ155" s="1">
        <v>1609</v>
      </c>
      <c r="AK155" s="1">
        <v>209</v>
      </c>
      <c r="AL155" t="s">
        <v>1</v>
      </c>
      <c r="AM155" t="s">
        <v>0</v>
      </c>
      <c r="AN155">
        <v>300</v>
      </c>
      <c r="AO155">
        <v>133.33333333333329</v>
      </c>
      <c r="AP155">
        <v>1200</v>
      </c>
      <c r="AQ155">
        <v>1100</v>
      </c>
      <c r="AR155">
        <v>1200</v>
      </c>
      <c r="AS155">
        <v>900</v>
      </c>
      <c r="AT155">
        <v>700</v>
      </c>
      <c r="AU155">
        <v>900</v>
      </c>
      <c r="AV155">
        <v>1050</v>
      </c>
      <c r="AW155">
        <v>900</v>
      </c>
      <c r="AX155">
        <v>700</v>
      </c>
      <c r="AY155">
        <v>600</v>
      </c>
      <c r="AZ155">
        <v>300</v>
      </c>
      <c r="BA155">
        <v>0</v>
      </c>
      <c r="BB155">
        <v>1050</v>
      </c>
      <c r="BC155">
        <v>960</v>
      </c>
      <c r="BD155">
        <v>900</v>
      </c>
      <c r="BE155">
        <v>900</v>
      </c>
      <c r="BF155">
        <v>766.66666666666663</v>
      </c>
      <c r="BG155">
        <v>660</v>
      </c>
      <c r="BH155">
        <v>600</v>
      </c>
      <c r="BI155">
        <v>180</v>
      </c>
      <c r="BJ155">
        <v>0</v>
      </c>
      <c r="BK155">
        <v>405</v>
      </c>
      <c r="BL155">
        <v>441.81818181818181</v>
      </c>
      <c r="BM155">
        <v>432</v>
      </c>
      <c r="BN155">
        <v>420</v>
      </c>
      <c r="BO155">
        <v>360</v>
      </c>
      <c r="BP155">
        <v>315</v>
      </c>
      <c r="BQ155">
        <f>(I155+J155+N155+O155)/4</f>
        <v>7.083333333333333</v>
      </c>
      <c r="BR155">
        <f>(K155+L155+M155)/3</f>
        <v>5.5555555555555562</v>
      </c>
      <c r="BS155">
        <f>BQ155/BR155</f>
        <v>1.2749999999999997</v>
      </c>
      <c r="BT155">
        <f>AQ155/I155</f>
        <v>150</v>
      </c>
      <c r="BU155" t="str">
        <f>IF(OR(A155=2, A155=12), "Central", IF(A155=3, "Semi-Central", "Periférica"))</f>
        <v>Periférica</v>
      </c>
    </row>
    <row r="156" spans="1:73" x14ac:dyDescent="0.3">
      <c r="A156" s="1">
        <v>19</v>
      </c>
      <c r="B156" s="1">
        <v>1914</v>
      </c>
      <c r="C156" s="1">
        <v>214</v>
      </c>
      <c r="D156" t="s">
        <v>5</v>
      </c>
      <c r="E156" t="s">
        <v>0</v>
      </c>
      <c r="F156">
        <v>0</v>
      </c>
      <c r="G156">
        <v>0</v>
      </c>
      <c r="H156">
        <v>6</v>
      </c>
      <c r="I156">
        <v>8</v>
      </c>
      <c r="J156">
        <v>6.666666666666667</v>
      </c>
      <c r="K156">
        <v>5.333333333333333</v>
      </c>
      <c r="L156">
        <v>4.666666666666667</v>
      </c>
      <c r="M156">
        <v>6</v>
      </c>
      <c r="N156">
        <v>6.5</v>
      </c>
      <c r="O156">
        <v>6</v>
      </c>
      <c r="P156">
        <v>4.666666666666667</v>
      </c>
      <c r="Q156">
        <v>3.5</v>
      </c>
      <c r="R156">
        <v>0</v>
      </c>
      <c r="S156">
        <v>0</v>
      </c>
      <c r="T156">
        <v>4</v>
      </c>
      <c r="U156">
        <v>4.8</v>
      </c>
      <c r="V156">
        <v>5.333333333333333</v>
      </c>
      <c r="W156">
        <v>4.666666666666667</v>
      </c>
      <c r="X156">
        <v>5.1111111111111107</v>
      </c>
      <c r="Y156">
        <v>4</v>
      </c>
      <c r="Z156">
        <v>3.5</v>
      </c>
      <c r="AA156">
        <v>0</v>
      </c>
      <c r="AB156">
        <v>0</v>
      </c>
      <c r="AC156">
        <v>3</v>
      </c>
      <c r="AD156">
        <v>4.1818181818181817</v>
      </c>
      <c r="AE156">
        <v>4</v>
      </c>
      <c r="AF156">
        <v>4</v>
      </c>
      <c r="AG156">
        <v>3</v>
      </c>
      <c r="AH156">
        <v>3</v>
      </c>
      <c r="AI156" s="1">
        <v>19</v>
      </c>
      <c r="AJ156" s="1">
        <v>1914</v>
      </c>
      <c r="AK156" s="1">
        <v>214</v>
      </c>
      <c r="AL156" t="s">
        <v>5</v>
      </c>
      <c r="AM156" t="s">
        <v>0</v>
      </c>
      <c r="AN156">
        <v>0</v>
      </c>
      <c r="AO156">
        <v>0</v>
      </c>
      <c r="AP156">
        <v>540</v>
      </c>
      <c r="AQ156">
        <v>720</v>
      </c>
      <c r="AR156">
        <v>600</v>
      </c>
      <c r="AS156">
        <v>480</v>
      </c>
      <c r="AT156">
        <v>420</v>
      </c>
      <c r="AU156">
        <v>540</v>
      </c>
      <c r="AV156">
        <v>585</v>
      </c>
      <c r="AW156">
        <v>540</v>
      </c>
      <c r="AX156">
        <v>420</v>
      </c>
      <c r="AY156">
        <v>315</v>
      </c>
      <c r="AZ156">
        <v>0</v>
      </c>
      <c r="BA156">
        <v>0</v>
      </c>
      <c r="BB156">
        <v>360</v>
      </c>
      <c r="BC156">
        <v>432</v>
      </c>
      <c r="BD156">
        <v>480</v>
      </c>
      <c r="BE156">
        <v>420</v>
      </c>
      <c r="BF156">
        <v>460</v>
      </c>
      <c r="BG156">
        <v>360</v>
      </c>
      <c r="BH156">
        <v>315</v>
      </c>
      <c r="BI156">
        <v>0</v>
      </c>
      <c r="BJ156">
        <v>0</v>
      </c>
      <c r="BK156">
        <v>270</v>
      </c>
      <c r="BL156">
        <v>376.36363636363637</v>
      </c>
      <c r="BM156">
        <v>360</v>
      </c>
      <c r="BN156">
        <v>360</v>
      </c>
      <c r="BO156">
        <v>270</v>
      </c>
      <c r="BP156">
        <v>270</v>
      </c>
      <c r="BQ156">
        <f>(I156+J156+N156+O156)/4</f>
        <v>6.791666666666667</v>
      </c>
      <c r="BR156">
        <f>(K156+L156+M156)/3</f>
        <v>5.333333333333333</v>
      </c>
      <c r="BS156">
        <f>BQ156/BR156</f>
        <v>1.2734375000000002</v>
      </c>
      <c r="BT156">
        <f>AQ156/I156</f>
        <v>90</v>
      </c>
      <c r="BU156" t="str">
        <f>IF(OR(A156=2, A156=12), "Central", IF(A156=3, "Semi-Central", "Periférica"))</f>
        <v>Periférica</v>
      </c>
    </row>
    <row r="157" spans="1:73" x14ac:dyDescent="0.3">
      <c r="A157" s="1">
        <v>19</v>
      </c>
      <c r="B157" s="1">
        <v>1914</v>
      </c>
      <c r="C157" s="1">
        <v>214</v>
      </c>
      <c r="D157" t="s">
        <v>1</v>
      </c>
      <c r="E157" t="s">
        <v>0</v>
      </c>
      <c r="F157">
        <v>0</v>
      </c>
      <c r="G157">
        <v>0</v>
      </c>
      <c r="H157">
        <v>6</v>
      </c>
      <c r="I157">
        <v>8</v>
      </c>
      <c r="J157">
        <v>6.666666666666667</v>
      </c>
      <c r="K157">
        <v>5.333333333333333</v>
      </c>
      <c r="L157">
        <v>4.666666666666667</v>
      </c>
      <c r="M157">
        <v>6</v>
      </c>
      <c r="N157">
        <v>6.5</v>
      </c>
      <c r="O157">
        <v>6</v>
      </c>
      <c r="P157">
        <v>4.666666666666667</v>
      </c>
      <c r="Q157">
        <v>3.5</v>
      </c>
      <c r="R157">
        <v>0</v>
      </c>
      <c r="S157">
        <v>0</v>
      </c>
      <c r="T157">
        <v>4</v>
      </c>
      <c r="U157">
        <v>4.8</v>
      </c>
      <c r="V157">
        <v>5.333333333333333</v>
      </c>
      <c r="W157">
        <v>4.666666666666667</v>
      </c>
      <c r="X157">
        <v>5.1111111111111107</v>
      </c>
      <c r="Y157">
        <v>4</v>
      </c>
      <c r="Z157">
        <v>3.5</v>
      </c>
      <c r="AA157">
        <v>0</v>
      </c>
      <c r="AB157">
        <v>0</v>
      </c>
      <c r="AC157">
        <v>4</v>
      </c>
      <c r="AD157">
        <v>4.1818181818181817</v>
      </c>
      <c r="AE157">
        <v>4</v>
      </c>
      <c r="AF157">
        <v>4</v>
      </c>
      <c r="AG157">
        <v>3</v>
      </c>
      <c r="AH157">
        <v>3</v>
      </c>
      <c r="AI157" s="1">
        <v>19</v>
      </c>
      <c r="AJ157" s="1">
        <v>1914</v>
      </c>
      <c r="AK157" s="1">
        <v>214</v>
      </c>
      <c r="AL157" t="s">
        <v>1</v>
      </c>
      <c r="AM157" t="s">
        <v>0</v>
      </c>
      <c r="AN157">
        <v>0</v>
      </c>
      <c r="AO157">
        <v>0</v>
      </c>
      <c r="AP157">
        <v>540</v>
      </c>
      <c r="AQ157">
        <v>720</v>
      </c>
      <c r="AR157">
        <v>600</v>
      </c>
      <c r="AS157">
        <v>480</v>
      </c>
      <c r="AT157">
        <v>420</v>
      </c>
      <c r="AU157">
        <v>540</v>
      </c>
      <c r="AV157">
        <v>585</v>
      </c>
      <c r="AW157">
        <v>540</v>
      </c>
      <c r="AX157">
        <v>420</v>
      </c>
      <c r="AY157">
        <v>315</v>
      </c>
      <c r="AZ157">
        <v>0</v>
      </c>
      <c r="BA157">
        <v>0</v>
      </c>
      <c r="BB157">
        <v>360</v>
      </c>
      <c r="BC157">
        <v>432</v>
      </c>
      <c r="BD157">
        <v>480</v>
      </c>
      <c r="BE157">
        <v>420</v>
      </c>
      <c r="BF157">
        <v>460</v>
      </c>
      <c r="BG157">
        <v>360</v>
      </c>
      <c r="BH157">
        <v>315</v>
      </c>
      <c r="BI157">
        <v>0</v>
      </c>
      <c r="BJ157">
        <v>0</v>
      </c>
      <c r="BK157">
        <v>360</v>
      </c>
      <c r="BL157">
        <v>376.36363636363637</v>
      </c>
      <c r="BM157">
        <v>360</v>
      </c>
      <c r="BN157">
        <v>360</v>
      </c>
      <c r="BO157">
        <v>270</v>
      </c>
      <c r="BP157">
        <v>270</v>
      </c>
      <c r="BQ157">
        <f>(I157+J157+N157+O157)/4</f>
        <v>6.791666666666667</v>
      </c>
      <c r="BR157">
        <f>(K157+L157+M157)/3</f>
        <v>5.333333333333333</v>
      </c>
      <c r="BS157">
        <f>BQ157/BR157</f>
        <v>1.2734375000000002</v>
      </c>
      <c r="BT157">
        <f>AQ157/I157</f>
        <v>90</v>
      </c>
      <c r="BU157" t="str">
        <f>IF(OR(A157=2, A157=12), "Central", IF(A157=3, "Semi-Central", "Periférica"))</f>
        <v>Periférica</v>
      </c>
    </row>
    <row r="158" spans="1:73" x14ac:dyDescent="0.3">
      <c r="A158" s="1">
        <v>3</v>
      </c>
      <c r="B158" s="1">
        <v>372</v>
      </c>
      <c r="C158" s="1" t="s">
        <v>353</v>
      </c>
      <c r="D158" t="s">
        <v>1</v>
      </c>
      <c r="E158" t="s">
        <v>0</v>
      </c>
      <c r="F158">
        <v>0</v>
      </c>
      <c r="G158">
        <v>0</v>
      </c>
      <c r="H158">
        <v>3</v>
      </c>
      <c r="I158">
        <v>5.333333333333333</v>
      </c>
      <c r="J158">
        <v>4.666666666666667</v>
      </c>
      <c r="K158">
        <v>4.666666666666667</v>
      </c>
      <c r="L158">
        <v>4</v>
      </c>
      <c r="M158">
        <v>4</v>
      </c>
      <c r="N158">
        <v>6</v>
      </c>
      <c r="O158">
        <v>5.5</v>
      </c>
      <c r="P158">
        <v>4</v>
      </c>
      <c r="Q158">
        <v>2.5</v>
      </c>
      <c r="R158">
        <v>0</v>
      </c>
      <c r="S158">
        <v>0</v>
      </c>
      <c r="T158">
        <v>3</v>
      </c>
      <c r="U158">
        <v>4</v>
      </c>
      <c r="V158">
        <v>4</v>
      </c>
      <c r="W158">
        <v>4</v>
      </c>
      <c r="X158">
        <v>4</v>
      </c>
      <c r="Y158">
        <v>3.2</v>
      </c>
      <c r="Z158">
        <v>2.5</v>
      </c>
      <c r="AA158">
        <v>0</v>
      </c>
      <c r="AB158">
        <v>0</v>
      </c>
      <c r="AC158">
        <v>3</v>
      </c>
      <c r="AD158">
        <v>4</v>
      </c>
      <c r="AE158">
        <v>4</v>
      </c>
      <c r="AF158">
        <v>4</v>
      </c>
      <c r="AG158">
        <v>3</v>
      </c>
      <c r="AH158">
        <v>2.5</v>
      </c>
      <c r="AI158" s="1">
        <v>3</v>
      </c>
      <c r="AJ158" s="1">
        <v>372</v>
      </c>
      <c r="AK158" s="1" t="s">
        <v>353</v>
      </c>
      <c r="AL158" t="s">
        <v>1</v>
      </c>
      <c r="AM158" t="s">
        <v>0</v>
      </c>
      <c r="AN158">
        <v>0</v>
      </c>
      <c r="AO158">
        <v>0</v>
      </c>
      <c r="AP158">
        <v>279</v>
      </c>
      <c r="AQ158">
        <v>496</v>
      </c>
      <c r="AR158">
        <v>434</v>
      </c>
      <c r="AS158">
        <v>434</v>
      </c>
      <c r="AT158">
        <v>372</v>
      </c>
      <c r="AU158">
        <v>372</v>
      </c>
      <c r="AV158">
        <v>558</v>
      </c>
      <c r="AW158">
        <v>511.5</v>
      </c>
      <c r="AX158">
        <v>372</v>
      </c>
      <c r="AY158">
        <v>232.5</v>
      </c>
      <c r="AZ158">
        <v>0</v>
      </c>
      <c r="BA158">
        <v>0</v>
      </c>
      <c r="BB158">
        <v>270</v>
      </c>
      <c r="BC158">
        <v>360</v>
      </c>
      <c r="BD158">
        <v>360</v>
      </c>
      <c r="BE158">
        <v>360</v>
      </c>
      <c r="BF158">
        <v>360</v>
      </c>
      <c r="BG158">
        <v>288</v>
      </c>
      <c r="BH158">
        <v>225</v>
      </c>
      <c r="BI158">
        <v>0</v>
      </c>
      <c r="BJ158">
        <v>0</v>
      </c>
      <c r="BK158">
        <v>270</v>
      </c>
      <c r="BL158">
        <v>360</v>
      </c>
      <c r="BM158">
        <v>360</v>
      </c>
      <c r="BN158">
        <v>360</v>
      </c>
      <c r="BO158">
        <v>270</v>
      </c>
      <c r="BP158">
        <v>225</v>
      </c>
      <c r="BQ158">
        <f>(I158+J158+N158+O158)/4</f>
        <v>5.375</v>
      </c>
      <c r="BR158">
        <f>(K158+L158+M158)/3</f>
        <v>4.2222222222222223</v>
      </c>
      <c r="BS158">
        <f>BQ158/BR158</f>
        <v>1.2730263157894737</v>
      </c>
      <c r="BT158">
        <f>AQ158/I158</f>
        <v>93</v>
      </c>
      <c r="BU158" t="str">
        <f>IF(OR(A158=2, A158=12), "Central", IF(A158=3, "Semi-Central", "Periférica"))</f>
        <v>Semi-Central</v>
      </c>
    </row>
    <row r="159" spans="1:73" x14ac:dyDescent="0.3">
      <c r="A159" s="1">
        <v>4</v>
      </c>
      <c r="B159" s="1">
        <v>488</v>
      </c>
      <c r="C159" s="1" t="s">
        <v>356</v>
      </c>
      <c r="D159" t="s">
        <v>5</v>
      </c>
      <c r="E159" t="s">
        <v>0</v>
      </c>
      <c r="F159">
        <v>2</v>
      </c>
      <c r="G159">
        <v>2</v>
      </c>
      <c r="H159">
        <v>8</v>
      </c>
      <c r="I159">
        <v>8</v>
      </c>
      <c r="J159">
        <v>7.333333333333333</v>
      </c>
      <c r="K159">
        <v>5</v>
      </c>
      <c r="L159">
        <v>6</v>
      </c>
      <c r="M159">
        <v>6</v>
      </c>
      <c r="N159">
        <v>6.5</v>
      </c>
      <c r="O159">
        <v>7</v>
      </c>
      <c r="P159">
        <v>5.333333333333333</v>
      </c>
      <c r="Q159">
        <v>4</v>
      </c>
      <c r="R159">
        <v>2</v>
      </c>
      <c r="S159">
        <v>2</v>
      </c>
      <c r="T159">
        <v>6</v>
      </c>
      <c r="U159">
        <v>5.2</v>
      </c>
      <c r="V159">
        <v>4.666666666666667</v>
      </c>
      <c r="W159">
        <v>4.666666666666667</v>
      </c>
      <c r="X159">
        <v>4.666666666666667</v>
      </c>
      <c r="Y159">
        <v>4.8</v>
      </c>
      <c r="Z159">
        <v>3</v>
      </c>
      <c r="AA159">
        <v>2</v>
      </c>
      <c r="AB159">
        <v>2</v>
      </c>
      <c r="AC159">
        <v>4</v>
      </c>
      <c r="AD159">
        <v>4.3636363636363633</v>
      </c>
      <c r="AE159">
        <v>4.4000000000000004</v>
      </c>
      <c r="AF159">
        <v>4</v>
      </c>
      <c r="AG159">
        <v>4</v>
      </c>
      <c r="AH159">
        <v>3</v>
      </c>
      <c r="AI159" s="1">
        <v>4</v>
      </c>
      <c r="AJ159" s="1">
        <v>488</v>
      </c>
      <c r="AK159" s="1" t="s">
        <v>356</v>
      </c>
      <c r="AL159" t="s">
        <v>5</v>
      </c>
      <c r="AM159" t="s">
        <v>0</v>
      </c>
      <c r="AN159">
        <v>182</v>
      </c>
      <c r="AO159">
        <v>182</v>
      </c>
      <c r="AP159">
        <v>728</v>
      </c>
      <c r="AQ159">
        <v>728</v>
      </c>
      <c r="AR159">
        <v>667.33333333333337</v>
      </c>
      <c r="AS159">
        <v>455</v>
      </c>
      <c r="AT159">
        <v>546</v>
      </c>
      <c r="AU159">
        <v>546</v>
      </c>
      <c r="AV159">
        <v>591.5</v>
      </c>
      <c r="AW159">
        <v>637</v>
      </c>
      <c r="AX159">
        <v>485.33333333333331</v>
      </c>
      <c r="AY159">
        <v>364</v>
      </c>
      <c r="AZ159">
        <v>182</v>
      </c>
      <c r="BA159">
        <v>182</v>
      </c>
      <c r="BB159">
        <v>546</v>
      </c>
      <c r="BC159">
        <v>473.2</v>
      </c>
      <c r="BD159">
        <v>424.66666666666669</v>
      </c>
      <c r="BE159">
        <v>424.66666666666669</v>
      </c>
      <c r="BF159">
        <v>424.66666666666669</v>
      </c>
      <c r="BG159">
        <v>436.8</v>
      </c>
      <c r="BH159">
        <v>273</v>
      </c>
      <c r="BI159">
        <v>182</v>
      </c>
      <c r="BJ159">
        <v>182</v>
      </c>
      <c r="BK159">
        <v>364</v>
      </c>
      <c r="BL159">
        <v>397.09090909090907</v>
      </c>
      <c r="BM159">
        <v>400.4</v>
      </c>
      <c r="BN159">
        <v>364</v>
      </c>
      <c r="BO159">
        <v>364</v>
      </c>
      <c r="BP159">
        <v>273</v>
      </c>
      <c r="BQ159">
        <f>(I159+J159+N159+O159)/4</f>
        <v>7.208333333333333</v>
      </c>
      <c r="BR159">
        <f>(K159+L159+M159)/3</f>
        <v>5.666666666666667</v>
      </c>
      <c r="BS159">
        <f>BQ159/BR159</f>
        <v>1.2720588235294117</v>
      </c>
      <c r="BT159">
        <f>AQ159/I159</f>
        <v>91</v>
      </c>
      <c r="BU159" t="str">
        <f>IF(OR(A159=2, A159=12), "Central", IF(A159=3, "Semi-Central", "Periférica"))</f>
        <v>Periférica</v>
      </c>
    </row>
    <row r="160" spans="1:73" x14ac:dyDescent="0.3">
      <c r="A160" s="1">
        <v>4</v>
      </c>
      <c r="B160" s="1">
        <v>433</v>
      </c>
      <c r="C160" s="1">
        <v>233</v>
      </c>
      <c r="D160" t="s">
        <v>5</v>
      </c>
      <c r="F160">
        <v>0</v>
      </c>
      <c r="G160">
        <v>0</v>
      </c>
      <c r="H160">
        <v>7</v>
      </c>
      <c r="I160">
        <v>7.333333333333333</v>
      </c>
      <c r="J160">
        <v>5.333333333333333</v>
      </c>
      <c r="K160">
        <v>5</v>
      </c>
      <c r="L160">
        <v>5.333333333333333</v>
      </c>
      <c r="M160">
        <v>4.8</v>
      </c>
      <c r="N160">
        <v>7</v>
      </c>
      <c r="O160">
        <v>6</v>
      </c>
      <c r="P160">
        <v>4.666666666666667</v>
      </c>
      <c r="Q160">
        <v>2</v>
      </c>
      <c r="R160">
        <v>0</v>
      </c>
      <c r="S160">
        <v>0</v>
      </c>
      <c r="T160">
        <v>4</v>
      </c>
      <c r="U160">
        <v>5.2</v>
      </c>
      <c r="V160">
        <v>5</v>
      </c>
      <c r="W160">
        <v>4.666666666666667</v>
      </c>
      <c r="X160">
        <v>4</v>
      </c>
      <c r="Y160">
        <v>3.2</v>
      </c>
      <c r="Z160">
        <v>1</v>
      </c>
      <c r="AA160">
        <v>0</v>
      </c>
      <c r="AB160">
        <v>0</v>
      </c>
      <c r="AC160">
        <v>3.5</v>
      </c>
      <c r="AD160">
        <v>4</v>
      </c>
      <c r="AE160">
        <v>3.6</v>
      </c>
      <c r="AF160">
        <v>3</v>
      </c>
      <c r="AG160">
        <v>3</v>
      </c>
      <c r="AH160">
        <v>1.5</v>
      </c>
      <c r="AI160" s="1">
        <v>4</v>
      </c>
      <c r="AJ160" s="1">
        <v>433</v>
      </c>
      <c r="AK160" s="1">
        <v>233</v>
      </c>
      <c r="AL160" t="s">
        <v>5</v>
      </c>
      <c r="AN160">
        <v>0</v>
      </c>
      <c r="AO160">
        <v>0</v>
      </c>
      <c r="AP160">
        <v>532</v>
      </c>
      <c r="AQ160">
        <v>557.33333333333337</v>
      </c>
      <c r="AR160">
        <v>405.33333333333331</v>
      </c>
      <c r="AS160">
        <v>380</v>
      </c>
      <c r="AT160">
        <v>405.33333333333331</v>
      </c>
      <c r="AU160">
        <v>364.8</v>
      </c>
      <c r="AV160">
        <v>532</v>
      </c>
      <c r="AW160">
        <v>456</v>
      </c>
      <c r="AX160">
        <v>354.66666666666669</v>
      </c>
      <c r="AY160">
        <v>152</v>
      </c>
      <c r="AZ160">
        <v>0</v>
      </c>
      <c r="BA160">
        <v>0</v>
      </c>
      <c r="BB160">
        <v>304</v>
      </c>
      <c r="BC160">
        <v>395.2</v>
      </c>
      <c r="BD160">
        <v>380</v>
      </c>
      <c r="BE160">
        <v>354.66666666666669</v>
      </c>
      <c r="BF160">
        <v>304</v>
      </c>
      <c r="BG160">
        <v>243.2</v>
      </c>
      <c r="BH160">
        <v>76</v>
      </c>
      <c r="BI160">
        <v>0</v>
      </c>
      <c r="BJ160">
        <v>0</v>
      </c>
      <c r="BK160">
        <v>266</v>
      </c>
      <c r="BL160">
        <v>304</v>
      </c>
      <c r="BM160">
        <v>273.60000000000002</v>
      </c>
      <c r="BN160">
        <v>228</v>
      </c>
      <c r="BO160">
        <v>228</v>
      </c>
      <c r="BP160">
        <v>114</v>
      </c>
      <c r="BQ160">
        <f>(I160+J160+N160+O160)/4</f>
        <v>6.4166666666666661</v>
      </c>
      <c r="BR160">
        <f>(K160+L160+M160)/3</f>
        <v>5.0444444444444443</v>
      </c>
      <c r="BS160">
        <f>BQ160/BR160</f>
        <v>1.2720264317180616</v>
      </c>
      <c r="BT160">
        <f>AQ160/I160</f>
        <v>76.000000000000014</v>
      </c>
      <c r="BU160" t="str">
        <f>IF(OR(A160=2, A160=12), "Central", IF(A160=3, "Semi-Central", "Periférica"))</f>
        <v>Periférica</v>
      </c>
    </row>
    <row r="161" spans="1:73" x14ac:dyDescent="0.3">
      <c r="A161" s="1">
        <v>5</v>
      </c>
      <c r="B161" s="1">
        <v>555</v>
      </c>
      <c r="C161" s="1">
        <v>555</v>
      </c>
      <c r="D161" t="s">
        <v>1</v>
      </c>
      <c r="E161" t="s">
        <v>0</v>
      </c>
      <c r="F161">
        <v>0</v>
      </c>
      <c r="G161">
        <v>0</v>
      </c>
      <c r="H161">
        <v>3</v>
      </c>
      <c r="I161">
        <v>6.666666666666667</v>
      </c>
      <c r="J161">
        <v>5.333333333333333</v>
      </c>
      <c r="K161">
        <v>5</v>
      </c>
      <c r="L161">
        <v>4.666666666666667</v>
      </c>
      <c r="M161">
        <v>4.8</v>
      </c>
      <c r="N161">
        <v>6.5</v>
      </c>
      <c r="O161">
        <v>6</v>
      </c>
      <c r="P161">
        <v>5.333333333333333</v>
      </c>
      <c r="Q161">
        <v>2</v>
      </c>
      <c r="R161">
        <v>0</v>
      </c>
      <c r="S161">
        <v>0</v>
      </c>
      <c r="T161">
        <v>0</v>
      </c>
      <c r="U161">
        <v>4.8</v>
      </c>
      <c r="V161">
        <v>5</v>
      </c>
      <c r="W161">
        <v>5</v>
      </c>
      <c r="X161">
        <v>4.8888888888888893</v>
      </c>
      <c r="Y161">
        <v>4.8</v>
      </c>
      <c r="Z161">
        <v>2</v>
      </c>
      <c r="AA161">
        <v>0</v>
      </c>
      <c r="AB161">
        <v>0</v>
      </c>
      <c r="AC161">
        <v>0</v>
      </c>
      <c r="AD161">
        <v>4.7272727272727275</v>
      </c>
      <c r="AE161">
        <v>4.8</v>
      </c>
      <c r="AF161">
        <v>4.666666666666667</v>
      </c>
      <c r="AG161">
        <v>5</v>
      </c>
      <c r="AH161">
        <v>2</v>
      </c>
      <c r="AI161" s="1">
        <v>5</v>
      </c>
      <c r="AJ161" s="1">
        <v>555</v>
      </c>
      <c r="AK161" s="1">
        <v>555</v>
      </c>
      <c r="AL161" t="s">
        <v>1</v>
      </c>
      <c r="AM161" t="s">
        <v>0</v>
      </c>
      <c r="AN161">
        <v>0</v>
      </c>
      <c r="AO161">
        <v>0</v>
      </c>
      <c r="AP161">
        <v>333</v>
      </c>
      <c r="AQ161">
        <v>740</v>
      </c>
      <c r="AR161">
        <v>592</v>
      </c>
      <c r="AS161">
        <v>555</v>
      </c>
      <c r="AT161">
        <v>518</v>
      </c>
      <c r="AU161">
        <v>532.79999999999995</v>
      </c>
      <c r="AV161">
        <v>721.5</v>
      </c>
      <c r="AW161">
        <v>666</v>
      </c>
      <c r="AX161">
        <v>592</v>
      </c>
      <c r="AY161">
        <v>222</v>
      </c>
      <c r="AZ161">
        <v>0</v>
      </c>
      <c r="BA161">
        <v>0</v>
      </c>
      <c r="BB161">
        <v>0</v>
      </c>
      <c r="BC161">
        <v>532.79999999999995</v>
      </c>
      <c r="BD161">
        <v>555</v>
      </c>
      <c r="BE161">
        <v>555</v>
      </c>
      <c r="BF161">
        <v>542.66666666666663</v>
      </c>
      <c r="BG161">
        <v>532.79999999999995</v>
      </c>
      <c r="BH161">
        <v>222</v>
      </c>
      <c r="BI161">
        <v>0</v>
      </c>
      <c r="BJ161">
        <v>0</v>
      </c>
      <c r="BK161">
        <v>0</v>
      </c>
      <c r="BL161">
        <v>524.72727272727275</v>
      </c>
      <c r="BM161">
        <v>532.79999999999995</v>
      </c>
      <c r="BN161">
        <v>518</v>
      </c>
      <c r="BO161">
        <v>555</v>
      </c>
      <c r="BP161">
        <v>222</v>
      </c>
      <c r="BQ161">
        <f>(I161+J161+N161+O161)/4</f>
        <v>6.125</v>
      </c>
      <c r="BR161">
        <f>(K161+L161+M161)/3</f>
        <v>4.8222222222222229</v>
      </c>
      <c r="BS161">
        <f>BQ161/BR161</f>
        <v>1.2701612903225805</v>
      </c>
      <c r="BT161">
        <f>AQ161/I161</f>
        <v>111</v>
      </c>
      <c r="BU161" t="str">
        <f>IF(OR(A161=2, A161=12), "Central", IF(A161=3, "Semi-Central", "Periférica"))</f>
        <v>Periférica</v>
      </c>
    </row>
    <row r="162" spans="1:73" x14ac:dyDescent="0.3">
      <c r="A162" s="1">
        <v>15</v>
      </c>
      <c r="B162" s="1">
        <v>1544</v>
      </c>
      <c r="C162" s="1" t="s">
        <v>355</v>
      </c>
      <c r="D162" t="s">
        <v>1</v>
      </c>
      <c r="E162" t="s">
        <v>0</v>
      </c>
      <c r="F162">
        <v>0</v>
      </c>
      <c r="G162">
        <v>0</v>
      </c>
      <c r="H162">
        <v>3</v>
      </c>
      <c r="I162">
        <v>5.333333333333333</v>
      </c>
      <c r="J162">
        <v>4.666666666666667</v>
      </c>
      <c r="K162">
        <v>4</v>
      </c>
      <c r="L162">
        <v>4</v>
      </c>
      <c r="M162">
        <v>4.4000000000000004</v>
      </c>
      <c r="N162">
        <v>5</v>
      </c>
      <c r="O162">
        <v>6</v>
      </c>
      <c r="P162">
        <v>4.666666666666667</v>
      </c>
      <c r="Q162">
        <v>2</v>
      </c>
      <c r="R162">
        <v>0</v>
      </c>
      <c r="S162">
        <v>0</v>
      </c>
      <c r="T162">
        <v>2</v>
      </c>
      <c r="U162">
        <v>3.6</v>
      </c>
      <c r="V162">
        <v>3.666666666666667</v>
      </c>
      <c r="W162">
        <v>3.666666666666667</v>
      </c>
      <c r="X162">
        <v>3.7777777777777781</v>
      </c>
      <c r="Y162">
        <v>3.2</v>
      </c>
      <c r="Z162">
        <v>1.5</v>
      </c>
      <c r="AA162">
        <v>0</v>
      </c>
      <c r="AB162">
        <v>0</v>
      </c>
      <c r="AC162">
        <v>2</v>
      </c>
      <c r="AD162">
        <v>3.8181818181818179</v>
      </c>
      <c r="AE162">
        <v>3.6</v>
      </c>
      <c r="AF162">
        <v>3.666666666666667</v>
      </c>
      <c r="AG162">
        <v>3</v>
      </c>
      <c r="AH162">
        <v>1.5</v>
      </c>
      <c r="AI162" s="1">
        <v>15</v>
      </c>
      <c r="AJ162" s="1">
        <v>1544</v>
      </c>
      <c r="AK162" s="1" t="s">
        <v>355</v>
      </c>
      <c r="AL162" t="s">
        <v>1</v>
      </c>
      <c r="AM162" t="s">
        <v>0</v>
      </c>
      <c r="AN162">
        <v>0</v>
      </c>
      <c r="AO162">
        <v>0</v>
      </c>
      <c r="AP162">
        <v>270</v>
      </c>
      <c r="AQ162">
        <v>480</v>
      </c>
      <c r="AR162">
        <v>420</v>
      </c>
      <c r="AS162">
        <v>360</v>
      </c>
      <c r="AT162">
        <v>360</v>
      </c>
      <c r="AU162">
        <v>396</v>
      </c>
      <c r="AV162">
        <v>450</v>
      </c>
      <c r="AW162">
        <v>540</v>
      </c>
      <c r="AX162">
        <v>420</v>
      </c>
      <c r="AY162">
        <v>180</v>
      </c>
      <c r="AZ162">
        <v>0</v>
      </c>
      <c r="BA162">
        <v>0</v>
      </c>
      <c r="BB162">
        <v>180</v>
      </c>
      <c r="BC162">
        <v>324</v>
      </c>
      <c r="BD162">
        <v>330</v>
      </c>
      <c r="BE162">
        <v>330</v>
      </c>
      <c r="BF162">
        <v>340</v>
      </c>
      <c r="BG162">
        <v>288</v>
      </c>
      <c r="BH162">
        <v>135</v>
      </c>
      <c r="BI162">
        <v>0</v>
      </c>
      <c r="BJ162">
        <v>0</v>
      </c>
      <c r="BK162">
        <v>180</v>
      </c>
      <c r="BL162">
        <v>343.63636363636363</v>
      </c>
      <c r="BM162">
        <v>324</v>
      </c>
      <c r="BN162">
        <v>330</v>
      </c>
      <c r="BO162">
        <v>270</v>
      </c>
      <c r="BP162">
        <v>135</v>
      </c>
      <c r="BQ162">
        <f>(I162+J162+N162+O162)/4</f>
        <v>5.25</v>
      </c>
      <c r="BR162">
        <f>(K162+L162+M162)/3</f>
        <v>4.1333333333333337</v>
      </c>
      <c r="BS162">
        <f>BQ162/BR162</f>
        <v>1.2701612903225805</v>
      </c>
      <c r="BT162">
        <f>AQ162/I162</f>
        <v>90</v>
      </c>
      <c r="BU162" t="str">
        <f>IF(OR(A162=2, A162=12), "Central", IF(A162=3, "Semi-Central", "Periférica"))</f>
        <v>Periférica</v>
      </c>
    </row>
    <row r="163" spans="1:73" x14ac:dyDescent="0.3">
      <c r="A163" s="1">
        <v>15</v>
      </c>
      <c r="B163" s="1">
        <v>1539</v>
      </c>
      <c r="C163" s="1" t="s">
        <v>369</v>
      </c>
      <c r="D163" t="s">
        <v>1</v>
      </c>
      <c r="E163" t="s">
        <v>0</v>
      </c>
      <c r="F163">
        <v>0</v>
      </c>
      <c r="G163">
        <v>0</v>
      </c>
      <c r="H163">
        <v>5</v>
      </c>
      <c r="I163">
        <v>8</v>
      </c>
      <c r="J163">
        <v>6</v>
      </c>
      <c r="K163">
        <v>4.666666666666667</v>
      </c>
      <c r="L163">
        <v>6</v>
      </c>
      <c r="M163">
        <v>5.6</v>
      </c>
      <c r="N163">
        <v>6</v>
      </c>
      <c r="O163">
        <v>7.5</v>
      </c>
      <c r="P163">
        <v>5.333333333333333</v>
      </c>
      <c r="Q163">
        <v>4</v>
      </c>
      <c r="R163">
        <v>0</v>
      </c>
      <c r="S163">
        <v>0</v>
      </c>
      <c r="T163">
        <v>3</v>
      </c>
      <c r="U163">
        <v>4</v>
      </c>
      <c r="V163">
        <v>4</v>
      </c>
      <c r="W163">
        <v>4.333333333333333</v>
      </c>
      <c r="X163">
        <v>4</v>
      </c>
      <c r="Y163">
        <v>3.6</v>
      </c>
      <c r="Z163">
        <v>2.5</v>
      </c>
      <c r="AA163">
        <v>0</v>
      </c>
      <c r="AB163">
        <v>0</v>
      </c>
      <c r="AC163">
        <v>2.5</v>
      </c>
      <c r="AD163">
        <v>4.3636363636363633</v>
      </c>
      <c r="AE163">
        <v>4.2</v>
      </c>
      <c r="AF163">
        <v>4</v>
      </c>
      <c r="AG163">
        <v>3</v>
      </c>
      <c r="AH163">
        <v>2.5</v>
      </c>
      <c r="AI163" s="1">
        <v>15</v>
      </c>
      <c r="AJ163" s="1">
        <v>1539</v>
      </c>
      <c r="AK163" s="1" t="s">
        <v>369</v>
      </c>
      <c r="AL163" t="s">
        <v>1</v>
      </c>
      <c r="AM163" t="s">
        <v>0</v>
      </c>
      <c r="AN163">
        <v>0</v>
      </c>
      <c r="AO163">
        <v>0</v>
      </c>
      <c r="AP163">
        <v>450</v>
      </c>
      <c r="AQ163">
        <v>720</v>
      </c>
      <c r="AR163">
        <v>540</v>
      </c>
      <c r="AS163">
        <v>420</v>
      </c>
      <c r="AT163">
        <v>540</v>
      </c>
      <c r="AU163">
        <v>504</v>
      </c>
      <c r="AV163">
        <v>540</v>
      </c>
      <c r="AW163">
        <v>675</v>
      </c>
      <c r="AX163">
        <v>480</v>
      </c>
      <c r="AY163">
        <v>360</v>
      </c>
      <c r="AZ163">
        <v>0</v>
      </c>
      <c r="BA163">
        <v>0</v>
      </c>
      <c r="BB163">
        <v>270</v>
      </c>
      <c r="BC163">
        <v>360</v>
      </c>
      <c r="BD163">
        <v>360</v>
      </c>
      <c r="BE163">
        <v>390</v>
      </c>
      <c r="BF163">
        <v>360</v>
      </c>
      <c r="BG163">
        <v>324</v>
      </c>
      <c r="BH163">
        <v>225</v>
      </c>
      <c r="BI163">
        <v>0</v>
      </c>
      <c r="BJ163">
        <v>0</v>
      </c>
      <c r="BK163">
        <v>225</v>
      </c>
      <c r="BL163">
        <v>392.72727272727269</v>
      </c>
      <c r="BM163">
        <v>378</v>
      </c>
      <c r="BN163">
        <v>360</v>
      </c>
      <c r="BO163">
        <v>270</v>
      </c>
      <c r="BP163">
        <v>225</v>
      </c>
      <c r="BQ163">
        <f>(I163+J163+N163+O163)/4</f>
        <v>6.875</v>
      </c>
      <c r="BR163">
        <f>(K163+L163+M163)/3</f>
        <v>5.4222222222222216</v>
      </c>
      <c r="BS163">
        <f>BQ163/BR163</f>
        <v>1.2679303278688525</v>
      </c>
      <c r="BT163">
        <f>AQ163/I163</f>
        <v>90</v>
      </c>
      <c r="BU163" t="str">
        <f>IF(OR(A163=2, A163=12), "Central", IF(A163=3, "Semi-Central", "Periférica"))</f>
        <v>Periférica</v>
      </c>
    </row>
    <row r="164" spans="1:73" x14ac:dyDescent="0.3">
      <c r="A164" s="1">
        <v>5</v>
      </c>
      <c r="B164" s="1">
        <v>531</v>
      </c>
      <c r="C164" s="1" t="s">
        <v>368</v>
      </c>
      <c r="D164" t="s">
        <v>5</v>
      </c>
      <c r="E164" t="s">
        <v>0</v>
      </c>
      <c r="F164">
        <v>0</v>
      </c>
      <c r="G164">
        <v>0</v>
      </c>
      <c r="H164">
        <v>3</v>
      </c>
      <c r="I164">
        <v>3.3333333333333335</v>
      </c>
      <c r="J164">
        <v>3.3333333333333335</v>
      </c>
      <c r="K164">
        <v>2.3333333333333335</v>
      </c>
      <c r="L164">
        <v>2.6666666666666665</v>
      </c>
      <c r="M164">
        <v>2.8</v>
      </c>
      <c r="N164">
        <v>3.5</v>
      </c>
      <c r="O164">
        <v>3</v>
      </c>
      <c r="P164">
        <v>2.6666666666666665</v>
      </c>
      <c r="Q164">
        <v>2</v>
      </c>
      <c r="R164">
        <v>0</v>
      </c>
      <c r="S164">
        <v>0</v>
      </c>
      <c r="T164">
        <v>2</v>
      </c>
      <c r="U164">
        <v>2.4</v>
      </c>
      <c r="V164">
        <v>2</v>
      </c>
      <c r="W164">
        <v>2</v>
      </c>
      <c r="X164">
        <v>2.4444444444444446</v>
      </c>
      <c r="Y164">
        <v>1.6</v>
      </c>
      <c r="Z164">
        <v>1.5</v>
      </c>
      <c r="AA164">
        <v>0</v>
      </c>
      <c r="AB164">
        <v>0</v>
      </c>
      <c r="AC164">
        <v>1.5</v>
      </c>
      <c r="AD164">
        <v>1.2727272727272727</v>
      </c>
      <c r="AE164">
        <v>1.4</v>
      </c>
      <c r="AF164">
        <v>1.3333333333333333</v>
      </c>
      <c r="AG164">
        <v>1</v>
      </c>
      <c r="AH164">
        <v>1.5</v>
      </c>
      <c r="AI164" s="1">
        <v>5</v>
      </c>
      <c r="AJ164" s="1">
        <v>531</v>
      </c>
      <c r="AK164" s="1" t="s">
        <v>368</v>
      </c>
      <c r="AL164" t="s">
        <v>5</v>
      </c>
      <c r="AM164" t="s">
        <v>0</v>
      </c>
      <c r="AN164">
        <v>0</v>
      </c>
      <c r="AO164">
        <v>0</v>
      </c>
      <c r="AP164">
        <v>141</v>
      </c>
      <c r="AQ164">
        <v>156.66666666666666</v>
      </c>
      <c r="AR164">
        <v>156.66666666666666</v>
      </c>
      <c r="AS164">
        <v>109.66666666666667</v>
      </c>
      <c r="AT164">
        <v>125.33333333333333</v>
      </c>
      <c r="AU164">
        <v>131.6</v>
      </c>
      <c r="AV164">
        <v>164.5</v>
      </c>
      <c r="AW164">
        <v>141</v>
      </c>
      <c r="AX164">
        <v>125.33333333333333</v>
      </c>
      <c r="AY164">
        <v>94</v>
      </c>
      <c r="AZ164">
        <v>0</v>
      </c>
      <c r="BA164">
        <v>0</v>
      </c>
      <c r="BB164">
        <v>94</v>
      </c>
      <c r="BC164">
        <v>112.8</v>
      </c>
      <c r="BD164">
        <v>94</v>
      </c>
      <c r="BE164">
        <v>94</v>
      </c>
      <c r="BF164">
        <v>114.88888888888889</v>
      </c>
      <c r="BG164">
        <v>75.2</v>
      </c>
      <c r="BH164">
        <v>70.5</v>
      </c>
      <c r="BI164">
        <v>0</v>
      </c>
      <c r="BJ164">
        <v>0</v>
      </c>
      <c r="BK164">
        <v>70.5</v>
      </c>
      <c r="BL164">
        <v>59.81818181818182</v>
      </c>
      <c r="BM164">
        <v>65.8</v>
      </c>
      <c r="BN164">
        <v>62.666666666666664</v>
      </c>
      <c r="BO164">
        <v>47</v>
      </c>
      <c r="BP164">
        <v>70.5</v>
      </c>
      <c r="BQ164">
        <f>(I164+J164+N164+O164)/4</f>
        <v>3.291666666666667</v>
      </c>
      <c r="BR164">
        <f>(K164+L164+M164)/3</f>
        <v>2.6</v>
      </c>
      <c r="BS164">
        <f>BQ164/BR164</f>
        <v>1.2660256410256412</v>
      </c>
      <c r="BT164">
        <f>AQ164/I164</f>
        <v>46.999999999999993</v>
      </c>
      <c r="BU164" t="str">
        <f>IF(OR(A164=2, A164=12), "Central", IF(A164=3, "Semi-Central", "Periférica"))</f>
        <v>Periférica</v>
      </c>
    </row>
    <row r="165" spans="1:73" x14ac:dyDescent="0.3">
      <c r="A165" s="1">
        <v>5</v>
      </c>
      <c r="B165" s="1">
        <v>531</v>
      </c>
      <c r="C165" s="1" t="s">
        <v>368</v>
      </c>
      <c r="D165" t="s">
        <v>1</v>
      </c>
      <c r="E165" t="s">
        <v>0</v>
      </c>
      <c r="F165">
        <v>0</v>
      </c>
      <c r="G165">
        <v>0</v>
      </c>
      <c r="H165">
        <v>2</v>
      </c>
      <c r="I165">
        <v>4</v>
      </c>
      <c r="J165">
        <v>2.6666666666666665</v>
      </c>
      <c r="K165">
        <v>2.3333333333333335</v>
      </c>
      <c r="L165">
        <v>2.6666666666666665</v>
      </c>
      <c r="M165">
        <v>2.8</v>
      </c>
      <c r="N165">
        <v>3.5</v>
      </c>
      <c r="O165">
        <v>3</v>
      </c>
      <c r="P165">
        <v>2.6666666666666665</v>
      </c>
      <c r="Q165">
        <v>2</v>
      </c>
      <c r="R165">
        <v>0</v>
      </c>
      <c r="S165">
        <v>0</v>
      </c>
      <c r="T165">
        <v>1</v>
      </c>
      <c r="U165">
        <v>2.4</v>
      </c>
      <c r="V165">
        <v>2</v>
      </c>
      <c r="W165">
        <v>2</v>
      </c>
      <c r="X165">
        <v>2.4444444444444446</v>
      </c>
      <c r="Y165">
        <v>1.6</v>
      </c>
      <c r="Z165">
        <v>1.5</v>
      </c>
      <c r="AA165">
        <v>0</v>
      </c>
      <c r="AB165">
        <v>0</v>
      </c>
      <c r="AC165">
        <v>1.5</v>
      </c>
      <c r="AD165">
        <v>1.2727272727272727</v>
      </c>
      <c r="AE165">
        <v>1.4</v>
      </c>
      <c r="AF165">
        <v>1.3333333333333333</v>
      </c>
      <c r="AG165">
        <v>1</v>
      </c>
      <c r="AH165">
        <v>1.5</v>
      </c>
      <c r="AI165" s="1">
        <v>5</v>
      </c>
      <c r="AJ165" s="1">
        <v>531</v>
      </c>
      <c r="AK165" s="1" t="s">
        <v>368</v>
      </c>
      <c r="AL165" t="s">
        <v>1</v>
      </c>
      <c r="AM165" t="s">
        <v>0</v>
      </c>
      <c r="AN165">
        <v>0</v>
      </c>
      <c r="AO165">
        <v>0</v>
      </c>
      <c r="AP165">
        <v>94</v>
      </c>
      <c r="AQ165">
        <v>188</v>
      </c>
      <c r="AR165">
        <v>125.33333333333333</v>
      </c>
      <c r="AS165">
        <v>109.66666666666667</v>
      </c>
      <c r="AT165">
        <v>125.33333333333333</v>
      </c>
      <c r="AU165">
        <v>131.6</v>
      </c>
      <c r="AV165">
        <v>164.5</v>
      </c>
      <c r="AW165">
        <v>141</v>
      </c>
      <c r="AX165">
        <v>125.33333333333333</v>
      </c>
      <c r="AY165">
        <v>94</v>
      </c>
      <c r="AZ165">
        <v>0</v>
      </c>
      <c r="BA165">
        <v>0</v>
      </c>
      <c r="BB165">
        <v>47</v>
      </c>
      <c r="BC165">
        <v>112.8</v>
      </c>
      <c r="BD165">
        <v>94</v>
      </c>
      <c r="BE165">
        <v>94</v>
      </c>
      <c r="BF165">
        <v>114.88888888888889</v>
      </c>
      <c r="BG165">
        <v>75.2</v>
      </c>
      <c r="BH165">
        <v>70.5</v>
      </c>
      <c r="BI165">
        <v>0</v>
      </c>
      <c r="BJ165">
        <v>0</v>
      </c>
      <c r="BK165">
        <v>70.5</v>
      </c>
      <c r="BL165">
        <v>59.81818181818182</v>
      </c>
      <c r="BM165">
        <v>65.8</v>
      </c>
      <c r="BN165">
        <v>62.666666666666664</v>
      </c>
      <c r="BO165">
        <v>47</v>
      </c>
      <c r="BP165">
        <v>70.5</v>
      </c>
      <c r="BQ165">
        <f>(I165+J165+N165+O165)/4</f>
        <v>3.2916666666666665</v>
      </c>
      <c r="BR165">
        <f>(K165+L165+M165)/3</f>
        <v>2.6</v>
      </c>
      <c r="BS165">
        <f>BQ165/BR165</f>
        <v>1.266025641025641</v>
      </c>
      <c r="BT165">
        <f>AQ165/I165</f>
        <v>47</v>
      </c>
      <c r="BU165" t="str">
        <f>IF(OR(A165=2, A165=12), "Central", IF(A165=3, "Semi-Central", "Periférica"))</f>
        <v>Periférica</v>
      </c>
    </row>
    <row r="166" spans="1:73" x14ac:dyDescent="0.3">
      <c r="A166" s="1">
        <v>3</v>
      </c>
      <c r="B166" s="1">
        <v>307</v>
      </c>
      <c r="C166" s="1">
        <v>307</v>
      </c>
      <c r="D166" t="s">
        <v>5</v>
      </c>
      <c r="E166" t="s">
        <v>0</v>
      </c>
      <c r="F166">
        <v>0</v>
      </c>
      <c r="G166">
        <v>0.66666666666666663</v>
      </c>
      <c r="H166">
        <v>9</v>
      </c>
      <c r="I166">
        <v>9.3333333333333339</v>
      </c>
      <c r="J166">
        <v>6.666666666666667</v>
      </c>
      <c r="K166">
        <v>5.333333333333333</v>
      </c>
      <c r="L166">
        <v>8</v>
      </c>
      <c r="M166">
        <v>8</v>
      </c>
      <c r="N166">
        <v>10</v>
      </c>
      <c r="O166">
        <v>10</v>
      </c>
      <c r="P166">
        <v>6</v>
      </c>
      <c r="Q166">
        <v>4.5</v>
      </c>
      <c r="R166">
        <v>0</v>
      </c>
      <c r="S166">
        <v>0.22222222222222221</v>
      </c>
      <c r="T166">
        <v>3</v>
      </c>
      <c r="U166">
        <v>4.4000000000000004</v>
      </c>
      <c r="V166">
        <v>4</v>
      </c>
      <c r="W166">
        <v>4</v>
      </c>
      <c r="X166">
        <v>4</v>
      </c>
      <c r="Y166">
        <v>4</v>
      </c>
      <c r="Z166">
        <v>3.5</v>
      </c>
      <c r="AA166">
        <v>0</v>
      </c>
      <c r="AB166">
        <v>0.22222222222222221</v>
      </c>
      <c r="AC166">
        <v>3</v>
      </c>
      <c r="AD166">
        <v>4.1818181818181817</v>
      </c>
      <c r="AE166">
        <v>3.6</v>
      </c>
      <c r="AF166">
        <v>3.6666666666666665</v>
      </c>
      <c r="AG166">
        <v>3</v>
      </c>
      <c r="AH166">
        <v>2.5</v>
      </c>
      <c r="AI166" s="1">
        <v>3</v>
      </c>
      <c r="AJ166" s="1">
        <v>307</v>
      </c>
      <c r="AK166" s="1">
        <v>307</v>
      </c>
      <c r="AL166" t="s">
        <v>5</v>
      </c>
      <c r="AM166" t="s">
        <v>0</v>
      </c>
      <c r="AN166">
        <v>0</v>
      </c>
      <c r="AO166">
        <v>62</v>
      </c>
      <c r="AP166">
        <v>837</v>
      </c>
      <c r="AQ166">
        <v>868</v>
      </c>
      <c r="AR166">
        <v>620</v>
      </c>
      <c r="AS166">
        <v>496</v>
      </c>
      <c r="AT166">
        <v>744</v>
      </c>
      <c r="AU166">
        <v>744</v>
      </c>
      <c r="AV166">
        <v>930</v>
      </c>
      <c r="AW166">
        <v>930</v>
      </c>
      <c r="AX166">
        <v>558</v>
      </c>
      <c r="AY166">
        <v>418.5</v>
      </c>
      <c r="AZ166">
        <v>0</v>
      </c>
      <c r="BA166">
        <v>20.666666666666668</v>
      </c>
      <c r="BB166">
        <v>279</v>
      </c>
      <c r="BC166">
        <v>409.2</v>
      </c>
      <c r="BD166">
        <v>372</v>
      </c>
      <c r="BE166">
        <v>372</v>
      </c>
      <c r="BF166">
        <v>372</v>
      </c>
      <c r="BG166">
        <v>372</v>
      </c>
      <c r="BH166">
        <v>325.5</v>
      </c>
      <c r="BI166">
        <v>0</v>
      </c>
      <c r="BJ166">
        <v>20.666666666666668</v>
      </c>
      <c r="BK166">
        <v>279</v>
      </c>
      <c r="BL166">
        <v>388.90909090909093</v>
      </c>
      <c r="BM166">
        <v>334.8</v>
      </c>
      <c r="BN166">
        <v>341</v>
      </c>
      <c r="BO166">
        <v>279</v>
      </c>
      <c r="BP166">
        <v>232.5</v>
      </c>
      <c r="BQ166">
        <f>(I166+J166+N166+O166)/4</f>
        <v>9</v>
      </c>
      <c r="BR166">
        <f>(K166+L166+M166)/3</f>
        <v>7.1111111111111107</v>
      </c>
      <c r="BS166">
        <f>BQ166/BR166</f>
        <v>1.265625</v>
      </c>
      <c r="BT166">
        <f>AQ166/I166</f>
        <v>93</v>
      </c>
      <c r="BU166" t="str">
        <f>IF(OR(A166=2, A166=12), "Central", IF(A166=3, "Semi-Central", "Periférica"))</f>
        <v>Semi-Central</v>
      </c>
    </row>
    <row r="167" spans="1:73" x14ac:dyDescent="0.3">
      <c r="A167" s="1">
        <v>3</v>
      </c>
      <c r="B167" s="1">
        <v>304</v>
      </c>
      <c r="C167" s="1" t="s">
        <v>294</v>
      </c>
      <c r="D167" t="s">
        <v>5</v>
      </c>
      <c r="F167">
        <v>0</v>
      </c>
      <c r="G167">
        <v>0</v>
      </c>
      <c r="H167">
        <v>4</v>
      </c>
      <c r="I167">
        <v>8</v>
      </c>
      <c r="J167">
        <v>4.666666666666667</v>
      </c>
      <c r="K167">
        <v>4.666666666666667</v>
      </c>
      <c r="L167">
        <v>4</v>
      </c>
      <c r="M167">
        <v>4.8</v>
      </c>
      <c r="N167">
        <v>5</v>
      </c>
      <c r="O167">
        <v>5</v>
      </c>
      <c r="P167">
        <v>4</v>
      </c>
      <c r="Q167">
        <v>1.5</v>
      </c>
      <c r="R167">
        <v>0</v>
      </c>
      <c r="S167">
        <v>0</v>
      </c>
      <c r="T167">
        <v>4</v>
      </c>
      <c r="U167">
        <v>4</v>
      </c>
      <c r="V167">
        <v>4</v>
      </c>
      <c r="W167">
        <v>4</v>
      </c>
      <c r="X167">
        <v>4</v>
      </c>
      <c r="Y167">
        <v>4</v>
      </c>
      <c r="Z167">
        <v>2</v>
      </c>
      <c r="AA167">
        <v>0</v>
      </c>
      <c r="AB167">
        <v>0</v>
      </c>
      <c r="AC167">
        <v>0</v>
      </c>
      <c r="AD167">
        <v>3.0909090909090908</v>
      </c>
      <c r="AE167">
        <v>3</v>
      </c>
      <c r="AF167">
        <v>3</v>
      </c>
      <c r="AG167">
        <v>3</v>
      </c>
      <c r="AH167">
        <v>1.5</v>
      </c>
      <c r="AI167" s="1">
        <v>3</v>
      </c>
      <c r="AJ167" s="1">
        <v>304</v>
      </c>
      <c r="AK167" s="1" t="s">
        <v>294</v>
      </c>
      <c r="AL167" t="s">
        <v>5</v>
      </c>
      <c r="AN167">
        <v>0</v>
      </c>
      <c r="AO167">
        <v>0</v>
      </c>
      <c r="AP167">
        <v>367</v>
      </c>
      <c r="AQ167">
        <v>727.33333333333337</v>
      </c>
      <c r="AR167">
        <v>424</v>
      </c>
      <c r="AS167">
        <v>424</v>
      </c>
      <c r="AT167">
        <v>365.33333333333331</v>
      </c>
      <c r="AU167">
        <v>440.4</v>
      </c>
      <c r="AV167">
        <v>452.5</v>
      </c>
      <c r="AW167">
        <v>452.5</v>
      </c>
      <c r="AX167">
        <v>355.33333333333331</v>
      </c>
      <c r="AY167">
        <v>134.5</v>
      </c>
      <c r="AZ167">
        <v>0</v>
      </c>
      <c r="BA167">
        <v>0</v>
      </c>
      <c r="BB167">
        <v>352</v>
      </c>
      <c r="BC167">
        <v>352</v>
      </c>
      <c r="BD167">
        <v>352</v>
      </c>
      <c r="BE167">
        <v>352</v>
      </c>
      <c r="BF167">
        <v>352</v>
      </c>
      <c r="BG167">
        <v>352</v>
      </c>
      <c r="BH167">
        <v>176</v>
      </c>
      <c r="BI167">
        <v>0</v>
      </c>
      <c r="BJ167">
        <v>0</v>
      </c>
      <c r="BK167">
        <v>0</v>
      </c>
      <c r="BL167">
        <v>272</v>
      </c>
      <c r="BM167">
        <v>264</v>
      </c>
      <c r="BN167">
        <v>264</v>
      </c>
      <c r="BO167">
        <v>264</v>
      </c>
      <c r="BP167">
        <v>132</v>
      </c>
      <c r="BQ167">
        <f>(I167+J167+N167+O167)/4</f>
        <v>5.666666666666667</v>
      </c>
      <c r="BR167">
        <f>(K167+L167+M167)/3</f>
        <v>4.4888888888888898</v>
      </c>
      <c r="BS167">
        <f>BQ167/BR167</f>
        <v>1.2623762376237622</v>
      </c>
      <c r="BT167">
        <f>AQ167/I167</f>
        <v>90.916666666666671</v>
      </c>
      <c r="BU167" t="str">
        <f>IF(OR(A167=2, A167=12), "Central", IF(A167=3, "Semi-Central", "Periférica"))</f>
        <v>Semi-Central</v>
      </c>
    </row>
    <row r="168" spans="1:73" x14ac:dyDescent="0.3">
      <c r="A168" s="1">
        <v>14</v>
      </c>
      <c r="B168" s="1">
        <v>1457</v>
      </c>
      <c r="C168" s="1" t="s">
        <v>351</v>
      </c>
      <c r="D168" t="s">
        <v>1</v>
      </c>
      <c r="E168" t="s">
        <v>0</v>
      </c>
      <c r="F168">
        <v>0</v>
      </c>
      <c r="G168">
        <v>0</v>
      </c>
      <c r="H168">
        <v>5</v>
      </c>
      <c r="I168">
        <v>6.666666666666667</v>
      </c>
      <c r="J168">
        <v>4</v>
      </c>
      <c r="K168">
        <v>4</v>
      </c>
      <c r="L168">
        <v>4</v>
      </c>
      <c r="M168">
        <v>4</v>
      </c>
      <c r="N168">
        <v>4.5</v>
      </c>
      <c r="O168">
        <v>5</v>
      </c>
      <c r="P168">
        <v>4</v>
      </c>
      <c r="Q168">
        <v>2</v>
      </c>
      <c r="R168">
        <v>0</v>
      </c>
      <c r="S168">
        <v>0</v>
      </c>
      <c r="T168">
        <v>3</v>
      </c>
      <c r="U168">
        <v>4.4000000000000004</v>
      </c>
      <c r="V168">
        <v>3.666666666666667</v>
      </c>
      <c r="W168">
        <v>3.666666666666667</v>
      </c>
      <c r="X168">
        <v>3.7777777777777781</v>
      </c>
      <c r="Y168">
        <v>4</v>
      </c>
      <c r="Z168">
        <v>1.5</v>
      </c>
      <c r="AA168">
        <v>0</v>
      </c>
      <c r="AB168">
        <v>0</v>
      </c>
      <c r="AC168">
        <v>2</v>
      </c>
      <c r="AD168">
        <v>3.8181818181818179</v>
      </c>
      <c r="AE168">
        <v>3.6</v>
      </c>
      <c r="AF168">
        <v>3.666666666666667</v>
      </c>
      <c r="AG168">
        <v>3</v>
      </c>
      <c r="AH168">
        <v>1.5</v>
      </c>
      <c r="AI168" s="1">
        <v>14</v>
      </c>
      <c r="AJ168" s="1">
        <v>1457</v>
      </c>
      <c r="AK168" s="1" t="s">
        <v>351</v>
      </c>
      <c r="AL168" t="s">
        <v>1</v>
      </c>
      <c r="AM168" t="s">
        <v>0</v>
      </c>
      <c r="AN168">
        <v>0</v>
      </c>
      <c r="AO168">
        <v>0</v>
      </c>
      <c r="AP168">
        <v>450</v>
      </c>
      <c r="AQ168">
        <v>600</v>
      </c>
      <c r="AR168">
        <v>360</v>
      </c>
      <c r="AS168">
        <v>360</v>
      </c>
      <c r="AT168">
        <v>360</v>
      </c>
      <c r="AU168">
        <v>360</v>
      </c>
      <c r="AV168">
        <v>405</v>
      </c>
      <c r="AW168">
        <v>450</v>
      </c>
      <c r="AX168">
        <v>360</v>
      </c>
      <c r="AY168">
        <v>180</v>
      </c>
      <c r="AZ168">
        <v>0</v>
      </c>
      <c r="BA168">
        <v>0</v>
      </c>
      <c r="BB168">
        <v>270</v>
      </c>
      <c r="BC168">
        <v>396</v>
      </c>
      <c r="BD168">
        <v>330</v>
      </c>
      <c r="BE168">
        <v>330</v>
      </c>
      <c r="BF168">
        <v>340</v>
      </c>
      <c r="BG168">
        <v>360</v>
      </c>
      <c r="BH168">
        <v>135</v>
      </c>
      <c r="BI168">
        <v>0</v>
      </c>
      <c r="BJ168">
        <v>0</v>
      </c>
      <c r="BK168">
        <v>180</v>
      </c>
      <c r="BL168">
        <v>343.63636363636363</v>
      </c>
      <c r="BM168">
        <v>324</v>
      </c>
      <c r="BN168">
        <v>330</v>
      </c>
      <c r="BO168">
        <v>270</v>
      </c>
      <c r="BP168">
        <v>135</v>
      </c>
      <c r="BQ168">
        <f>(I168+J168+N168+O168)/4</f>
        <v>5.041666666666667</v>
      </c>
      <c r="BR168">
        <f>(K168+L168+M168)/3</f>
        <v>4</v>
      </c>
      <c r="BS168">
        <f>BQ168/BR168</f>
        <v>1.2604166666666667</v>
      </c>
      <c r="BT168">
        <f>AQ168/I168</f>
        <v>90</v>
      </c>
      <c r="BU168" t="str">
        <f>IF(OR(A168=2, A168=12), "Central", IF(A168=3, "Semi-Central", "Periférica"))</f>
        <v>Periférica</v>
      </c>
    </row>
    <row r="169" spans="1:73" x14ac:dyDescent="0.3">
      <c r="A169" s="1">
        <v>13</v>
      </c>
      <c r="B169" s="1">
        <v>1335</v>
      </c>
      <c r="C169" s="1">
        <v>435</v>
      </c>
      <c r="D169" t="s">
        <v>5</v>
      </c>
      <c r="F169">
        <v>0</v>
      </c>
      <c r="G169">
        <v>0</v>
      </c>
      <c r="H169">
        <v>7</v>
      </c>
      <c r="I169">
        <v>10.66666666666667</v>
      </c>
      <c r="J169">
        <v>6.666666666666667</v>
      </c>
      <c r="K169">
        <v>6</v>
      </c>
      <c r="L169">
        <v>4.666666666666667</v>
      </c>
      <c r="M169">
        <v>5.6</v>
      </c>
      <c r="N169">
        <v>5</v>
      </c>
      <c r="O169">
        <v>5</v>
      </c>
      <c r="P169">
        <v>4</v>
      </c>
      <c r="Q169">
        <v>2</v>
      </c>
      <c r="R169">
        <v>0</v>
      </c>
      <c r="S169">
        <v>0</v>
      </c>
      <c r="T169">
        <v>3</v>
      </c>
      <c r="U169">
        <v>5.2</v>
      </c>
      <c r="V169">
        <v>4</v>
      </c>
      <c r="W169">
        <v>3.333333333333333</v>
      </c>
      <c r="X169">
        <v>2.8888888888888888</v>
      </c>
      <c r="Y169">
        <v>3.2</v>
      </c>
      <c r="Z169">
        <v>1</v>
      </c>
      <c r="AA169">
        <v>0</v>
      </c>
      <c r="AB169">
        <v>0</v>
      </c>
      <c r="AC169">
        <v>3</v>
      </c>
      <c r="AD169">
        <v>3.6363636363636358</v>
      </c>
      <c r="AE169">
        <v>3</v>
      </c>
      <c r="AF169">
        <v>3</v>
      </c>
      <c r="AG169">
        <v>2</v>
      </c>
      <c r="AH169">
        <v>2</v>
      </c>
      <c r="AI169" s="1">
        <v>13</v>
      </c>
      <c r="AJ169" s="1">
        <v>1335</v>
      </c>
      <c r="AK169" s="1">
        <v>435</v>
      </c>
      <c r="AL169" t="s">
        <v>5</v>
      </c>
      <c r="AN169">
        <v>0</v>
      </c>
      <c r="AO169">
        <v>0</v>
      </c>
      <c r="AP169">
        <v>630</v>
      </c>
      <c r="AQ169">
        <v>960</v>
      </c>
      <c r="AR169">
        <v>600</v>
      </c>
      <c r="AS169">
        <v>540</v>
      </c>
      <c r="AT169">
        <v>420</v>
      </c>
      <c r="AU169">
        <v>504</v>
      </c>
      <c r="AV169">
        <v>450</v>
      </c>
      <c r="AW169">
        <v>450</v>
      </c>
      <c r="AX169">
        <v>360</v>
      </c>
      <c r="AY169">
        <v>180</v>
      </c>
      <c r="AZ169">
        <v>0</v>
      </c>
      <c r="BA169">
        <v>0</v>
      </c>
      <c r="BB169">
        <v>270</v>
      </c>
      <c r="BC169">
        <v>468</v>
      </c>
      <c r="BD169">
        <v>360</v>
      </c>
      <c r="BE169">
        <v>300</v>
      </c>
      <c r="BF169">
        <v>260</v>
      </c>
      <c r="BG169">
        <v>288</v>
      </c>
      <c r="BH169">
        <v>90</v>
      </c>
      <c r="BI169">
        <v>0</v>
      </c>
      <c r="BJ169">
        <v>0</v>
      </c>
      <c r="BK169">
        <v>270</v>
      </c>
      <c r="BL169">
        <v>327.27272727272731</v>
      </c>
      <c r="BM169">
        <v>270</v>
      </c>
      <c r="BN169">
        <v>270</v>
      </c>
      <c r="BO169">
        <v>180</v>
      </c>
      <c r="BP169">
        <v>180</v>
      </c>
      <c r="BQ169">
        <f>(I169+J169+N169+O169)/4</f>
        <v>6.8333333333333339</v>
      </c>
      <c r="BR169">
        <f>(K169+L169+M169)/3</f>
        <v>5.4222222222222216</v>
      </c>
      <c r="BS169">
        <f>BQ169/BR169</f>
        <v>1.2602459016393446</v>
      </c>
      <c r="BT169">
        <f>AQ169/I169</f>
        <v>89.999999999999972</v>
      </c>
      <c r="BU169" t="str">
        <f>IF(OR(A169=2, A169=12), "Central", IF(A169=3, "Semi-Central", "Periférica"))</f>
        <v>Periférica</v>
      </c>
    </row>
    <row r="170" spans="1:73" x14ac:dyDescent="0.3">
      <c r="A170" s="1">
        <v>15</v>
      </c>
      <c r="B170" s="1">
        <v>1534</v>
      </c>
      <c r="C170" s="1" t="s">
        <v>367</v>
      </c>
      <c r="D170" t="s">
        <v>1</v>
      </c>
      <c r="E170" t="s">
        <v>0</v>
      </c>
      <c r="F170">
        <v>0</v>
      </c>
      <c r="G170">
        <v>0</v>
      </c>
      <c r="H170">
        <v>5</v>
      </c>
      <c r="I170">
        <v>5.333333333333333</v>
      </c>
      <c r="J170">
        <v>6</v>
      </c>
      <c r="K170">
        <v>4</v>
      </c>
      <c r="L170">
        <v>4</v>
      </c>
      <c r="M170">
        <v>4.4000000000000004</v>
      </c>
      <c r="N170">
        <v>4.5</v>
      </c>
      <c r="O170">
        <v>5</v>
      </c>
      <c r="P170">
        <v>4.666666666666667</v>
      </c>
      <c r="Q170">
        <v>3.5</v>
      </c>
      <c r="R170">
        <v>0</v>
      </c>
      <c r="S170">
        <v>0</v>
      </c>
      <c r="T170">
        <v>3</v>
      </c>
      <c r="U170">
        <v>4.4000000000000004</v>
      </c>
      <c r="V170">
        <v>3.666666666666667</v>
      </c>
      <c r="W170">
        <v>3.666666666666667</v>
      </c>
      <c r="X170">
        <v>3.7777777777777781</v>
      </c>
      <c r="Y170">
        <v>3.6</v>
      </c>
      <c r="Z170">
        <v>3</v>
      </c>
      <c r="AA170">
        <v>0</v>
      </c>
      <c r="AB170">
        <v>0</v>
      </c>
      <c r="AC170">
        <v>3</v>
      </c>
      <c r="AD170">
        <v>3.8181818181818179</v>
      </c>
      <c r="AE170">
        <v>3.8</v>
      </c>
      <c r="AF170">
        <v>3.666666666666667</v>
      </c>
      <c r="AG170">
        <v>3</v>
      </c>
      <c r="AH170">
        <v>3</v>
      </c>
      <c r="AI170" s="1">
        <v>15</v>
      </c>
      <c r="AJ170" s="1">
        <v>1534</v>
      </c>
      <c r="AK170" s="1" t="s">
        <v>367</v>
      </c>
      <c r="AL170" t="s">
        <v>1</v>
      </c>
      <c r="AM170" t="s">
        <v>0</v>
      </c>
      <c r="AN170">
        <v>0</v>
      </c>
      <c r="AO170">
        <v>0</v>
      </c>
      <c r="AP170">
        <v>450</v>
      </c>
      <c r="AQ170">
        <v>480</v>
      </c>
      <c r="AR170">
        <v>540</v>
      </c>
      <c r="AS170">
        <v>360</v>
      </c>
      <c r="AT170">
        <v>360</v>
      </c>
      <c r="AU170">
        <v>396</v>
      </c>
      <c r="AV170">
        <v>405</v>
      </c>
      <c r="AW170">
        <v>450</v>
      </c>
      <c r="AX170">
        <v>420</v>
      </c>
      <c r="AY170">
        <v>315</v>
      </c>
      <c r="AZ170">
        <v>0</v>
      </c>
      <c r="BA170">
        <v>0</v>
      </c>
      <c r="BB170">
        <v>270</v>
      </c>
      <c r="BC170">
        <v>396</v>
      </c>
      <c r="BD170">
        <v>330</v>
      </c>
      <c r="BE170">
        <v>330</v>
      </c>
      <c r="BF170">
        <v>340</v>
      </c>
      <c r="BG170">
        <v>324</v>
      </c>
      <c r="BH170">
        <v>270</v>
      </c>
      <c r="BI170">
        <v>0</v>
      </c>
      <c r="BJ170">
        <v>0</v>
      </c>
      <c r="BK170">
        <v>270</v>
      </c>
      <c r="BL170">
        <v>343.63636363636363</v>
      </c>
      <c r="BM170">
        <v>342</v>
      </c>
      <c r="BN170">
        <v>330</v>
      </c>
      <c r="BO170">
        <v>270</v>
      </c>
      <c r="BP170">
        <v>270</v>
      </c>
      <c r="BQ170">
        <f>(I170+J170+N170+O170)/4</f>
        <v>5.208333333333333</v>
      </c>
      <c r="BR170">
        <f>(K170+L170+M170)/3</f>
        <v>4.1333333333333337</v>
      </c>
      <c r="BS170">
        <f>BQ170/BR170</f>
        <v>1.26008064516129</v>
      </c>
      <c r="BT170">
        <f>AQ170/I170</f>
        <v>90</v>
      </c>
      <c r="BU170" t="str">
        <f>IF(OR(A170=2, A170=12), "Central", IF(A170=3, "Semi-Central", "Periférica"))</f>
        <v>Periférica</v>
      </c>
    </row>
    <row r="171" spans="1:73" x14ac:dyDescent="0.3">
      <c r="A171" s="1">
        <v>16</v>
      </c>
      <c r="B171" s="1">
        <v>1603</v>
      </c>
      <c r="C171" s="1">
        <v>503</v>
      </c>
      <c r="D171" t="s">
        <v>1</v>
      </c>
      <c r="E171" t="s">
        <v>0</v>
      </c>
      <c r="F171">
        <v>2</v>
      </c>
      <c r="G171">
        <v>0</v>
      </c>
      <c r="H171">
        <v>6</v>
      </c>
      <c r="I171">
        <v>11.33333333333333</v>
      </c>
      <c r="J171">
        <v>8.6666666666666661</v>
      </c>
      <c r="K171">
        <v>7</v>
      </c>
      <c r="L171">
        <v>8</v>
      </c>
      <c r="M171">
        <v>10</v>
      </c>
      <c r="N171">
        <v>13</v>
      </c>
      <c r="O171">
        <v>9</v>
      </c>
      <c r="P171">
        <v>6.666666666666667</v>
      </c>
      <c r="Q171">
        <v>3.5</v>
      </c>
      <c r="R171">
        <v>2</v>
      </c>
      <c r="S171">
        <v>0</v>
      </c>
      <c r="T171">
        <v>3</v>
      </c>
      <c r="U171">
        <v>3.2</v>
      </c>
      <c r="V171">
        <v>4.666666666666667</v>
      </c>
      <c r="W171">
        <v>5.333333333333333</v>
      </c>
      <c r="X171">
        <v>4.2222222222222223</v>
      </c>
      <c r="Y171">
        <v>4.4000000000000004</v>
      </c>
      <c r="Z171">
        <v>3.5</v>
      </c>
      <c r="AA171">
        <v>2</v>
      </c>
      <c r="AB171">
        <v>0</v>
      </c>
      <c r="AC171">
        <v>4</v>
      </c>
      <c r="AD171">
        <v>4</v>
      </c>
      <c r="AE171">
        <v>4</v>
      </c>
      <c r="AF171">
        <v>4.333333333333333</v>
      </c>
      <c r="AG171">
        <v>4</v>
      </c>
      <c r="AH171">
        <v>3.5</v>
      </c>
      <c r="AI171" s="1">
        <v>16</v>
      </c>
      <c r="AJ171" s="1">
        <v>1603</v>
      </c>
      <c r="AK171" s="1">
        <v>503</v>
      </c>
      <c r="AL171" t="s">
        <v>1</v>
      </c>
      <c r="AM171" t="s">
        <v>0</v>
      </c>
      <c r="AN171">
        <v>180</v>
      </c>
      <c r="AO171">
        <v>0</v>
      </c>
      <c r="AP171">
        <v>540</v>
      </c>
      <c r="AQ171">
        <v>1020</v>
      </c>
      <c r="AR171">
        <v>780</v>
      </c>
      <c r="AS171">
        <v>630</v>
      </c>
      <c r="AT171">
        <v>720</v>
      </c>
      <c r="AU171">
        <v>900</v>
      </c>
      <c r="AV171">
        <v>1170</v>
      </c>
      <c r="AW171">
        <v>810</v>
      </c>
      <c r="AX171">
        <v>600</v>
      </c>
      <c r="AY171">
        <v>315</v>
      </c>
      <c r="AZ171">
        <v>180</v>
      </c>
      <c r="BA171">
        <v>0</v>
      </c>
      <c r="BB171">
        <v>270</v>
      </c>
      <c r="BC171">
        <v>288</v>
      </c>
      <c r="BD171">
        <v>420</v>
      </c>
      <c r="BE171">
        <v>480</v>
      </c>
      <c r="BF171">
        <v>380</v>
      </c>
      <c r="BG171">
        <v>396</v>
      </c>
      <c r="BH171">
        <v>315</v>
      </c>
      <c r="BI171">
        <v>180</v>
      </c>
      <c r="BJ171">
        <v>0</v>
      </c>
      <c r="BK171">
        <v>360</v>
      </c>
      <c r="BL171">
        <v>360</v>
      </c>
      <c r="BM171">
        <v>360</v>
      </c>
      <c r="BN171">
        <v>390</v>
      </c>
      <c r="BO171">
        <v>360</v>
      </c>
      <c r="BP171">
        <v>315</v>
      </c>
      <c r="BQ171">
        <f>(I171+J171+N171+O171)/4</f>
        <v>10.5</v>
      </c>
      <c r="BR171">
        <f>(K171+L171+M171)/3</f>
        <v>8.3333333333333339</v>
      </c>
      <c r="BS171">
        <f>BQ171/BR171</f>
        <v>1.26</v>
      </c>
      <c r="BT171">
        <f>AQ171/I171</f>
        <v>90.000000000000028</v>
      </c>
      <c r="BU171" t="str">
        <f>IF(OR(A171=2, A171=12), "Central", IF(A171=3, "Semi-Central", "Periférica"))</f>
        <v>Periférica</v>
      </c>
    </row>
    <row r="172" spans="1:73" x14ac:dyDescent="0.3">
      <c r="A172" s="1">
        <v>18</v>
      </c>
      <c r="B172" s="1">
        <v>1844</v>
      </c>
      <c r="C172" s="1">
        <v>244</v>
      </c>
      <c r="D172" t="s">
        <v>5</v>
      </c>
      <c r="F172">
        <v>0</v>
      </c>
      <c r="G172">
        <v>0</v>
      </c>
      <c r="H172">
        <v>4</v>
      </c>
      <c r="I172">
        <v>4</v>
      </c>
      <c r="J172">
        <v>3.333333333333333</v>
      </c>
      <c r="K172">
        <v>3</v>
      </c>
      <c r="L172">
        <v>3.333333333333333</v>
      </c>
      <c r="M172">
        <v>2.8</v>
      </c>
      <c r="N172">
        <v>4</v>
      </c>
      <c r="O172">
        <v>4</v>
      </c>
      <c r="P172">
        <v>2.666666666666667</v>
      </c>
      <c r="Q172">
        <v>1.5</v>
      </c>
      <c r="R172">
        <v>0</v>
      </c>
      <c r="S172">
        <v>0</v>
      </c>
      <c r="T172">
        <v>3</v>
      </c>
      <c r="U172">
        <v>3.2</v>
      </c>
      <c r="V172">
        <v>3</v>
      </c>
      <c r="W172">
        <v>3</v>
      </c>
      <c r="X172">
        <v>2.8888888888888888</v>
      </c>
      <c r="Y172">
        <v>3.2</v>
      </c>
      <c r="Z172">
        <v>1</v>
      </c>
      <c r="AA172">
        <v>0</v>
      </c>
      <c r="AB172">
        <v>0</v>
      </c>
      <c r="AC172">
        <v>3</v>
      </c>
      <c r="AD172">
        <v>3.0909090909090908</v>
      </c>
      <c r="AE172">
        <v>3</v>
      </c>
      <c r="AF172">
        <v>3</v>
      </c>
      <c r="AG172">
        <v>3</v>
      </c>
      <c r="AH172">
        <v>1</v>
      </c>
      <c r="AI172" s="1">
        <v>18</v>
      </c>
      <c r="AJ172" s="1">
        <v>1844</v>
      </c>
      <c r="AK172" s="1">
        <v>244</v>
      </c>
      <c r="AL172" t="s">
        <v>5</v>
      </c>
      <c r="AN172">
        <v>0</v>
      </c>
      <c r="AO172">
        <v>0</v>
      </c>
      <c r="AP172">
        <v>360</v>
      </c>
      <c r="AQ172">
        <v>360</v>
      </c>
      <c r="AR172">
        <v>300</v>
      </c>
      <c r="AS172">
        <v>270</v>
      </c>
      <c r="AT172">
        <v>300</v>
      </c>
      <c r="AU172">
        <v>252</v>
      </c>
      <c r="AV172">
        <v>360</v>
      </c>
      <c r="AW172">
        <v>360</v>
      </c>
      <c r="AX172">
        <v>240</v>
      </c>
      <c r="AY172">
        <v>135</v>
      </c>
      <c r="AZ172">
        <v>0</v>
      </c>
      <c r="BA172">
        <v>0</v>
      </c>
      <c r="BB172">
        <v>270</v>
      </c>
      <c r="BC172">
        <v>288</v>
      </c>
      <c r="BD172">
        <v>270</v>
      </c>
      <c r="BE172">
        <v>270</v>
      </c>
      <c r="BF172">
        <v>260</v>
      </c>
      <c r="BG172">
        <v>288</v>
      </c>
      <c r="BH172">
        <v>90</v>
      </c>
      <c r="BI172">
        <v>0</v>
      </c>
      <c r="BJ172">
        <v>0</v>
      </c>
      <c r="BK172">
        <v>270</v>
      </c>
      <c r="BL172">
        <v>278.18181818181819</v>
      </c>
      <c r="BM172">
        <v>270</v>
      </c>
      <c r="BN172">
        <v>270</v>
      </c>
      <c r="BO172">
        <v>270</v>
      </c>
      <c r="BP172">
        <v>90</v>
      </c>
      <c r="BQ172">
        <f>(I172+J172+N172+O172)/4</f>
        <v>3.833333333333333</v>
      </c>
      <c r="BR172">
        <f>(K172+L172+M172)/3</f>
        <v>3.0444444444444443</v>
      </c>
      <c r="BS172">
        <f>BQ172/BR172</f>
        <v>1.2591240875912408</v>
      </c>
      <c r="BT172">
        <f>AQ172/I172</f>
        <v>90</v>
      </c>
      <c r="BU172" t="str">
        <f>IF(OR(A172=2, A172=12), "Central", IF(A172=3, "Semi-Central", "Periférica"))</f>
        <v>Periférica</v>
      </c>
    </row>
    <row r="173" spans="1:73" x14ac:dyDescent="0.3">
      <c r="A173" s="1">
        <v>5</v>
      </c>
      <c r="B173" s="1">
        <v>518</v>
      </c>
      <c r="C173" s="1">
        <v>518</v>
      </c>
      <c r="D173" t="s">
        <v>5</v>
      </c>
      <c r="E173" t="s">
        <v>0</v>
      </c>
      <c r="F173">
        <v>2</v>
      </c>
      <c r="G173">
        <v>2.2222222222222223</v>
      </c>
      <c r="H173">
        <v>6</v>
      </c>
      <c r="I173">
        <v>11.333333333333334</v>
      </c>
      <c r="J173">
        <v>6.666666666666667</v>
      </c>
      <c r="K173">
        <v>5</v>
      </c>
      <c r="L173">
        <v>6</v>
      </c>
      <c r="M173">
        <v>7.2</v>
      </c>
      <c r="N173">
        <v>7</v>
      </c>
      <c r="O173">
        <v>5.5</v>
      </c>
      <c r="P173">
        <v>4.666666666666667</v>
      </c>
      <c r="Q173">
        <v>3.5</v>
      </c>
      <c r="R173">
        <v>2</v>
      </c>
      <c r="S173">
        <v>2.2222222222222223</v>
      </c>
      <c r="T173">
        <v>4</v>
      </c>
      <c r="U173">
        <v>5.2</v>
      </c>
      <c r="V173">
        <v>4.666666666666667</v>
      </c>
      <c r="W173">
        <v>4.666666666666667</v>
      </c>
      <c r="X173">
        <v>4.4444444444444446</v>
      </c>
      <c r="Y173">
        <v>3.2</v>
      </c>
      <c r="Z173">
        <v>3</v>
      </c>
      <c r="AA173">
        <v>2</v>
      </c>
      <c r="AB173">
        <v>2.2222222222222223</v>
      </c>
      <c r="AC173">
        <v>4</v>
      </c>
      <c r="AD173">
        <v>3.8181818181818183</v>
      </c>
      <c r="AE173">
        <v>4</v>
      </c>
      <c r="AF173">
        <v>3.6666666666666665</v>
      </c>
      <c r="AG173">
        <v>3</v>
      </c>
      <c r="AH173">
        <v>2.5</v>
      </c>
      <c r="AI173" s="1">
        <v>5</v>
      </c>
      <c r="AJ173" s="1">
        <v>518</v>
      </c>
      <c r="AK173" s="1">
        <v>518</v>
      </c>
      <c r="AL173" t="s">
        <v>5</v>
      </c>
      <c r="AM173" t="s">
        <v>0</v>
      </c>
      <c r="AN173">
        <v>162</v>
      </c>
      <c r="AO173">
        <v>180</v>
      </c>
      <c r="AP173">
        <v>486</v>
      </c>
      <c r="AQ173">
        <v>1012.6666666666666</v>
      </c>
      <c r="AR173">
        <v>540</v>
      </c>
      <c r="AS173">
        <v>405</v>
      </c>
      <c r="AT173">
        <v>533.33333333333337</v>
      </c>
      <c r="AU173">
        <v>611.6</v>
      </c>
      <c r="AV173">
        <v>602.5</v>
      </c>
      <c r="AW173">
        <v>445.5</v>
      </c>
      <c r="AX173">
        <v>378</v>
      </c>
      <c r="AY173">
        <v>283.5</v>
      </c>
      <c r="AZ173">
        <v>162</v>
      </c>
      <c r="BA173">
        <v>180</v>
      </c>
      <c r="BB173">
        <v>324</v>
      </c>
      <c r="BC173">
        <v>421.2</v>
      </c>
      <c r="BD173">
        <v>378</v>
      </c>
      <c r="BE173">
        <v>378</v>
      </c>
      <c r="BF173">
        <v>360</v>
      </c>
      <c r="BG173">
        <v>259.2</v>
      </c>
      <c r="BH173">
        <v>243</v>
      </c>
      <c r="BI173">
        <v>162</v>
      </c>
      <c r="BJ173">
        <v>180</v>
      </c>
      <c r="BK173">
        <v>324</v>
      </c>
      <c r="BL173">
        <v>309.27272727272725</v>
      </c>
      <c r="BM173">
        <v>324</v>
      </c>
      <c r="BN173">
        <v>297</v>
      </c>
      <c r="BO173">
        <v>243</v>
      </c>
      <c r="BP173">
        <v>202.5</v>
      </c>
      <c r="BQ173">
        <f>(I173+J173+N173+O173)/4</f>
        <v>7.625</v>
      </c>
      <c r="BR173">
        <f>(K173+L173+M173)/3</f>
        <v>6.0666666666666664</v>
      </c>
      <c r="BS173">
        <f>BQ173/BR173</f>
        <v>1.2568681318681318</v>
      </c>
      <c r="BT173">
        <f>AQ173/I173</f>
        <v>89.35294117647058</v>
      </c>
      <c r="BU173" t="str">
        <f>IF(OR(A173=2, A173=12), "Central", IF(A173=3, "Semi-Central", "Periférica"))</f>
        <v>Periférica</v>
      </c>
    </row>
    <row r="174" spans="1:73" x14ac:dyDescent="0.3">
      <c r="A174" s="1">
        <v>4</v>
      </c>
      <c r="B174" s="1">
        <v>471</v>
      </c>
      <c r="C174" s="1" t="s">
        <v>209</v>
      </c>
      <c r="D174" t="s">
        <v>5</v>
      </c>
      <c r="E174" t="s">
        <v>0</v>
      </c>
      <c r="F174">
        <v>2</v>
      </c>
      <c r="G174">
        <v>0.66666666666666663</v>
      </c>
      <c r="H174">
        <v>7</v>
      </c>
      <c r="I174">
        <v>8.6666666666666661</v>
      </c>
      <c r="J174">
        <v>6.666666666666667</v>
      </c>
      <c r="K174">
        <v>6</v>
      </c>
      <c r="L174">
        <v>6</v>
      </c>
      <c r="M174">
        <v>6.4</v>
      </c>
      <c r="N174">
        <v>7.5</v>
      </c>
      <c r="O174">
        <v>8</v>
      </c>
      <c r="P174">
        <v>5.333333333333333</v>
      </c>
      <c r="Q174">
        <v>3.5</v>
      </c>
      <c r="R174">
        <v>2</v>
      </c>
      <c r="S174">
        <v>0.66666666666666663</v>
      </c>
      <c r="T174">
        <v>4</v>
      </c>
      <c r="U174">
        <v>4.4000000000000004</v>
      </c>
      <c r="V174">
        <v>4.666666666666667</v>
      </c>
      <c r="W174">
        <v>4.666666666666667</v>
      </c>
      <c r="X174">
        <v>4.666666666666667</v>
      </c>
      <c r="Y174">
        <v>3.6</v>
      </c>
      <c r="Z174">
        <v>3</v>
      </c>
      <c r="AA174">
        <v>2</v>
      </c>
      <c r="AB174">
        <v>0.66666666666666663</v>
      </c>
      <c r="AC174">
        <v>4</v>
      </c>
      <c r="AD174">
        <v>4.7272727272727275</v>
      </c>
      <c r="AE174">
        <v>4.5999999999999996</v>
      </c>
      <c r="AF174">
        <v>4.333333333333333</v>
      </c>
      <c r="AG174">
        <v>4</v>
      </c>
      <c r="AH174">
        <v>3</v>
      </c>
      <c r="AI174" s="1">
        <v>4</v>
      </c>
      <c r="AJ174" s="1">
        <v>471</v>
      </c>
      <c r="AK174" s="1" t="s">
        <v>209</v>
      </c>
      <c r="AL174" t="s">
        <v>5</v>
      </c>
      <c r="AM174" t="s">
        <v>0</v>
      </c>
      <c r="AN174">
        <v>182</v>
      </c>
      <c r="AO174">
        <v>60.666666666666664</v>
      </c>
      <c r="AP174">
        <v>637</v>
      </c>
      <c r="AQ174">
        <v>788.66666666666663</v>
      </c>
      <c r="AR174">
        <v>606.66666666666663</v>
      </c>
      <c r="AS174">
        <v>546</v>
      </c>
      <c r="AT174">
        <v>546</v>
      </c>
      <c r="AU174">
        <v>582.4</v>
      </c>
      <c r="AV174">
        <v>682.5</v>
      </c>
      <c r="AW174">
        <v>728</v>
      </c>
      <c r="AX174">
        <v>485.33333333333331</v>
      </c>
      <c r="AY174">
        <v>318.5</v>
      </c>
      <c r="AZ174">
        <v>182</v>
      </c>
      <c r="BA174">
        <v>60.666666666666664</v>
      </c>
      <c r="BB174">
        <v>364</v>
      </c>
      <c r="BC174">
        <v>400.4</v>
      </c>
      <c r="BD174">
        <v>424.66666666666669</v>
      </c>
      <c r="BE174">
        <v>424.66666666666669</v>
      </c>
      <c r="BF174">
        <v>424.66666666666669</v>
      </c>
      <c r="BG174">
        <v>327.60000000000002</v>
      </c>
      <c r="BH174">
        <v>273</v>
      </c>
      <c r="BI174">
        <v>182</v>
      </c>
      <c r="BJ174">
        <v>60.666666666666664</v>
      </c>
      <c r="BK174">
        <v>364</v>
      </c>
      <c r="BL174">
        <v>430.18181818181819</v>
      </c>
      <c r="BM174">
        <v>418.6</v>
      </c>
      <c r="BN174">
        <v>394.33333333333331</v>
      </c>
      <c r="BO174">
        <v>364</v>
      </c>
      <c r="BP174">
        <v>273</v>
      </c>
      <c r="BQ174">
        <f>(I174+J174+N174+O174)/4</f>
        <v>7.708333333333333</v>
      </c>
      <c r="BR174">
        <f>(K174+L174+M174)/3</f>
        <v>6.1333333333333329</v>
      </c>
      <c r="BS174">
        <f>BQ174/BR174</f>
        <v>1.2567934782608696</v>
      </c>
      <c r="BT174">
        <f>AQ174/I174</f>
        <v>91</v>
      </c>
      <c r="BU174" t="str">
        <f>IF(OR(A174=2, A174=12), "Central", IF(A174=3, "Semi-Central", "Periférica"))</f>
        <v>Periférica</v>
      </c>
    </row>
    <row r="175" spans="1:73" x14ac:dyDescent="0.3">
      <c r="A175" s="1">
        <v>4</v>
      </c>
      <c r="B175" s="1">
        <v>469</v>
      </c>
      <c r="C175" s="1" t="s">
        <v>210</v>
      </c>
      <c r="D175" t="s">
        <v>5</v>
      </c>
      <c r="E175" t="s">
        <v>0</v>
      </c>
      <c r="F175">
        <v>0</v>
      </c>
      <c r="G175">
        <v>1.1111111111111112</v>
      </c>
      <c r="H175">
        <v>6</v>
      </c>
      <c r="I175">
        <v>8</v>
      </c>
      <c r="J175">
        <v>6</v>
      </c>
      <c r="K175">
        <v>5</v>
      </c>
      <c r="L175">
        <v>5.333333333333333</v>
      </c>
      <c r="M175">
        <v>5.2</v>
      </c>
      <c r="N175">
        <v>6</v>
      </c>
      <c r="O175">
        <v>6</v>
      </c>
      <c r="P175">
        <v>5.333333333333333</v>
      </c>
      <c r="Q175">
        <v>2</v>
      </c>
      <c r="R175">
        <v>0</v>
      </c>
      <c r="S175">
        <v>0.88888888888888884</v>
      </c>
      <c r="T175">
        <v>4</v>
      </c>
      <c r="U175">
        <v>4.4000000000000004</v>
      </c>
      <c r="V175">
        <v>4.666666666666667</v>
      </c>
      <c r="W175">
        <v>4.333333333333333</v>
      </c>
      <c r="X175">
        <v>4.4444444444444446</v>
      </c>
      <c r="Y175">
        <v>3.2</v>
      </c>
      <c r="Z175">
        <v>1.5</v>
      </c>
      <c r="AA175">
        <v>0</v>
      </c>
      <c r="AB175">
        <v>0.66666666666666663</v>
      </c>
      <c r="AC175">
        <v>4</v>
      </c>
      <c r="AD175">
        <v>4.1818181818181817</v>
      </c>
      <c r="AE175">
        <v>4.4000000000000004</v>
      </c>
      <c r="AF175">
        <v>4.333333333333333</v>
      </c>
      <c r="AG175">
        <v>4</v>
      </c>
      <c r="AH175">
        <v>2</v>
      </c>
      <c r="AI175" s="1">
        <v>4</v>
      </c>
      <c r="AJ175" s="1">
        <v>469</v>
      </c>
      <c r="AK175" s="1" t="s">
        <v>210</v>
      </c>
      <c r="AL175" t="s">
        <v>5</v>
      </c>
      <c r="AM175" t="s">
        <v>0</v>
      </c>
      <c r="AN175">
        <v>0</v>
      </c>
      <c r="AO175">
        <v>110</v>
      </c>
      <c r="AP175">
        <v>594</v>
      </c>
      <c r="AQ175">
        <v>792</v>
      </c>
      <c r="AR175">
        <v>594</v>
      </c>
      <c r="AS175">
        <v>495</v>
      </c>
      <c r="AT175">
        <v>528</v>
      </c>
      <c r="AU175">
        <v>514.79999999999995</v>
      </c>
      <c r="AV175">
        <v>594</v>
      </c>
      <c r="AW175">
        <v>594</v>
      </c>
      <c r="AX175">
        <v>528</v>
      </c>
      <c r="AY175">
        <v>198</v>
      </c>
      <c r="AZ175">
        <v>0</v>
      </c>
      <c r="BA175">
        <v>88</v>
      </c>
      <c r="BB175">
        <v>396</v>
      </c>
      <c r="BC175">
        <v>435.6</v>
      </c>
      <c r="BD175">
        <v>462</v>
      </c>
      <c r="BE175">
        <v>429</v>
      </c>
      <c r="BF175">
        <v>440</v>
      </c>
      <c r="BG175">
        <v>316.8</v>
      </c>
      <c r="BH175">
        <v>148.5</v>
      </c>
      <c r="BI175">
        <v>0</v>
      </c>
      <c r="BJ175">
        <v>66</v>
      </c>
      <c r="BK175">
        <v>396</v>
      </c>
      <c r="BL175">
        <v>414</v>
      </c>
      <c r="BM175">
        <v>435.6</v>
      </c>
      <c r="BN175">
        <v>429</v>
      </c>
      <c r="BO175">
        <v>396</v>
      </c>
      <c r="BP175">
        <v>198</v>
      </c>
      <c r="BQ175">
        <f>(I175+J175+N175+O175)/4</f>
        <v>6.5</v>
      </c>
      <c r="BR175">
        <f>(K175+L175+M175)/3</f>
        <v>5.1777777777777771</v>
      </c>
      <c r="BS175">
        <f>BQ175/BR175</f>
        <v>1.255364806866953</v>
      </c>
      <c r="BT175">
        <f>AQ175/I175</f>
        <v>99</v>
      </c>
      <c r="BU175" t="str">
        <f>IF(OR(A175=2, A175=12), "Central", IF(A175=3, "Semi-Central", "Periférica"))</f>
        <v>Periférica</v>
      </c>
    </row>
    <row r="176" spans="1:73" x14ac:dyDescent="0.3">
      <c r="A176" s="1">
        <v>16</v>
      </c>
      <c r="B176" s="1">
        <v>1603</v>
      </c>
      <c r="C176" s="1">
        <v>503</v>
      </c>
      <c r="D176" t="s">
        <v>5</v>
      </c>
      <c r="E176" t="s">
        <v>0</v>
      </c>
      <c r="F176">
        <v>0</v>
      </c>
      <c r="G176">
        <v>0.66666666666666663</v>
      </c>
      <c r="H176">
        <v>12</v>
      </c>
      <c r="I176">
        <v>15.33333333333333</v>
      </c>
      <c r="J176">
        <v>8</v>
      </c>
      <c r="K176">
        <v>8</v>
      </c>
      <c r="L176">
        <v>8</v>
      </c>
      <c r="M176">
        <v>8.4</v>
      </c>
      <c r="N176">
        <v>11</v>
      </c>
      <c r="O176">
        <v>6.5</v>
      </c>
      <c r="P176">
        <v>5.333333333333333</v>
      </c>
      <c r="Q176">
        <v>3.5</v>
      </c>
      <c r="R176">
        <v>0</v>
      </c>
      <c r="S176">
        <v>0.44444444444444442</v>
      </c>
      <c r="T176">
        <v>4</v>
      </c>
      <c r="U176">
        <v>6</v>
      </c>
      <c r="V176">
        <v>6.666666666666667</v>
      </c>
      <c r="W176">
        <v>4.666666666666667</v>
      </c>
      <c r="X176">
        <v>4</v>
      </c>
      <c r="Y176">
        <v>3.6</v>
      </c>
      <c r="Z176">
        <v>3</v>
      </c>
      <c r="AA176">
        <v>0</v>
      </c>
      <c r="AB176">
        <v>0</v>
      </c>
      <c r="AC176">
        <v>4.5</v>
      </c>
      <c r="AD176">
        <v>4.5454545454545459</v>
      </c>
      <c r="AE176">
        <v>4</v>
      </c>
      <c r="AF176">
        <v>4</v>
      </c>
      <c r="AG176">
        <v>4</v>
      </c>
      <c r="AH176">
        <v>3.5</v>
      </c>
      <c r="AI176" s="1">
        <v>16</v>
      </c>
      <c r="AJ176" s="1">
        <v>1603</v>
      </c>
      <c r="AK176" s="1">
        <v>503</v>
      </c>
      <c r="AL176" t="s">
        <v>5</v>
      </c>
      <c r="AM176" t="s">
        <v>0</v>
      </c>
      <c r="AN176">
        <v>0</v>
      </c>
      <c r="AO176">
        <v>60</v>
      </c>
      <c r="AP176">
        <v>1080</v>
      </c>
      <c r="AQ176">
        <v>1380</v>
      </c>
      <c r="AR176">
        <v>720</v>
      </c>
      <c r="AS176">
        <v>720</v>
      </c>
      <c r="AT176">
        <v>720</v>
      </c>
      <c r="AU176">
        <v>756</v>
      </c>
      <c r="AV176">
        <v>990</v>
      </c>
      <c r="AW176">
        <v>585</v>
      </c>
      <c r="AX176">
        <v>480</v>
      </c>
      <c r="AY176">
        <v>315</v>
      </c>
      <c r="AZ176">
        <v>0</v>
      </c>
      <c r="BA176">
        <v>40</v>
      </c>
      <c r="BB176">
        <v>360</v>
      </c>
      <c r="BC176">
        <v>540</v>
      </c>
      <c r="BD176">
        <v>600</v>
      </c>
      <c r="BE176">
        <v>420</v>
      </c>
      <c r="BF176">
        <v>360</v>
      </c>
      <c r="BG176">
        <v>324</v>
      </c>
      <c r="BH176">
        <v>270</v>
      </c>
      <c r="BI176">
        <v>0</v>
      </c>
      <c r="BJ176">
        <v>0</v>
      </c>
      <c r="BK176">
        <v>405</v>
      </c>
      <c r="BL176">
        <v>409.09090909090912</v>
      </c>
      <c r="BM176">
        <v>360</v>
      </c>
      <c r="BN176">
        <v>360</v>
      </c>
      <c r="BO176">
        <v>360</v>
      </c>
      <c r="BP176">
        <v>315</v>
      </c>
      <c r="BQ176">
        <f>(I176+J176+N176+O176)/4</f>
        <v>10.208333333333332</v>
      </c>
      <c r="BR176">
        <f>(K176+L176+M176)/3</f>
        <v>8.1333333333333329</v>
      </c>
      <c r="BS176">
        <f>BQ176/BR176</f>
        <v>1.255122950819672</v>
      </c>
      <c r="BT176">
        <f>AQ176/I176</f>
        <v>90.000000000000014</v>
      </c>
      <c r="BU176" t="str">
        <f>IF(OR(A176=2, A176=12), "Central", IF(A176=3, "Semi-Central", "Periférica"))</f>
        <v>Periférica</v>
      </c>
    </row>
    <row r="177" spans="1:73" x14ac:dyDescent="0.3">
      <c r="A177" s="1">
        <v>18</v>
      </c>
      <c r="B177" s="1">
        <v>1847</v>
      </c>
      <c r="C177" s="1" t="s">
        <v>366</v>
      </c>
      <c r="D177" t="s">
        <v>5</v>
      </c>
      <c r="E177" t="s">
        <v>0</v>
      </c>
      <c r="F177">
        <v>0</v>
      </c>
      <c r="G177">
        <v>0</v>
      </c>
      <c r="H177">
        <v>6</v>
      </c>
      <c r="I177">
        <v>6</v>
      </c>
      <c r="J177">
        <v>4.666666666666667</v>
      </c>
      <c r="K177">
        <v>3.666666666666667</v>
      </c>
      <c r="L177">
        <v>4</v>
      </c>
      <c r="M177">
        <v>4.4000000000000004</v>
      </c>
      <c r="N177">
        <v>4.5</v>
      </c>
      <c r="O177">
        <v>5</v>
      </c>
      <c r="P177">
        <v>4</v>
      </c>
      <c r="Q177">
        <v>2.5</v>
      </c>
      <c r="R177">
        <v>0</v>
      </c>
      <c r="S177">
        <v>0</v>
      </c>
      <c r="T177">
        <v>4</v>
      </c>
      <c r="U177">
        <v>4</v>
      </c>
      <c r="V177">
        <v>4.333333333333333</v>
      </c>
      <c r="W177">
        <v>4.666666666666667</v>
      </c>
      <c r="X177">
        <v>4</v>
      </c>
      <c r="Y177">
        <v>3.2</v>
      </c>
      <c r="Z177">
        <v>2.5</v>
      </c>
      <c r="AA177">
        <v>0</v>
      </c>
      <c r="AB177">
        <v>0</v>
      </c>
      <c r="AC177">
        <v>2</v>
      </c>
      <c r="AD177">
        <v>3.0909090909090908</v>
      </c>
      <c r="AE177">
        <v>3.2</v>
      </c>
      <c r="AF177">
        <v>3.333333333333333</v>
      </c>
      <c r="AG177">
        <v>3</v>
      </c>
      <c r="AH177">
        <v>2.5</v>
      </c>
      <c r="AI177" s="1">
        <v>18</v>
      </c>
      <c r="AJ177" s="1">
        <v>1847</v>
      </c>
      <c r="AK177" s="1" t="s">
        <v>366</v>
      </c>
      <c r="AL177" t="s">
        <v>5</v>
      </c>
      <c r="AM177" t="s">
        <v>0</v>
      </c>
      <c r="AN177">
        <v>0</v>
      </c>
      <c r="AO177">
        <v>0</v>
      </c>
      <c r="AP177">
        <v>540</v>
      </c>
      <c r="AQ177">
        <v>540</v>
      </c>
      <c r="AR177">
        <v>420</v>
      </c>
      <c r="AS177">
        <v>330</v>
      </c>
      <c r="AT177">
        <v>360</v>
      </c>
      <c r="AU177">
        <v>396</v>
      </c>
      <c r="AV177">
        <v>405</v>
      </c>
      <c r="AW177">
        <v>450</v>
      </c>
      <c r="AX177">
        <v>360</v>
      </c>
      <c r="AY177">
        <v>225</v>
      </c>
      <c r="AZ177">
        <v>0</v>
      </c>
      <c r="BA177">
        <v>0</v>
      </c>
      <c r="BB177">
        <v>360</v>
      </c>
      <c r="BC177">
        <v>360</v>
      </c>
      <c r="BD177">
        <v>390</v>
      </c>
      <c r="BE177">
        <v>420</v>
      </c>
      <c r="BF177">
        <v>360</v>
      </c>
      <c r="BG177">
        <v>288</v>
      </c>
      <c r="BH177">
        <v>225</v>
      </c>
      <c r="BI177">
        <v>0</v>
      </c>
      <c r="BJ177">
        <v>0</v>
      </c>
      <c r="BK177">
        <v>180</v>
      </c>
      <c r="BL177">
        <v>278.18181818181819</v>
      </c>
      <c r="BM177">
        <v>288</v>
      </c>
      <c r="BN177">
        <v>300</v>
      </c>
      <c r="BO177">
        <v>270</v>
      </c>
      <c r="BP177">
        <v>225</v>
      </c>
      <c r="BQ177">
        <f>(I177+J177+N177+O177)/4</f>
        <v>5.041666666666667</v>
      </c>
      <c r="BR177">
        <f>(K177+L177+M177)/3</f>
        <v>4.0222222222222221</v>
      </c>
      <c r="BS177">
        <f>BQ177/BR177</f>
        <v>1.2534530386740332</v>
      </c>
      <c r="BT177">
        <f>AQ177/I177</f>
        <v>90</v>
      </c>
      <c r="BU177" t="str">
        <f>IF(OR(A177=2, A177=12), "Central", IF(A177=3, "Semi-Central", "Periférica"))</f>
        <v>Periférica</v>
      </c>
    </row>
    <row r="178" spans="1:73" x14ac:dyDescent="0.3">
      <c r="A178" s="1">
        <v>16</v>
      </c>
      <c r="B178" s="1">
        <v>1618</v>
      </c>
      <c r="C178" s="1" t="s">
        <v>358</v>
      </c>
      <c r="D178" t="s">
        <v>1</v>
      </c>
      <c r="E178" t="s">
        <v>0</v>
      </c>
      <c r="F178">
        <v>0</v>
      </c>
      <c r="G178">
        <v>0.22222222222222221</v>
      </c>
      <c r="H178">
        <v>4</v>
      </c>
      <c r="I178">
        <v>6</v>
      </c>
      <c r="J178">
        <v>4.666666666666667</v>
      </c>
      <c r="K178">
        <v>4</v>
      </c>
      <c r="L178">
        <v>4.666666666666667</v>
      </c>
      <c r="M178">
        <v>4</v>
      </c>
      <c r="N178">
        <v>5</v>
      </c>
      <c r="O178">
        <v>5.5</v>
      </c>
      <c r="P178">
        <v>4.666666666666667</v>
      </c>
      <c r="Q178">
        <v>3</v>
      </c>
      <c r="R178">
        <v>0</v>
      </c>
      <c r="S178">
        <v>0</v>
      </c>
      <c r="T178">
        <v>2</v>
      </c>
      <c r="U178">
        <v>4</v>
      </c>
      <c r="V178">
        <v>4</v>
      </c>
      <c r="W178">
        <v>4</v>
      </c>
      <c r="X178">
        <v>4</v>
      </c>
      <c r="Y178">
        <v>3.6</v>
      </c>
      <c r="Z178">
        <v>2.5</v>
      </c>
      <c r="AA178">
        <v>0</v>
      </c>
      <c r="AB178">
        <v>0</v>
      </c>
      <c r="AC178">
        <v>1</v>
      </c>
      <c r="AD178">
        <v>4</v>
      </c>
      <c r="AE178">
        <v>4</v>
      </c>
      <c r="AF178">
        <v>4</v>
      </c>
      <c r="AG178">
        <v>3</v>
      </c>
      <c r="AH178">
        <v>2.5</v>
      </c>
      <c r="AI178" s="1">
        <v>16</v>
      </c>
      <c r="AJ178" s="1">
        <v>1618</v>
      </c>
      <c r="AK178" s="1" t="s">
        <v>358</v>
      </c>
      <c r="AL178" t="s">
        <v>1</v>
      </c>
      <c r="AM178" t="s">
        <v>0</v>
      </c>
      <c r="AN178">
        <v>0</v>
      </c>
      <c r="AO178">
        <v>20</v>
      </c>
      <c r="AP178">
        <v>360</v>
      </c>
      <c r="AQ178">
        <v>540</v>
      </c>
      <c r="AR178">
        <v>420</v>
      </c>
      <c r="AS178">
        <v>360</v>
      </c>
      <c r="AT178">
        <v>420</v>
      </c>
      <c r="AU178">
        <v>360</v>
      </c>
      <c r="AV178">
        <v>450</v>
      </c>
      <c r="AW178">
        <v>495</v>
      </c>
      <c r="AX178">
        <v>420</v>
      </c>
      <c r="AY178">
        <v>270</v>
      </c>
      <c r="AZ178">
        <v>0</v>
      </c>
      <c r="BA178">
        <v>0</v>
      </c>
      <c r="BB178">
        <v>180</v>
      </c>
      <c r="BC178">
        <v>360</v>
      </c>
      <c r="BD178">
        <v>360</v>
      </c>
      <c r="BE178">
        <v>360</v>
      </c>
      <c r="BF178">
        <v>360</v>
      </c>
      <c r="BG178">
        <v>324</v>
      </c>
      <c r="BH178">
        <v>225</v>
      </c>
      <c r="BI178">
        <v>0</v>
      </c>
      <c r="BJ178">
        <v>0</v>
      </c>
      <c r="BK178">
        <v>90</v>
      </c>
      <c r="BL178">
        <v>360</v>
      </c>
      <c r="BM178">
        <v>360</v>
      </c>
      <c r="BN178">
        <v>360</v>
      </c>
      <c r="BO178">
        <v>270</v>
      </c>
      <c r="BP178">
        <v>225</v>
      </c>
      <c r="BQ178">
        <f>(I178+J178+N178+O178)/4</f>
        <v>5.291666666666667</v>
      </c>
      <c r="BR178">
        <f>(K178+L178+M178)/3</f>
        <v>4.2222222222222223</v>
      </c>
      <c r="BS178">
        <f>BQ178/BR178</f>
        <v>1.2532894736842106</v>
      </c>
      <c r="BT178">
        <f>AQ178/I178</f>
        <v>90</v>
      </c>
      <c r="BU178" t="str">
        <f>IF(OR(A178=2, A178=12), "Central", IF(A178=3, "Semi-Central", "Periférica"))</f>
        <v>Periférica</v>
      </c>
    </row>
    <row r="179" spans="1:73" x14ac:dyDescent="0.3">
      <c r="A179" s="1">
        <v>4</v>
      </c>
      <c r="B179" s="1">
        <v>464</v>
      </c>
      <c r="C179" s="1" t="s">
        <v>365</v>
      </c>
      <c r="D179" t="s">
        <v>5</v>
      </c>
      <c r="E179" t="s">
        <v>0</v>
      </c>
      <c r="F179">
        <v>1</v>
      </c>
      <c r="G179">
        <v>0</v>
      </c>
      <c r="H179">
        <v>5</v>
      </c>
      <c r="I179">
        <v>10.666666666666666</v>
      </c>
      <c r="J179">
        <v>9.3333333333333339</v>
      </c>
      <c r="K179">
        <v>7.333333333333333</v>
      </c>
      <c r="L179">
        <v>9.3333333333333339</v>
      </c>
      <c r="M179">
        <v>8.8000000000000007</v>
      </c>
      <c r="N179">
        <v>10.5</v>
      </c>
      <c r="O179">
        <v>12</v>
      </c>
      <c r="P179">
        <v>8.6666666666666661</v>
      </c>
      <c r="Q179">
        <v>6</v>
      </c>
      <c r="R179">
        <v>1</v>
      </c>
      <c r="S179">
        <v>0</v>
      </c>
      <c r="T179">
        <v>4</v>
      </c>
      <c r="U179">
        <v>5.6</v>
      </c>
      <c r="V179">
        <v>5.333333333333333</v>
      </c>
      <c r="W179">
        <v>6</v>
      </c>
      <c r="X179">
        <v>5.5555555555555554</v>
      </c>
      <c r="Y179">
        <v>5.2</v>
      </c>
      <c r="Z179">
        <v>4</v>
      </c>
      <c r="AA179">
        <v>1</v>
      </c>
      <c r="AB179">
        <v>0</v>
      </c>
      <c r="AC179">
        <v>4</v>
      </c>
      <c r="AD179">
        <v>4.9090909090909092</v>
      </c>
      <c r="AE179">
        <v>5</v>
      </c>
      <c r="AF179">
        <v>4.666666666666667</v>
      </c>
      <c r="AG179">
        <v>5</v>
      </c>
      <c r="AH179">
        <v>4</v>
      </c>
      <c r="AI179" s="1">
        <v>4</v>
      </c>
      <c r="AJ179" s="1">
        <v>464</v>
      </c>
      <c r="AK179" s="1" t="s">
        <v>365</v>
      </c>
      <c r="AL179" t="s">
        <v>5</v>
      </c>
      <c r="AM179" t="s">
        <v>0</v>
      </c>
      <c r="AN179">
        <v>76</v>
      </c>
      <c r="AO179">
        <v>0</v>
      </c>
      <c r="AP179">
        <v>449</v>
      </c>
      <c r="AQ179">
        <v>1056</v>
      </c>
      <c r="AR179">
        <v>878</v>
      </c>
      <c r="AS179">
        <v>649.33333333333337</v>
      </c>
      <c r="AT179">
        <v>755.33333333333337</v>
      </c>
      <c r="AU179">
        <v>797.6</v>
      </c>
      <c r="AV179">
        <v>1005</v>
      </c>
      <c r="AW179">
        <v>1153.5</v>
      </c>
      <c r="AX179">
        <v>766</v>
      </c>
      <c r="AY179">
        <v>479</v>
      </c>
      <c r="AZ179">
        <v>76</v>
      </c>
      <c r="BA179">
        <v>0</v>
      </c>
      <c r="BB179">
        <v>350</v>
      </c>
      <c r="BC179">
        <v>471.6</v>
      </c>
      <c r="BD179">
        <v>451.33333333333331</v>
      </c>
      <c r="BE179">
        <v>502</v>
      </c>
      <c r="BF179">
        <v>473.33333333333331</v>
      </c>
      <c r="BG179">
        <v>441.2</v>
      </c>
      <c r="BH179">
        <v>327</v>
      </c>
      <c r="BI179">
        <v>76</v>
      </c>
      <c r="BJ179">
        <v>0</v>
      </c>
      <c r="BK179">
        <v>350</v>
      </c>
      <c r="BL179">
        <v>440</v>
      </c>
      <c r="BM179">
        <v>449</v>
      </c>
      <c r="BN179">
        <v>416</v>
      </c>
      <c r="BO179">
        <v>449</v>
      </c>
      <c r="BP179">
        <v>327</v>
      </c>
      <c r="BQ179">
        <f>(I179+J179+N179+O179)/4</f>
        <v>10.625</v>
      </c>
      <c r="BR179">
        <f>(K179+L179+M179)/3</f>
        <v>8.4888888888888889</v>
      </c>
      <c r="BS179">
        <f>BQ179/BR179</f>
        <v>1.2516361256544501</v>
      </c>
      <c r="BT179">
        <f>AQ179/I179</f>
        <v>99</v>
      </c>
      <c r="BU179" t="str">
        <f>IF(OR(A179=2, A179=12), "Central", IF(A179=3, "Semi-Central", "Periférica"))</f>
        <v>Periférica</v>
      </c>
    </row>
    <row r="180" spans="1:73" x14ac:dyDescent="0.3">
      <c r="A180" s="1">
        <v>16</v>
      </c>
      <c r="B180" s="1">
        <v>1619</v>
      </c>
      <c r="C180" s="1" t="s">
        <v>339</v>
      </c>
      <c r="D180" t="s">
        <v>5</v>
      </c>
      <c r="E180" t="s">
        <v>0</v>
      </c>
      <c r="F180">
        <v>0</v>
      </c>
      <c r="G180">
        <v>0</v>
      </c>
      <c r="H180">
        <v>5</v>
      </c>
      <c r="I180">
        <v>7.333333333333333</v>
      </c>
      <c r="J180">
        <v>5.333333333333333</v>
      </c>
      <c r="K180">
        <v>5</v>
      </c>
      <c r="L180">
        <v>4</v>
      </c>
      <c r="M180">
        <v>4</v>
      </c>
      <c r="N180">
        <v>4.5</v>
      </c>
      <c r="O180">
        <v>4.5</v>
      </c>
      <c r="P180">
        <v>3.333333333333333</v>
      </c>
      <c r="Q180">
        <v>1.5</v>
      </c>
      <c r="R180">
        <v>0</v>
      </c>
      <c r="S180">
        <v>0</v>
      </c>
      <c r="T180">
        <v>4</v>
      </c>
      <c r="U180">
        <v>4</v>
      </c>
      <c r="V180">
        <v>4</v>
      </c>
      <c r="W180">
        <v>4</v>
      </c>
      <c r="X180">
        <v>4</v>
      </c>
      <c r="Y180">
        <v>3.2</v>
      </c>
      <c r="Z180">
        <v>1</v>
      </c>
      <c r="AA180">
        <v>0</v>
      </c>
      <c r="AB180">
        <v>0</v>
      </c>
      <c r="AC180">
        <v>3</v>
      </c>
      <c r="AD180">
        <v>3.0909090909090908</v>
      </c>
      <c r="AE180">
        <v>3</v>
      </c>
      <c r="AF180">
        <v>3</v>
      </c>
      <c r="AG180">
        <v>2</v>
      </c>
      <c r="AH180">
        <v>1</v>
      </c>
      <c r="AI180" s="1">
        <v>16</v>
      </c>
      <c r="AJ180" s="1">
        <v>1619</v>
      </c>
      <c r="AK180" s="1" t="s">
        <v>339</v>
      </c>
      <c r="AL180" t="s">
        <v>5</v>
      </c>
      <c r="AM180" t="s">
        <v>0</v>
      </c>
      <c r="AN180">
        <v>0</v>
      </c>
      <c r="AO180">
        <v>0</v>
      </c>
      <c r="AP180">
        <v>450</v>
      </c>
      <c r="AQ180">
        <v>660</v>
      </c>
      <c r="AR180">
        <v>480</v>
      </c>
      <c r="AS180">
        <v>450</v>
      </c>
      <c r="AT180">
        <v>360</v>
      </c>
      <c r="AU180">
        <v>360</v>
      </c>
      <c r="AV180">
        <v>405</v>
      </c>
      <c r="AW180">
        <v>405</v>
      </c>
      <c r="AX180">
        <v>300</v>
      </c>
      <c r="AY180">
        <v>135</v>
      </c>
      <c r="AZ180">
        <v>0</v>
      </c>
      <c r="BA180">
        <v>0</v>
      </c>
      <c r="BB180">
        <v>360</v>
      </c>
      <c r="BC180">
        <v>360</v>
      </c>
      <c r="BD180">
        <v>360</v>
      </c>
      <c r="BE180">
        <v>360</v>
      </c>
      <c r="BF180">
        <v>360</v>
      </c>
      <c r="BG180">
        <v>288</v>
      </c>
      <c r="BH180">
        <v>90</v>
      </c>
      <c r="BI180">
        <v>0</v>
      </c>
      <c r="BJ180">
        <v>0</v>
      </c>
      <c r="BK180">
        <v>270</v>
      </c>
      <c r="BL180">
        <v>278.18181818181819</v>
      </c>
      <c r="BM180">
        <v>270</v>
      </c>
      <c r="BN180">
        <v>270</v>
      </c>
      <c r="BO180">
        <v>180</v>
      </c>
      <c r="BP180">
        <v>90</v>
      </c>
      <c r="BQ180">
        <f>(I180+J180+N180+O180)/4</f>
        <v>5.4166666666666661</v>
      </c>
      <c r="BR180">
        <f>(K180+L180+M180)/3</f>
        <v>4.333333333333333</v>
      </c>
      <c r="BS180">
        <f>BQ180/BR180</f>
        <v>1.25</v>
      </c>
      <c r="BT180">
        <f>AQ180/I180</f>
        <v>90</v>
      </c>
      <c r="BU180" t="str">
        <f>IF(OR(A180=2, A180=12), "Central", IF(A180=3, "Semi-Central", "Periférica"))</f>
        <v>Periférica</v>
      </c>
    </row>
    <row r="181" spans="1:73" x14ac:dyDescent="0.3">
      <c r="A181" s="1">
        <v>19</v>
      </c>
      <c r="B181" s="1">
        <v>1926</v>
      </c>
      <c r="C181" s="1">
        <v>226</v>
      </c>
      <c r="D181" t="s">
        <v>1</v>
      </c>
      <c r="E181" t="s">
        <v>0</v>
      </c>
      <c r="F181">
        <v>2</v>
      </c>
      <c r="G181">
        <v>0</v>
      </c>
      <c r="H181">
        <v>8</v>
      </c>
      <c r="I181">
        <v>7.333333333333333</v>
      </c>
      <c r="J181">
        <v>6</v>
      </c>
      <c r="K181">
        <v>5.666666666666667</v>
      </c>
      <c r="L181">
        <v>6.666666666666667</v>
      </c>
      <c r="M181">
        <v>5.6</v>
      </c>
      <c r="N181">
        <v>9</v>
      </c>
      <c r="O181">
        <v>7.5</v>
      </c>
      <c r="P181">
        <v>5.333333333333333</v>
      </c>
      <c r="Q181">
        <v>4</v>
      </c>
      <c r="R181">
        <v>2</v>
      </c>
      <c r="S181">
        <v>0</v>
      </c>
      <c r="T181">
        <v>4</v>
      </c>
      <c r="U181">
        <v>4.8</v>
      </c>
      <c r="V181">
        <v>4.666666666666667</v>
      </c>
      <c r="W181">
        <v>5</v>
      </c>
      <c r="X181">
        <v>4.4444444444444446</v>
      </c>
      <c r="Y181">
        <v>4.4000000000000004</v>
      </c>
      <c r="Z181">
        <v>3</v>
      </c>
      <c r="AA181">
        <v>0</v>
      </c>
      <c r="AB181">
        <v>0</v>
      </c>
      <c r="AC181">
        <v>4</v>
      </c>
      <c r="AD181">
        <v>4.5454545454545459</v>
      </c>
      <c r="AE181">
        <v>5</v>
      </c>
      <c r="AF181">
        <v>5</v>
      </c>
      <c r="AG181">
        <v>5</v>
      </c>
      <c r="AH181">
        <v>3</v>
      </c>
      <c r="AI181" s="1">
        <v>19</v>
      </c>
      <c r="AJ181" s="1">
        <v>1926</v>
      </c>
      <c r="AK181" s="1">
        <v>226</v>
      </c>
      <c r="AL181" t="s">
        <v>1</v>
      </c>
      <c r="AM181" t="s">
        <v>0</v>
      </c>
      <c r="AN181">
        <v>180</v>
      </c>
      <c r="AO181">
        <v>0</v>
      </c>
      <c r="AP181">
        <v>720</v>
      </c>
      <c r="AQ181">
        <v>660</v>
      </c>
      <c r="AR181">
        <v>540</v>
      </c>
      <c r="AS181">
        <v>510</v>
      </c>
      <c r="AT181">
        <v>600</v>
      </c>
      <c r="AU181">
        <v>504</v>
      </c>
      <c r="AV181">
        <v>810</v>
      </c>
      <c r="AW181">
        <v>675</v>
      </c>
      <c r="AX181">
        <v>480</v>
      </c>
      <c r="AY181">
        <v>360</v>
      </c>
      <c r="AZ181">
        <v>180</v>
      </c>
      <c r="BA181">
        <v>0</v>
      </c>
      <c r="BB181">
        <v>360</v>
      </c>
      <c r="BC181">
        <v>432</v>
      </c>
      <c r="BD181">
        <v>420</v>
      </c>
      <c r="BE181">
        <v>450</v>
      </c>
      <c r="BF181">
        <v>400</v>
      </c>
      <c r="BG181">
        <v>396</v>
      </c>
      <c r="BH181">
        <v>270</v>
      </c>
      <c r="BI181">
        <v>0</v>
      </c>
      <c r="BJ181">
        <v>0</v>
      </c>
      <c r="BK181">
        <v>360</v>
      </c>
      <c r="BL181">
        <v>409.09090909090912</v>
      </c>
      <c r="BM181">
        <v>450</v>
      </c>
      <c r="BN181">
        <v>450</v>
      </c>
      <c r="BO181">
        <v>450</v>
      </c>
      <c r="BP181">
        <v>270</v>
      </c>
      <c r="BQ181">
        <f>(I181+J181+N181+O181)/4</f>
        <v>7.458333333333333</v>
      </c>
      <c r="BR181">
        <f>(K181+L181+M181)/3</f>
        <v>5.9777777777777779</v>
      </c>
      <c r="BS181">
        <f>BQ181/BR181</f>
        <v>1.2476765799256504</v>
      </c>
      <c r="BT181">
        <f>AQ181/I181</f>
        <v>90</v>
      </c>
      <c r="BU181" t="str">
        <f>IF(OR(A181=2, A181=12), "Central", IF(A181=3, "Semi-Central", "Periférica"))</f>
        <v>Periférica</v>
      </c>
    </row>
    <row r="182" spans="1:73" x14ac:dyDescent="0.3">
      <c r="A182" s="1">
        <v>18</v>
      </c>
      <c r="B182" s="1">
        <v>1836</v>
      </c>
      <c r="C182" s="1">
        <v>306</v>
      </c>
      <c r="D182" t="s">
        <v>5</v>
      </c>
      <c r="E182" t="s">
        <v>0</v>
      </c>
      <c r="F182">
        <v>0</v>
      </c>
      <c r="G182">
        <v>0</v>
      </c>
      <c r="H182">
        <v>8</v>
      </c>
      <c r="I182">
        <v>7.333333333333333</v>
      </c>
      <c r="J182">
        <v>6</v>
      </c>
      <c r="K182">
        <v>6</v>
      </c>
      <c r="L182">
        <v>5.333333333333333</v>
      </c>
      <c r="M182">
        <v>6</v>
      </c>
      <c r="N182">
        <v>7.5</v>
      </c>
      <c r="O182">
        <v>8</v>
      </c>
      <c r="P182">
        <v>5.333333333333333</v>
      </c>
      <c r="Q182">
        <v>2</v>
      </c>
      <c r="R182">
        <v>0</v>
      </c>
      <c r="S182">
        <v>0</v>
      </c>
      <c r="T182">
        <v>4</v>
      </c>
      <c r="U182">
        <v>5.2</v>
      </c>
      <c r="V182">
        <v>5</v>
      </c>
      <c r="W182">
        <v>5</v>
      </c>
      <c r="X182">
        <v>4.8888888888888893</v>
      </c>
      <c r="Y182">
        <v>5.2</v>
      </c>
      <c r="Z182">
        <v>2</v>
      </c>
      <c r="AA182">
        <v>0</v>
      </c>
      <c r="AB182">
        <v>0</v>
      </c>
      <c r="AC182">
        <v>2.5</v>
      </c>
      <c r="AD182">
        <v>2.9090909090909092</v>
      </c>
      <c r="AE182">
        <v>3</v>
      </c>
      <c r="AF182">
        <v>3</v>
      </c>
      <c r="AG182">
        <v>3</v>
      </c>
      <c r="AH182">
        <v>1.5</v>
      </c>
      <c r="AI182" s="1">
        <v>18</v>
      </c>
      <c r="AJ182" s="1">
        <v>1836</v>
      </c>
      <c r="AK182" s="1">
        <v>306</v>
      </c>
      <c r="AL182" t="s">
        <v>5</v>
      </c>
      <c r="AM182" t="s">
        <v>0</v>
      </c>
      <c r="AN182">
        <v>0</v>
      </c>
      <c r="AO182">
        <v>0</v>
      </c>
      <c r="AP182">
        <v>720</v>
      </c>
      <c r="AQ182">
        <v>660</v>
      </c>
      <c r="AR182">
        <v>540</v>
      </c>
      <c r="AS182">
        <v>540</v>
      </c>
      <c r="AT182">
        <v>480</v>
      </c>
      <c r="AU182">
        <v>540</v>
      </c>
      <c r="AV182">
        <v>675</v>
      </c>
      <c r="AW182">
        <v>720</v>
      </c>
      <c r="AX182">
        <v>480</v>
      </c>
      <c r="AY182">
        <v>180</v>
      </c>
      <c r="AZ182">
        <v>0</v>
      </c>
      <c r="BA182">
        <v>0</v>
      </c>
      <c r="BB182">
        <v>360</v>
      </c>
      <c r="BC182">
        <v>468</v>
      </c>
      <c r="BD182">
        <v>450</v>
      </c>
      <c r="BE182">
        <v>450</v>
      </c>
      <c r="BF182">
        <v>440</v>
      </c>
      <c r="BG182">
        <v>468</v>
      </c>
      <c r="BH182">
        <v>180</v>
      </c>
      <c r="BI182">
        <v>0</v>
      </c>
      <c r="BJ182">
        <v>0</v>
      </c>
      <c r="BK182">
        <v>225</v>
      </c>
      <c r="BL182">
        <v>261.81818181818181</v>
      </c>
      <c r="BM182">
        <v>270</v>
      </c>
      <c r="BN182">
        <v>270</v>
      </c>
      <c r="BO182">
        <v>270</v>
      </c>
      <c r="BP182">
        <v>135</v>
      </c>
      <c r="BQ182">
        <f>(I182+J182+N182+O182)/4</f>
        <v>7.208333333333333</v>
      </c>
      <c r="BR182">
        <f>(K182+L182+M182)/3</f>
        <v>5.7777777777777777</v>
      </c>
      <c r="BS182">
        <f>BQ182/BR182</f>
        <v>1.2475961538461537</v>
      </c>
      <c r="BT182">
        <f>AQ182/I182</f>
        <v>90</v>
      </c>
      <c r="BU182" t="str">
        <f>IF(OR(A182=2, A182=12), "Central", IF(A182=3, "Semi-Central", "Periférica"))</f>
        <v>Periférica</v>
      </c>
    </row>
    <row r="183" spans="1:73" x14ac:dyDescent="0.3">
      <c r="A183" s="1">
        <v>2</v>
      </c>
      <c r="B183" s="1">
        <v>211</v>
      </c>
      <c r="C183" s="1">
        <v>211</v>
      </c>
      <c r="D183" t="s">
        <v>5</v>
      </c>
      <c r="E183" t="s">
        <v>0</v>
      </c>
      <c r="F183">
        <v>0</v>
      </c>
      <c r="G183">
        <v>0</v>
      </c>
      <c r="H183">
        <v>7</v>
      </c>
      <c r="I183">
        <v>7.333333333333333</v>
      </c>
      <c r="J183">
        <v>7.333333333333333</v>
      </c>
      <c r="K183">
        <v>5</v>
      </c>
      <c r="L183">
        <v>5.333333333333333</v>
      </c>
      <c r="M183">
        <v>6</v>
      </c>
      <c r="N183">
        <v>6.5</v>
      </c>
      <c r="O183">
        <v>6</v>
      </c>
      <c r="P183">
        <v>4.666666666666667</v>
      </c>
      <c r="Q183">
        <v>4</v>
      </c>
      <c r="R183">
        <v>0</v>
      </c>
      <c r="S183">
        <v>0</v>
      </c>
      <c r="T183">
        <v>4</v>
      </c>
      <c r="U183">
        <v>5.6</v>
      </c>
      <c r="V183">
        <v>6</v>
      </c>
      <c r="W183">
        <v>7.666666666666667</v>
      </c>
      <c r="X183">
        <v>6.8888888888888893</v>
      </c>
      <c r="Y183">
        <v>5.6</v>
      </c>
      <c r="Z183">
        <v>4</v>
      </c>
      <c r="AA183">
        <v>0</v>
      </c>
      <c r="AB183">
        <v>0</v>
      </c>
      <c r="AC183">
        <v>4.5</v>
      </c>
      <c r="AD183">
        <v>5.2727272727272725</v>
      </c>
      <c r="AE183">
        <v>5.4</v>
      </c>
      <c r="AF183">
        <v>5.333333333333333</v>
      </c>
      <c r="AG183">
        <v>5</v>
      </c>
      <c r="AH183">
        <v>3.5</v>
      </c>
      <c r="AI183" s="1">
        <v>2</v>
      </c>
      <c r="AJ183" s="1">
        <v>211</v>
      </c>
      <c r="AK183" s="1">
        <v>211</v>
      </c>
      <c r="AL183" t="s">
        <v>5</v>
      </c>
      <c r="AM183" t="s">
        <v>0</v>
      </c>
      <c r="AN183">
        <v>0</v>
      </c>
      <c r="AO183">
        <v>0</v>
      </c>
      <c r="AP183">
        <v>644</v>
      </c>
      <c r="AQ183">
        <v>674.66666666666663</v>
      </c>
      <c r="AR183">
        <v>674.66666666666663</v>
      </c>
      <c r="AS183">
        <v>460</v>
      </c>
      <c r="AT183">
        <v>490.66666666666669</v>
      </c>
      <c r="AU183">
        <v>552</v>
      </c>
      <c r="AV183">
        <v>598</v>
      </c>
      <c r="AW183">
        <v>552</v>
      </c>
      <c r="AX183">
        <v>429.33333333333331</v>
      </c>
      <c r="AY183">
        <v>368</v>
      </c>
      <c r="AZ183">
        <v>0</v>
      </c>
      <c r="BA183">
        <v>0</v>
      </c>
      <c r="BB183">
        <v>368</v>
      </c>
      <c r="BC183">
        <v>515.20000000000005</v>
      </c>
      <c r="BD183">
        <v>552</v>
      </c>
      <c r="BE183">
        <v>705.33333333333337</v>
      </c>
      <c r="BF183">
        <v>633.77777777777783</v>
      </c>
      <c r="BG183">
        <v>515.20000000000005</v>
      </c>
      <c r="BH183">
        <v>368</v>
      </c>
      <c r="BI183">
        <v>0</v>
      </c>
      <c r="BJ183">
        <v>0</v>
      </c>
      <c r="BK183">
        <v>414</v>
      </c>
      <c r="BL183">
        <v>485.09090909090907</v>
      </c>
      <c r="BM183">
        <v>496.8</v>
      </c>
      <c r="BN183">
        <v>490.66666666666669</v>
      </c>
      <c r="BO183">
        <v>460</v>
      </c>
      <c r="BP183">
        <v>322</v>
      </c>
      <c r="BQ183">
        <f>(I183+J183+N183+O183)/4</f>
        <v>6.7916666666666661</v>
      </c>
      <c r="BR183">
        <f>(K183+L183+M183)/3</f>
        <v>5.4444444444444438</v>
      </c>
      <c r="BS183">
        <f>BQ183/BR183</f>
        <v>1.2474489795918369</v>
      </c>
      <c r="BT183">
        <f>AQ183/I183</f>
        <v>92</v>
      </c>
      <c r="BU183" t="str">
        <f>IF(OR(A183=2, A183=12), "Central", IF(A183=3, "Semi-Central", "Periférica"))</f>
        <v>Central</v>
      </c>
    </row>
    <row r="184" spans="1:73" x14ac:dyDescent="0.3">
      <c r="A184" s="1">
        <v>8</v>
      </c>
      <c r="B184" s="1">
        <v>809</v>
      </c>
      <c r="C184" s="1" t="s">
        <v>174</v>
      </c>
      <c r="D184" t="s">
        <v>5</v>
      </c>
      <c r="F184">
        <v>0</v>
      </c>
      <c r="G184">
        <v>0.44444444444444442</v>
      </c>
      <c r="H184">
        <v>4</v>
      </c>
      <c r="I184">
        <v>4</v>
      </c>
      <c r="J184">
        <v>2.666666666666667</v>
      </c>
      <c r="K184">
        <v>3</v>
      </c>
      <c r="L184">
        <v>3.333333333333333</v>
      </c>
      <c r="M184">
        <v>2.8</v>
      </c>
      <c r="N184">
        <v>4</v>
      </c>
      <c r="O184">
        <v>4.5</v>
      </c>
      <c r="P184">
        <v>3.333333333333333</v>
      </c>
      <c r="Q184">
        <v>1.5</v>
      </c>
      <c r="R184">
        <v>0</v>
      </c>
      <c r="S184">
        <v>0</v>
      </c>
      <c r="T184">
        <v>2</v>
      </c>
      <c r="U184">
        <v>3.6</v>
      </c>
      <c r="V184">
        <v>4</v>
      </c>
      <c r="W184">
        <v>2</v>
      </c>
      <c r="X184">
        <v>2</v>
      </c>
      <c r="Y184">
        <v>2.4</v>
      </c>
      <c r="Z184">
        <v>1</v>
      </c>
      <c r="AA184">
        <v>0</v>
      </c>
      <c r="AB184">
        <v>0</v>
      </c>
      <c r="AC184">
        <v>2</v>
      </c>
      <c r="AD184">
        <v>2</v>
      </c>
      <c r="AE184">
        <v>2</v>
      </c>
      <c r="AF184">
        <v>2</v>
      </c>
      <c r="AG184">
        <v>2</v>
      </c>
      <c r="AH184">
        <v>2</v>
      </c>
      <c r="AI184" s="1">
        <v>8</v>
      </c>
      <c r="AJ184" s="1">
        <v>809</v>
      </c>
      <c r="AK184" s="1" t="s">
        <v>174</v>
      </c>
      <c r="AL184" t="s">
        <v>5</v>
      </c>
      <c r="AN184">
        <v>0</v>
      </c>
      <c r="AO184">
        <v>26.666666666666671</v>
      </c>
      <c r="AP184">
        <v>240</v>
      </c>
      <c r="AQ184">
        <v>240</v>
      </c>
      <c r="AR184">
        <v>160</v>
      </c>
      <c r="AS184">
        <v>180</v>
      </c>
      <c r="AT184">
        <v>200</v>
      </c>
      <c r="AU184">
        <v>168</v>
      </c>
      <c r="AV184">
        <v>240</v>
      </c>
      <c r="AW184">
        <v>270</v>
      </c>
      <c r="AX184">
        <v>200</v>
      </c>
      <c r="AY184">
        <v>90</v>
      </c>
      <c r="AZ184">
        <v>0</v>
      </c>
      <c r="BA184">
        <v>0</v>
      </c>
      <c r="BB184">
        <v>120</v>
      </c>
      <c r="BC184">
        <v>216</v>
      </c>
      <c r="BD184">
        <v>240</v>
      </c>
      <c r="BE184">
        <v>120</v>
      </c>
      <c r="BF184">
        <v>120</v>
      </c>
      <c r="BG184">
        <v>144</v>
      </c>
      <c r="BH184">
        <v>60</v>
      </c>
      <c r="BI184">
        <v>0</v>
      </c>
      <c r="BJ184">
        <v>0</v>
      </c>
      <c r="BK184">
        <v>120</v>
      </c>
      <c r="BL184">
        <v>120</v>
      </c>
      <c r="BM184">
        <v>120</v>
      </c>
      <c r="BN184">
        <v>120</v>
      </c>
      <c r="BO184">
        <v>120</v>
      </c>
      <c r="BP184">
        <v>120</v>
      </c>
      <c r="BQ184">
        <f>(I184+J184+N184+O184)/4</f>
        <v>3.791666666666667</v>
      </c>
      <c r="BR184">
        <f>(K184+L184+M184)/3</f>
        <v>3.0444444444444443</v>
      </c>
      <c r="BS184">
        <f>BQ184/BR184</f>
        <v>1.2454379562043798</v>
      </c>
      <c r="BT184">
        <f>AQ184/I184</f>
        <v>60</v>
      </c>
      <c r="BU184" t="str">
        <f>IF(OR(A184=2, A184=12), "Central", IF(A184=3, "Semi-Central", "Periférica"))</f>
        <v>Periférica</v>
      </c>
    </row>
    <row r="185" spans="1:73" x14ac:dyDescent="0.3">
      <c r="A185" s="1">
        <v>15</v>
      </c>
      <c r="B185" s="1">
        <v>1505</v>
      </c>
      <c r="C185" s="1">
        <v>505</v>
      </c>
      <c r="D185" t="s">
        <v>1</v>
      </c>
      <c r="E185" t="s">
        <v>0</v>
      </c>
      <c r="F185">
        <v>0</v>
      </c>
      <c r="G185">
        <v>0.44444444444444442</v>
      </c>
      <c r="H185">
        <v>8</v>
      </c>
      <c r="I185">
        <v>10</v>
      </c>
      <c r="J185">
        <v>8</v>
      </c>
      <c r="K185">
        <v>6</v>
      </c>
      <c r="L185">
        <v>8</v>
      </c>
      <c r="M185">
        <v>8</v>
      </c>
      <c r="N185">
        <v>9.5</v>
      </c>
      <c r="O185">
        <v>9</v>
      </c>
      <c r="P185">
        <v>6.666666666666667</v>
      </c>
      <c r="Q185">
        <v>3.5</v>
      </c>
      <c r="R185">
        <v>0</v>
      </c>
      <c r="S185">
        <v>0.22222222222222221</v>
      </c>
      <c r="T185">
        <v>4</v>
      </c>
      <c r="U185">
        <v>4.8</v>
      </c>
      <c r="V185">
        <v>5</v>
      </c>
      <c r="W185">
        <v>4</v>
      </c>
      <c r="X185">
        <v>4.2222222222222223</v>
      </c>
      <c r="Y185">
        <v>4</v>
      </c>
      <c r="Z185">
        <v>3</v>
      </c>
      <c r="AA185">
        <v>0</v>
      </c>
      <c r="AB185">
        <v>0.22222222222222221</v>
      </c>
      <c r="AC185">
        <v>4</v>
      </c>
      <c r="AD185">
        <v>3.8181818181818179</v>
      </c>
      <c r="AE185">
        <v>4.8</v>
      </c>
      <c r="AF185">
        <v>4</v>
      </c>
      <c r="AG185">
        <v>4</v>
      </c>
      <c r="AH185">
        <v>3.5</v>
      </c>
      <c r="AI185" s="1">
        <v>15</v>
      </c>
      <c r="AJ185" s="1">
        <v>1505</v>
      </c>
      <c r="AK185" s="1">
        <v>505</v>
      </c>
      <c r="AL185" t="s">
        <v>1</v>
      </c>
      <c r="AM185" t="s">
        <v>0</v>
      </c>
      <c r="AN185">
        <v>0</v>
      </c>
      <c r="AO185">
        <v>66.666666666666671</v>
      </c>
      <c r="AP185">
        <v>1200</v>
      </c>
      <c r="AQ185">
        <v>1500</v>
      </c>
      <c r="AR185">
        <v>1200</v>
      </c>
      <c r="AS185">
        <v>900</v>
      </c>
      <c r="AT185">
        <v>1200</v>
      </c>
      <c r="AU185">
        <v>1200</v>
      </c>
      <c r="AV185">
        <v>1425</v>
      </c>
      <c r="AW185">
        <v>1350</v>
      </c>
      <c r="AX185">
        <v>1000</v>
      </c>
      <c r="AY185">
        <v>525</v>
      </c>
      <c r="AZ185">
        <v>0</v>
      </c>
      <c r="BA185">
        <v>33.333333333333343</v>
      </c>
      <c r="BB185">
        <v>600</v>
      </c>
      <c r="BC185">
        <v>720</v>
      </c>
      <c r="BD185">
        <v>750</v>
      </c>
      <c r="BE185">
        <v>600</v>
      </c>
      <c r="BF185">
        <v>633.33333333333337</v>
      </c>
      <c r="BG185">
        <v>600</v>
      </c>
      <c r="BH185">
        <v>450</v>
      </c>
      <c r="BI185">
        <v>0</v>
      </c>
      <c r="BJ185">
        <v>20</v>
      </c>
      <c r="BK185">
        <v>360</v>
      </c>
      <c r="BL185">
        <v>343.63636363636363</v>
      </c>
      <c r="BM185">
        <v>432</v>
      </c>
      <c r="BN185">
        <v>360</v>
      </c>
      <c r="BO185">
        <v>360</v>
      </c>
      <c r="BP185">
        <v>315</v>
      </c>
      <c r="BQ185">
        <f>(I185+J185+N185+O185)/4</f>
        <v>9.125</v>
      </c>
      <c r="BR185">
        <f>(K185+L185+M185)/3</f>
        <v>7.333333333333333</v>
      </c>
      <c r="BS185">
        <f>BQ185/BR185</f>
        <v>1.2443181818181819</v>
      </c>
      <c r="BT185">
        <f>AQ185/I185</f>
        <v>150</v>
      </c>
      <c r="BU185" t="str">
        <f>IF(OR(A185=2, A185=12), "Central", IF(A185=3, "Semi-Central", "Periférica"))</f>
        <v>Periférica</v>
      </c>
    </row>
    <row r="186" spans="1:73" x14ac:dyDescent="0.3">
      <c r="A186" s="1">
        <v>5</v>
      </c>
      <c r="B186" s="1">
        <v>525</v>
      </c>
      <c r="C186" s="1" t="s">
        <v>187</v>
      </c>
      <c r="D186" t="s">
        <v>5</v>
      </c>
      <c r="E186" t="s">
        <v>0</v>
      </c>
      <c r="F186">
        <v>0</v>
      </c>
      <c r="G186">
        <v>0</v>
      </c>
      <c r="H186">
        <v>6</v>
      </c>
      <c r="I186">
        <v>6</v>
      </c>
      <c r="J186">
        <v>5.333333333333333</v>
      </c>
      <c r="K186">
        <v>4</v>
      </c>
      <c r="L186">
        <v>4.666666666666667</v>
      </c>
      <c r="M186">
        <v>4.8</v>
      </c>
      <c r="N186">
        <v>6</v>
      </c>
      <c r="O186">
        <v>5</v>
      </c>
      <c r="P186">
        <v>4</v>
      </c>
      <c r="Q186">
        <v>2.5</v>
      </c>
      <c r="R186">
        <v>0</v>
      </c>
      <c r="S186">
        <v>0</v>
      </c>
      <c r="T186">
        <v>3</v>
      </c>
      <c r="U186">
        <v>4.8</v>
      </c>
      <c r="V186">
        <v>4.333333333333333</v>
      </c>
      <c r="W186">
        <v>4.333333333333333</v>
      </c>
      <c r="X186">
        <v>4.4444444444444446</v>
      </c>
      <c r="Y186">
        <v>4</v>
      </c>
      <c r="Z186">
        <v>3</v>
      </c>
      <c r="AA186">
        <v>0</v>
      </c>
      <c r="AB186">
        <v>0</v>
      </c>
      <c r="AC186">
        <v>3</v>
      </c>
      <c r="AD186">
        <v>3.8181818181818183</v>
      </c>
      <c r="AE186">
        <v>3.8</v>
      </c>
      <c r="AF186">
        <v>4</v>
      </c>
      <c r="AG186">
        <v>3</v>
      </c>
      <c r="AH186">
        <v>2.5</v>
      </c>
      <c r="AI186" s="1">
        <v>5</v>
      </c>
      <c r="AJ186" s="1">
        <v>525</v>
      </c>
      <c r="AK186" s="1" t="s">
        <v>187</v>
      </c>
      <c r="AL186" t="s">
        <v>5</v>
      </c>
      <c r="AM186" t="s">
        <v>0</v>
      </c>
      <c r="AN186">
        <v>0</v>
      </c>
      <c r="AO186">
        <v>0</v>
      </c>
      <c r="AP186">
        <v>486</v>
      </c>
      <c r="AQ186">
        <v>486</v>
      </c>
      <c r="AR186">
        <v>432</v>
      </c>
      <c r="AS186">
        <v>324</v>
      </c>
      <c r="AT186">
        <v>378</v>
      </c>
      <c r="AU186">
        <v>388.8</v>
      </c>
      <c r="AV186">
        <v>486</v>
      </c>
      <c r="AW186">
        <v>405</v>
      </c>
      <c r="AX186">
        <v>324</v>
      </c>
      <c r="AY186">
        <v>202.5</v>
      </c>
      <c r="AZ186">
        <v>0</v>
      </c>
      <c r="BA186">
        <v>0</v>
      </c>
      <c r="BB186">
        <v>243</v>
      </c>
      <c r="BC186">
        <v>388.8</v>
      </c>
      <c r="BD186">
        <v>351</v>
      </c>
      <c r="BE186">
        <v>351</v>
      </c>
      <c r="BF186">
        <v>360</v>
      </c>
      <c r="BG186">
        <v>324</v>
      </c>
      <c r="BH186">
        <v>243</v>
      </c>
      <c r="BI186">
        <v>0</v>
      </c>
      <c r="BJ186">
        <v>0</v>
      </c>
      <c r="BK186">
        <v>243</v>
      </c>
      <c r="BL186">
        <v>309.27272727272725</v>
      </c>
      <c r="BM186">
        <v>307.8</v>
      </c>
      <c r="BN186">
        <v>324</v>
      </c>
      <c r="BO186">
        <v>243</v>
      </c>
      <c r="BP186">
        <v>202.5</v>
      </c>
      <c r="BQ186">
        <f>(I186+J186+N186+O186)/4</f>
        <v>5.583333333333333</v>
      </c>
      <c r="BR186">
        <f>(K186+L186+M186)/3</f>
        <v>4.4888888888888898</v>
      </c>
      <c r="BS186">
        <f>BQ186/BR186</f>
        <v>1.2438118811881185</v>
      </c>
      <c r="BT186">
        <f>AQ186/I186</f>
        <v>81</v>
      </c>
      <c r="BU186" t="str">
        <f>IF(OR(A186=2, A186=12), "Central", IF(A186=3, "Semi-Central", "Periférica"))</f>
        <v>Periférica</v>
      </c>
    </row>
    <row r="187" spans="1:73" x14ac:dyDescent="0.3">
      <c r="A187" s="1">
        <v>5</v>
      </c>
      <c r="B187" s="1" t="s">
        <v>304</v>
      </c>
      <c r="C187" s="1" t="s">
        <v>303</v>
      </c>
      <c r="D187" t="s">
        <v>1</v>
      </c>
      <c r="E187" t="s">
        <v>0</v>
      </c>
      <c r="F187">
        <v>0</v>
      </c>
      <c r="G187">
        <v>0</v>
      </c>
      <c r="H187">
        <v>5</v>
      </c>
      <c r="I187">
        <v>7.333333333333333</v>
      </c>
      <c r="J187">
        <v>6.666666666666667</v>
      </c>
      <c r="K187">
        <v>5</v>
      </c>
      <c r="L187">
        <v>5.333333333333333</v>
      </c>
      <c r="M187">
        <v>4.8</v>
      </c>
      <c r="N187">
        <v>5.5</v>
      </c>
      <c r="O187">
        <v>5.5</v>
      </c>
      <c r="P187">
        <v>4</v>
      </c>
      <c r="Q187">
        <v>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s="1">
        <v>5</v>
      </c>
      <c r="AJ187" s="1" t="s">
        <v>304</v>
      </c>
      <c r="AK187" s="1" t="s">
        <v>303</v>
      </c>
      <c r="AL187" t="s">
        <v>1</v>
      </c>
      <c r="AM187" t="s">
        <v>0</v>
      </c>
      <c r="AN187">
        <v>0</v>
      </c>
      <c r="AO187">
        <v>0</v>
      </c>
      <c r="AP187">
        <v>405</v>
      </c>
      <c r="AQ187">
        <v>594</v>
      </c>
      <c r="AR187">
        <v>540</v>
      </c>
      <c r="AS187">
        <v>405</v>
      </c>
      <c r="AT187">
        <v>432</v>
      </c>
      <c r="AU187">
        <v>388.8</v>
      </c>
      <c r="AV187">
        <v>445.5</v>
      </c>
      <c r="AW187">
        <v>445.5</v>
      </c>
      <c r="AX187">
        <v>324</v>
      </c>
      <c r="AY187">
        <v>162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f>(I187+J187+N187+O187)/4</f>
        <v>6.25</v>
      </c>
      <c r="BR187">
        <f>(K187+L187+M187)/3</f>
        <v>5.0444444444444443</v>
      </c>
      <c r="BS187">
        <f>BQ187/BR187</f>
        <v>1.2389867841409692</v>
      </c>
      <c r="BT187">
        <f>AQ187/I187</f>
        <v>81</v>
      </c>
      <c r="BU187" t="str">
        <f>IF(OR(A187=2, A187=12), "Central", IF(A187=3, "Semi-Central", "Periférica"))</f>
        <v>Periférica</v>
      </c>
    </row>
    <row r="188" spans="1:73" x14ac:dyDescent="0.3">
      <c r="A188" s="1">
        <v>5</v>
      </c>
      <c r="B188" s="1">
        <v>516</v>
      </c>
      <c r="C188" s="1">
        <v>516</v>
      </c>
      <c r="D188" t="s">
        <v>5</v>
      </c>
      <c r="E188" t="s">
        <v>0</v>
      </c>
      <c r="F188">
        <v>2</v>
      </c>
      <c r="G188">
        <v>2.6666666666666665</v>
      </c>
      <c r="H188">
        <v>15</v>
      </c>
      <c r="I188">
        <v>14.666666666666666</v>
      </c>
      <c r="J188">
        <v>8.6666666666666661</v>
      </c>
      <c r="K188">
        <v>7.666666666666667</v>
      </c>
      <c r="L188">
        <v>8</v>
      </c>
      <c r="M188">
        <v>11.2</v>
      </c>
      <c r="N188">
        <v>12</v>
      </c>
      <c r="O188">
        <v>9</v>
      </c>
      <c r="P188">
        <v>5.333333333333333</v>
      </c>
      <c r="Q188">
        <v>3.5</v>
      </c>
      <c r="R188">
        <v>2</v>
      </c>
      <c r="S188">
        <v>2</v>
      </c>
      <c r="T188">
        <v>4</v>
      </c>
      <c r="U188">
        <v>5.6</v>
      </c>
      <c r="V188">
        <v>5</v>
      </c>
      <c r="W188">
        <v>4.666666666666667</v>
      </c>
      <c r="X188">
        <v>4.8888888888888893</v>
      </c>
      <c r="Y188">
        <v>4.4000000000000004</v>
      </c>
      <c r="Z188">
        <v>4</v>
      </c>
      <c r="AA188">
        <v>2</v>
      </c>
      <c r="AB188">
        <v>2</v>
      </c>
      <c r="AC188">
        <v>5</v>
      </c>
      <c r="AD188">
        <v>4.9090909090909092</v>
      </c>
      <c r="AE188">
        <v>4.8</v>
      </c>
      <c r="AF188">
        <v>4.333333333333333</v>
      </c>
      <c r="AG188">
        <v>3</v>
      </c>
      <c r="AH188">
        <v>3</v>
      </c>
      <c r="AI188" s="1">
        <v>5</v>
      </c>
      <c r="AJ188" s="1">
        <v>516</v>
      </c>
      <c r="AK188" s="1">
        <v>516</v>
      </c>
      <c r="AL188" t="s">
        <v>5</v>
      </c>
      <c r="AM188" t="s">
        <v>0</v>
      </c>
      <c r="AN188">
        <v>162</v>
      </c>
      <c r="AO188">
        <v>216</v>
      </c>
      <c r="AP188">
        <v>1215</v>
      </c>
      <c r="AQ188">
        <v>1188</v>
      </c>
      <c r="AR188">
        <v>702</v>
      </c>
      <c r="AS188">
        <v>621</v>
      </c>
      <c r="AT188">
        <v>648</v>
      </c>
      <c r="AU188">
        <v>907.2</v>
      </c>
      <c r="AV188">
        <v>972</v>
      </c>
      <c r="AW188">
        <v>729</v>
      </c>
      <c r="AX188">
        <v>432</v>
      </c>
      <c r="AY188">
        <v>283.5</v>
      </c>
      <c r="AZ188">
        <v>162</v>
      </c>
      <c r="BA188">
        <v>162</v>
      </c>
      <c r="BB188">
        <v>324</v>
      </c>
      <c r="BC188">
        <v>453.6</v>
      </c>
      <c r="BD188">
        <v>405</v>
      </c>
      <c r="BE188">
        <v>378</v>
      </c>
      <c r="BF188">
        <v>396</v>
      </c>
      <c r="BG188">
        <v>356.4</v>
      </c>
      <c r="BH188">
        <v>324</v>
      </c>
      <c r="BI188">
        <v>162</v>
      </c>
      <c r="BJ188">
        <v>162</v>
      </c>
      <c r="BK188">
        <v>405</v>
      </c>
      <c r="BL188">
        <v>397.63636363636363</v>
      </c>
      <c r="BM188">
        <v>388.8</v>
      </c>
      <c r="BN188">
        <v>351</v>
      </c>
      <c r="BO188">
        <v>243</v>
      </c>
      <c r="BP188">
        <v>243</v>
      </c>
      <c r="BQ188">
        <f>(I188+J188+N188+O188)/4</f>
        <v>11.083333333333332</v>
      </c>
      <c r="BR188">
        <f>(K188+L188+M188)/3</f>
        <v>8.9555555555555557</v>
      </c>
      <c r="BS188">
        <f>BQ188/BR188</f>
        <v>1.2375930521091809</v>
      </c>
      <c r="BT188">
        <f>AQ188/I188</f>
        <v>81</v>
      </c>
      <c r="BU188" t="str">
        <f>IF(OR(A188=2, A188=12), "Central", IF(A188=3, "Semi-Central", "Periférica"))</f>
        <v>Periférica</v>
      </c>
    </row>
    <row r="189" spans="1:73" x14ac:dyDescent="0.3">
      <c r="A189" s="1">
        <v>14</v>
      </c>
      <c r="B189" s="1">
        <v>1421</v>
      </c>
      <c r="C189" s="1">
        <v>421</v>
      </c>
      <c r="D189" t="s">
        <v>1</v>
      </c>
      <c r="F189">
        <v>3</v>
      </c>
      <c r="G189">
        <v>0</v>
      </c>
      <c r="H189">
        <v>2</v>
      </c>
      <c r="I189">
        <v>5.333333333333333</v>
      </c>
      <c r="J189">
        <v>5.333333333333333</v>
      </c>
      <c r="K189">
        <v>5.333333333333333</v>
      </c>
      <c r="L189">
        <v>5.333333333333333</v>
      </c>
      <c r="M189">
        <v>5.2</v>
      </c>
      <c r="N189">
        <v>8.5</v>
      </c>
      <c r="O189">
        <v>7</v>
      </c>
      <c r="P189">
        <v>4.666666666666667</v>
      </c>
      <c r="Q189">
        <v>4.5</v>
      </c>
      <c r="R189">
        <v>3</v>
      </c>
      <c r="S189">
        <v>0</v>
      </c>
      <c r="T189">
        <v>2</v>
      </c>
      <c r="U189">
        <v>4.8</v>
      </c>
      <c r="V189">
        <v>5.333333333333333</v>
      </c>
      <c r="W189">
        <v>5.333333333333333</v>
      </c>
      <c r="X189">
        <v>5.1111111111111107</v>
      </c>
      <c r="Y189">
        <v>4.4000000000000004</v>
      </c>
      <c r="Z189">
        <v>3.5</v>
      </c>
      <c r="AA189">
        <v>3</v>
      </c>
      <c r="AB189">
        <v>0</v>
      </c>
      <c r="AC189">
        <v>2.5</v>
      </c>
      <c r="AD189">
        <v>4.3636363636363633</v>
      </c>
      <c r="AE189">
        <v>3.4</v>
      </c>
      <c r="AF189">
        <v>3.666666666666667</v>
      </c>
      <c r="AG189">
        <v>3</v>
      </c>
      <c r="AH189">
        <v>3</v>
      </c>
      <c r="AI189" s="1">
        <v>14</v>
      </c>
      <c r="AJ189" s="1">
        <v>1421</v>
      </c>
      <c r="AK189" s="1">
        <v>421</v>
      </c>
      <c r="AL189" t="s">
        <v>1</v>
      </c>
      <c r="AN189">
        <v>450</v>
      </c>
      <c r="AO189">
        <v>0</v>
      </c>
      <c r="AP189">
        <v>300</v>
      </c>
      <c r="AQ189">
        <v>800</v>
      </c>
      <c r="AR189">
        <v>800</v>
      </c>
      <c r="AS189">
        <v>800</v>
      </c>
      <c r="AT189">
        <v>800</v>
      </c>
      <c r="AU189">
        <v>780</v>
      </c>
      <c r="AV189">
        <v>1275</v>
      </c>
      <c r="AW189">
        <v>1050</v>
      </c>
      <c r="AX189">
        <v>700</v>
      </c>
      <c r="AY189">
        <v>675</v>
      </c>
      <c r="AZ189">
        <v>450</v>
      </c>
      <c r="BA189">
        <v>0</v>
      </c>
      <c r="BB189">
        <v>180</v>
      </c>
      <c r="BC189">
        <v>432</v>
      </c>
      <c r="BD189">
        <v>480</v>
      </c>
      <c r="BE189">
        <v>480</v>
      </c>
      <c r="BF189">
        <v>460</v>
      </c>
      <c r="BG189">
        <v>396</v>
      </c>
      <c r="BH189">
        <v>315</v>
      </c>
      <c r="BI189">
        <v>270</v>
      </c>
      <c r="BJ189">
        <v>0</v>
      </c>
      <c r="BK189">
        <v>225</v>
      </c>
      <c r="BL189">
        <v>392.72727272727269</v>
      </c>
      <c r="BM189">
        <v>306</v>
      </c>
      <c r="BN189">
        <v>330</v>
      </c>
      <c r="BO189">
        <v>270</v>
      </c>
      <c r="BP189">
        <v>270</v>
      </c>
      <c r="BQ189">
        <f>(I189+J189+N189+O189)/4</f>
        <v>6.5416666666666661</v>
      </c>
      <c r="BR189">
        <f>(K189+L189+M189)/3</f>
        <v>5.2888888888888888</v>
      </c>
      <c r="BS189">
        <f>BQ189/BR189</f>
        <v>1.2368697478991595</v>
      </c>
      <c r="BT189">
        <f>AQ189/I189</f>
        <v>150</v>
      </c>
      <c r="BU189" t="str">
        <f>IF(OR(A189=2, A189=12), "Central", IF(A189=3, "Semi-Central", "Periférica"))</f>
        <v>Periférica</v>
      </c>
    </row>
    <row r="190" spans="1:73" x14ac:dyDescent="0.3">
      <c r="A190" s="1">
        <v>18</v>
      </c>
      <c r="B190" s="1">
        <v>1836</v>
      </c>
      <c r="C190" s="1">
        <v>306</v>
      </c>
      <c r="D190" t="s">
        <v>1</v>
      </c>
      <c r="E190" t="s">
        <v>0</v>
      </c>
      <c r="F190">
        <v>0</v>
      </c>
      <c r="G190">
        <v>0</v>
      </c>
      <c r="H190">
        <v>4</v>
      </c>
      <c r="I190">
        <v>8</v>
      </c>
      <c r="J190">
        <v>6.666666666666667</v>
      </c>
      <c r="K190">
        <v>6</v>
      </c>
      <c r="L190">
        <v>6</v>
      </c>
      <c r="M190">
        <v>6</v>
      </c>
      <c r="N190">
        <v>7</v>
      </c>
      <c r="O190">
        <v>8</v>
      </c>
      <c r="P190">
        <v>6</v>
      </c>
      <c r="Q190">
        <v>3.5</v>
      </c>
      <c r="R190">
        <v>0</v>
      </c>
      <c r="S190">
        <v>0</v>
      </c>
      <c r="T190">
        <v>2</v>
      </c>
      <c r="U190">
        <v>5.2</v>
      </c>
      <c r="V190">
        <v>5</v>
      </c>
      <c r="W190">
        <v>5</v>
      </c>
      <c r="X190">
        <v>4.8888888888888893</v>
      </c>
      <c r="Y190">
        <v>5.2</v>
      </c>
      <c r="Z190">
        <v>3.5</v>
      </c>
      <c r="AA190">
        <v>0</v>
      </c>
      <c r="AB190">
        <v>0</v>
      </c>
      <c r="AC190">
        <v>2.5</v>
      </c>
      <c r="AD190">
        <v>2.9090909090909092</v>
      </c>
      <c r="AE190">
        <v>3</v>
      </c>
      <c r="AF190">
        <v>3</v>
      </c>
      <c r="AG190">
        <v>3</v>
      </c>
      <c r="AH190">
        <v>3</v>
      </c>
      <c r="AI190" s="1">
        <v>18</v>
      </c>
      <c r="AJ190" s="1">
        <v>1836</v>
      </c>
      <c r="AK190" s="1">
        <v>306</v>
      </c>
      <c r="AL190" t="s">
        <v>1</v>
      </c>
      <c r="AM190" t="s">
        <v>0</v>
      </c>
      <c r="AN190">
        <v>0</v>
      </c>
      <c r="AO190">
        <v>0</v>
      </c>
      <c r="AP190">
        <v>360</v>
      </c>
      <c r="AQ190">
        <v>720</v>
      </c>
      <c r="AR190">
        <v>600</v>
      </c>
      <c r="AS190">
        <v>540</v>
      </c>
      <c r="AT190">
        <v>540</v>
      </c>
      <c r="AU190">
        <v>540</v>
      </c>
      <c r="AV190">
        <v>630</v>
      </c>
      <c r="AW190">
        <v>720</v>
      </c>
      <c r="AX190">
        <v>540</v>
      </c>
      <c r="AY190">
        <v>315</v>
      </c>
      <c r="AZ190">
        <v>0</v>
      </c>
      <c r="BA190">
        <v>0</v>
      </c>
      <c r="BB190">
        <v>180</v>
      </c>
      <c r="BC190">
        <v>468</v>
      </c>
      <c r="BD190">
        <v>450</v>
      </c>
      <c r="BE190">
        <v>450</v>
      </c>
      <c r="BF190">
        <v>440</v>
      </c>
      <c r="BG190">
        <v>468</v>
      </c>
      <c r="BH190">
        <v>315</v>
      </c>
      <c r="BI190">
        <v>0</v>
      </c>
      <c r="BJ190">
        <v>0</v>
      </c>
      <c r="BK190">
        <v>225</v>
      </c>
      <c r="BL190">
        <v>261.81818181818181</v>
      </c>
      <c r="BM190">
        <v>270</v>
      </c>
      <c r="BN190">
        <v>270</v>
      </c>
      <c r="BO190">
        <v>270</v>
      </c>
      <c r="BP190">
        <v>270</v>
      </c>
      <c r="BQ190">
        <f>(I190+J190+N190+O190)/4</f>
        <v>7.416666666666667</v>
      </c>
      <c r="BR190">
        <f>(K190+L190+M190)/3</f>
        <v>6</v>
      </c>
      <c r="BS190">
        <f>BQ190/BR190</f>
        <v>1.2361111111111112</v>
      </c>
      <c r="BT190">
        <f>AQ190/I190</f>
        <v>90</v>
      </c>
      <c r="BU190" t="str">
        <f>IF(OR(A190=2, A190=12), "Central", IF(A190=3, "Semi-Central", "Periférica"))</f>
        <v>Periférica</v>
      </c>
    </row>
    <row r="191" spans="1:73" x14ac:dyDescent="0.3">
      <c r="A191" s="1">
        <v>11</v>
      </c>
      <c r="B191" s="1">
        <v>1128</v>
      </c>
      <c r="C191" s="1" t="s">
        <v>344</v>
      </c>
      <c r="D191" t="s">
        <v>5</v>
      </c>
      <c r="F191">
        <v>0</v>
      </c>
      <c r="G191">
        <v>0.22222222222222221</v>
      </c>
      <c r="H191">
        <v>6</v>
      </c>
      <c r="I191">
        <v>8.6666666666666661</v>
      </c>
      <c r="J191">
        <v>8</v>
      </c>
      <c r="K191">
        <v>6</v>
      </c>
      <c r="L191">
        <v>6</v>
      </c>
      <c r="M191">
        <v>6</v>
      </c>
      <c r="N191">
        <v>6.5</v>
      </c>
      <c r="O191">
        <v>6.5</v>
      </c>
      <c r="P191">
        <v>4.666666666666667</v>
      </c>
      <c r="Q191">
        <v>4</v>
      </c>
      <c r="R191">
        <v>0</v>
      </c>
      <c r="S191">
        <v>0.22222222222222221</v>
      </c>
      <c r="T191">
        <v>4</v>
      </c>
      <c r="U191">
        <v>7.2</v>
      </c>
      <c r="V191">
        <v>6.666666666666667</v>
      </c>
      <c r="W191">
        <v>5.333333333333333</v>
      </c>
      <c r="X191">
        <v>5.1111111111111107</v>
      </c>
      <c r="Y191">
        <v>4</v>
      </c>
      <c r="Z191">
        <v>3</v>
      </c>
      <c r="AA191">
        <v>0</v>
      </c>
      <c r="AB191">
        <v>0</v>
      </c>
      <c r="AC191">
        <v>3</v>
      </c>
      <c r="AD191">
        <v>4.5454545454545459</v>
      </c>
      <c r="AE191">
        <v>5</v>
      </c>
      <c r="AF191">
        <v>4.666666666666667</v>
      </c>
      <c r="AG191">
        <v>3</v>
      </c>
      <c r="AH191">
        <v>3</v>
      </c>
      <c r="AI191" s="1">
        <v>11</v>
      </c>
      <c r="AJ191" s="1">
        <v>1128</v>
      </c>
      <c r="AK191" s="1" t="s">
        <v>344</v>
      </c>
      <c r="AL191" t="s">
        <v>5</v>
      </c>
      <c r="AN191">
        <v>0</v>
      </c>
      <c r="AO191">
        <v>20</v>
      </c>
      <c r="AP191">
        <v>540</v>
      </c>
      <c r="AQ191">
        <v>780</v>
      </c>
      <c r="AR191">
        <v>720</v>
      </c>
      <c r="AS191">
        <v>540</v>
      </c>
      <c r="AT191">
        <v>540</v>
      </c>
      <c r="AU191">
        <v>540</v>
      </c>
      <c r="AV191">
        <v>585</v>
      </c>
      <c r="AW191">
        <v>585</v>
      </c>
      <c r="AX191">
        <v>420</v>
      </c>
      <c r="AY191">
        <v>360</v>
      </c>
      <c r="AZ191">
        <v>0</v>
      </c>
      <c r="BA191">
        <v>20</v>
      </c>
      <c r="BB191">
        <v>360</v>
      </c>
      <c r="BC191">
        <v>648</v>
      </c>
      <c r="BD191">
        <v>600</v>
      </c>
      <c r="BE191">
        <v>480</v>
      </c>
      <c r="BF191">
        <v>460</v>
      </c>
      <c r="BG191">
        <v>360</v>
      </c>
      <c r="BH191">
        <v>270</v>
      </c>
      <c r="BI191">
        <v>0</v>
      </c>
      <c r="BJ191">
        <v>0</v>
      </c>
      <c r="BK191">
        <v>270</v>
      </c>
      <c r="BL191">
        <v>409.09090909090912</v>
      </c>
      <c r="BM191">
        <v>450</v>
      </c>
      <c r="BN191">
        <v>420</v>
      </c>
      <c r="BO191">
        <v>270</v>
      </c>
      <c r="BP191">
        <v>270</v>
      </c>
      <c r="BQ191">
        <f>(I191+J191+N191+O191)/4</f>
        <v>7.4166666666666661</v>
      </c>
      <c r="BR191">
        <f>(K191+L191+M191)/3</f>
        <v>6</v>
      </c>
      <c r="BS191">
        <f>BQ191/BR191</f>
        <v>1.2361111111111109</v>
      </c>
      <c r="BT191">
        <f>AQ191/I191</f>
        <v>90</v>
      </c>
      <c r="BU191" t="str">
        <f>IF(OR(A191=2, A191=12), "Central", IF(A191=3, "Semi-Central", "Periférica"))</f>
        <v>Periférica</v>
      </c>
    </row>
    <row r="192" spans="1:73" x14ac:dyDescent="0.3">
      <c r="A192" s="1">
        <v>19</v>
      </c>
      <c r="B192" s="1">
        <v>1941</v>
      </c>
      <c r="C192" s="1" t="s">
        <v>2</v>
      </c>
      <c r="D192" t="s">
        <v>5</v>
      </c>
      <c r="F192">
        <v>0</v>
      </c>
      <c r="G192">
        <v>0</v>
      </c>
      <c r="H192">
        <v>6</v>
      </c>
      <c r="I192">
        <v>6</v>
      </c>
      <c r="J192">
        <v>5.333333333333333</v>
      </c>
      <c r="K192">
        <v>5</v>
      </c>
      <c r="L192">
        <v>4</v>
      </c>
      <c r="M192">
        <v>5.2</v>
      </c>
      <c r="N192">
        <v>6</v>
      </c>
      <c r="O192">
        <v>6</v>
      </c>
      <c r="P192">
        <v>4</v>
      </c>
      <c r="Q192">
        <v>2.5</v>
      </c>
      <c r="R192">
        <v>0</v>
      </c>
      <c r="S192">
        <v>0</v>
      </c>
      <c r="T192">
        <v>4</v>
      </c>
      <c r="U192">
        <v>4.8</v>
      </c>
      <c r="V192">
        <v>5</v>
      </c>
      <c r="W192">
        <v>5</v>
      </c>
      <c r="X192">
        <v>4.666666666666667</v>
      </c>
      <c r="Y192">
        <v>4</v>
      </c>
      <c r="Z192">
        <v>2.5</v>
      </c>
      <c r="AA192">
        <v>0</v>
      </c>
      <c r="AB192">
        <v>0</v>
      </c>
      <c r="AC192">
        <v>3</v>
      </c>
      <c r="AD192">
        <v>4.1818181818181817</v>
      </c>
      <c r="AE192">
        <v>4</v>
      </c>
      <c r="AF192">
        <v>4</v>
      </c>
      <c r="AG192">
        <v>3</v>
      </c>
      <c r="AH192">
        <v>2.5</v>
      </c>
      <c r="AI192" s="1">
        <v>19</v>
      </c>
      <c r="AJ192" s="1">
        <v>1941</v>
      </c>
      <c r="AK192" s="1" t="s">
        <v>2</v>
      </c>
      <c r="AL192" t="s">
        <v>5</v>
      </c>
      <c r="AN192">
        <v>0</v>
      </c>
      <c r="AO192">
        <v>0</v>
      </c>
      <c r="AP192">
        <v>540</v>
      </c>
      <c r="AQ192">
        <v>540</v>
      </c>
      <c r="AR192">
        <v>480</v>
      </c>
      <c r="AS192">
        <v>450</v>
      </c>
      <c r="AT192">
        <v>360</v>
      </c>
      <c r="AU192">
        <v>468</v>
      </c>
      <c r="AV192">
        <v>540</v>
      </c>
      <c r="AW192">
        <v>540</v>
      </c>
      <c r="AX192">
        <v>360</v>
      </c>
      <c r="AY192">
        <v>225</v>
      </c>
      <c r="AZ192">
        <v>0</v>
      </c>
      <c r="BA192">
        <v>0</v>
      </c>
      <c r="BB192">
        <v>360</v>
      </c>
      <c r="BC192">
        <v>432</v>
      </c>
      <c r="BD192">
        <v>450</v>
      </c>
      <c r="BE192">
        <v>450</v>
      </c>
      <c r="BF192">
        <v>420</v>
      </c>
      <c r="BG192">
        <v>360</v>
      </c>
      <c r="BH192">
        <v>225</v>
      </c>
      <c r="BI192">
        <v>0</v>
      </c>
      <c r="BJ192">
        <v>0</v>
      </c>
      <c r="BK192">
        <v>270</v>
      </c>
      <c r="BL192">
        <v>376.36363636363637</v>
      </c>
      <c r="BM192">
        <v>360</v>
      </c>
      <c r="BN192">
        <v>360</v>
      </c>
      <c r="BO192">
        <v>270</v>
      </c>
      <c r="BP192">
        <v>225</v>
      </c>
      <c r="BQ192">
        <f>(I192+J192+N192+O192)/4</f>
        <v>5.833333333333333</v>
      </c>
      <c r="BR192">
        <f>(K192+L192+M192)/3</f>
        <v>4.7333333333333334</v>
      </c>
      <c r="BS192">
        <f>BQ192/BR192</f>
        <v>1.232394366197183</v>
      </c>
      <c r="BT192">
        <f>AQ192/I192</f>
        <v>90</v>
      </c>
      <c r="BU192" t="str">
        <f>IF(OR(A192=2, A192=12), "Central", IF(A192=3, "Semi-Central", "Periférica"))</f>
        <v>Periférica</v>
      </c>
    </row>
    <row r="193" spans="1:73" x14ac:dyDescent="0.3">
      <c r="A193" s="1">
        <v>18</v>
      </c>
      <c r="B193" s="1">
        <v>1821</v>
      </c>
      <c r="C193" s="1">
        <v>321</v>
      </c>
      <c r="D193" t="s">
        <v>1</v>
      </c>
      <c r="E193" t="s">
        <v>0</v>
      </c>
      <c r="F193">
        <v>0</v>
      </c>
      <c r="G193">
        <v>0</v>
      </c>
      <c r="H193">
        <v>6</v>
      </c>
      <c r="I193">
        <v>6</v>
      </c>
      <c r="J193">
        <v>4.666666666666667</v>
      </c>
      <c r="K193">
        <v>3.666666666666667</v>
      </c>
      <c r="L193">
        <v>4</v>
      </c>
      <c r="M193">
        <v>4</v>
      </c>
      <c r="N193">
        <v>4.5</v>
      </c>
      <c r="O193">
        <v>4</v>
      </c>
      <c r="P193">
        <v>4</v>
      </c>
      <c r="Q193">
        <v>1.5</v>
      </c>
      <c r="R193">
        <v>0</v>
      </c>
      <c r="S193">
        <v>0</v>
      </c>
      <c r="T193">
        <v>3</v>
      </c>
      <c r="U193">
        <v>4.4000000000000004</v>
      </c>
      <c r="V193">
        <v>4</v>
      </c>
      <c r="W193">
        <v>4.333333333333333</v>
      </c>
      <c r="X193">
        <v>4.2222222222222223</v>
      </c>
      <c r="Y193">
        <v>3.2</v>
      </c>
      <c r="Z193">
        <v>1.5</v>
      </c>
      <c r="AA193">
        <v>0</v>
      </c>
      <c r="AB193">
        <v>0</v>
      </c>
      <c r="AC193">
        <v>3</v>
      </c>
      <c r="AD193">
        <v>4</v>
      </c>
      <c r="AE193">
        <v>4</v>
      </c>
      <c r="AF193">
        <v>4</v>
      </c>
      <c r="AG193">
        <v>3</v>
      </c>
      <c r="AH193">
        <v>1.5</v>
      </c>
      <c r="AI193" s="1">
        <v>18</v>
      </c>
      <c r="AJ193" s="1">
        <v>1821</v>
      </c>
      <c r="AK193" s="1">
        <v>321</v>
      </c>
      <c r="AL193" t="s">
        <v>1</v>
      </c>
      <c r="AM193" t="s">
        <v>0</v>
      </c>
      <c r="AN193">
        <v>0</v>
      </c>
      <c r="AO193">
        <v>0</v>
      </c>
      <c r="AP193">
        <v>360</v>
      </c>
      <c r="AQ193">
        <v>360</v>
      </c>
      <c r="AR193">
        <v>280</v>
      </c>
      <c r="AS193">
        <v>220</v>
      </c>
      <c r="AT193">
        <v>240</v>
      </c>
      <c r="AU193">
        <v>240</v>
      </c>
      <c r="AV193">
        <v>270</v>
      </c>
      <c r="AW193">
        <v>240</v>
      </c>
      <c r="AX193">
        <v>240</v>
      </c>
      <c r="AY193">
        <v>90</v>
      </c>
      <c r="AZ193">
        <v>0</v>
      </c>
      <c r="BA193">
        <v>0</v>
      </c>
      <c r="BB193">
        <v>180</v>
      </c>
      <c r="BC193">
        <v>264</v>
      </c>
      <c r="BD193">
        <v>240</v>
      </c>
      <c r="BE193">
        <v>260</v>
      </c>
      <c r="BF193">
        <v>253.33333333333329</v>
      </c>
      <c r="BG193">
        <v>192</v>
      </c>
      <c r="BH193">
        <v>90</v>
      </c>
      <c r="BI193">
        <v>0</v>
      </c>
      <c r="BJ193">
        <v>0</v>
      </c>
      <c r="BK193">
        <v>180</v>
      </c>
      <c r="BL193">
        <v>240</v>
      </c>
      <c r="BM193">
        <v>240</v>
      </c>
      <c r="BN193">
        <v>240</v>
      </c>
      <c r="BO193">
        <v>180</v>
      </c>
      <c r="BP193">
        <v>90</v>
      </c>
      <c r="BQ193">
        <f>(I193+J193+N193+O193)/4</f>
        <v>4.791666666666667</v>
      </c>
      <c r="BR193">
        <f>(K193+L193+M193)/3</f>
        <v>3.8888888888888893</v>
      </c>
      <c r="BS193">
        <f>BQ193/BR193</f>
        <v>1.232142857142857</v>
      </c>
      <c r="BT193">
        <f>AQ193/I193</f>
        <v>60</v>
      </c>
      <c r="BU193" t="str">
        <f>IF(OR(A193=2, A193=12), "Central", IF(A193=3, "Semi-Central", "Periférica"))</f>
        <v>Periférica</v>
      </c>
    </row>
    <row r="194" spans="1:73" x14ac:dyDescent="0.3">
      <c r="A194" s="1">
        <v>16</v>
      </c>
      <c r="B194" s="1">
        <v>1637</v>
      </c>
      <c r="C194" s="1" t="s">
        <v>364</v>
      </c>
      <c r="D194" t="s">
        <v>5</v>
      </c>
      <c r="E194" t="s">
        <v>0</v>
      </c>
      <c r="F194">
        <v>0</v>
      </c>
      <c r="G194">
        <v>0</v>
      </c>
      <c r="H194">
        <v>3</v>
      </c>
      <c r="I194">
        <v>5.333333333333333</v>
      </c>
      <c r="J194">
        <v>5.333333333333333</v>
      </c>
      <c r="K194">
        <v>4.333333333333333</v>
      </c>
      <c r="L194">
        <v>4.666666666666667</v>
      </c>
      <c r="M194">
        <v>4.8</v>
      </c>
      <c r="N194">
        <v>6</v>
      </c>
      <c r="O194">
        <v>6</v>
      </c>
      <c r="P194">
        <v>5.333333333333333</v>
      </c>
      <c r="Q194">
        <v>3.5</v>
      </c>
      <c r="R194">
        <v>0</v>
      </c>
      <c r="S194">
        <v>0</v>
      </c>
      <c r="T194">
        <v>2</v>
      </c>
      <c r="U194">
        <v>4</v>
      </c>
      <c r="V194">
        <v>4</v>
      </c>
      <c r="W194">
        <v>4.666666666666667</v>
      </c>
      <c r="X194">
        <v>4</v>
      </c>
      <c r="Y194">
        <v>4</v>
      </c>
      <c r="Z194">
        <v>3</v>
      </c>
      <c r="AA194">
        <v>0</v>
      </c>
      <c r="AB194">
        <v>0</v>
      </c>
      <c r="AC194">
        <v>1</v>
      </c>
      <c r="AD194">
        <v>4</v>
      </c>
      <c r="AE194">
        <v>4</v>
      </c>
      <c r="AF194">
        <v>4</v>
      </c>
      <c r="AG194">
        <v>4</v>
      </c>
      <c r="AH194">
        <v>3</v>
      </c>
      <c r="AI194" s="1">
        <v>16</v>
      </c>
      <c r="AJ194" s="1">
        <v>1637</v>
      </c>
      <c r="AK194" s="1" t="s">
        <v>364</v>
      </c>
      <c r="AL194" t="s">
        <v>5</v>
      </c>
      <c r="AM194" t="s">
        <v>0</v>
      </c>
      <c r="AN194">
        <v>0</v>
      </c>
      <c r="AO194">
        <v>0</v>
      </c>
      <c r="AP194">
        <v>270</v>
      </c>
      <c r="AQ194">
        <v>480</v>
      </c>
      <c r="AR194">
        <v>480</v>
      </c>
      <c r="AS194">
        <v>390</v>
      </c>
      <c r="AT194">
        <v>420</v>
      </c>
      <c r="AU194">
        <v>432</v>
      </c>
      <c r="AV194">
        <v>540</v>
      </c>
      <c r="AW194">
        <v>540</v>
      </c>
      <c r="AX194">
        <v>480</v>
      </c>
      <c r="AY194">
        <v>315</v>
      </c>
      <c r="AZ194">
        <v>0</v>
      </c>
      <c r="BA194">
        <v>0</v>
      </c>
      <c r="BB194">
        <v>180</v>
      </c>
      <c r="BC194">
        <v>360</v>
      </c>
      <c r="BD194">
        <v>360</v>
      </c>
      <c r="BE194">
        <v>420</v>
      </c>
      <c r="BF194">
        <v>360</v>
      </c>
      <c r="BG194">
        <v>360</v>
      </c>
      <c r="BH194">
        <v>270</v>
      </c>
      <c r="BI194">
        <v>0</v>
      </c>
      <c r="BJ194">
        <v>0</v>
      </c>
      <c r="BK194">
        <v>90</v>
      </c>
      <c r="BL194">
        <v>360</v>
      </c>
      <c r="BM194">
        <v>360</v>
      </c>
      <c r="BN194">
        <v>360</v>
      </c>
      <c r="BO194">
        <v>360</v>
      </c>
      <c r="BP194">
        <v>270</v>
      </c>
      <c r="BQ194">
        <f>(I194+J194+N194+O194)/4</f>
        <v>5.6666666666666661</v>
      </c>
      <c r="BR194">
        <f>(K194+L194+M194)/3</f>
        <v>4.6000000000000005</v>
      </c>
      <c r="BS194">
        <f>BQ194/BR194</f>
        <v>1.2318840579710142</v>
      </c>
      <c r="BT194">
        <f>AQ194/I194</f>
        <v>90</v>
      </c>
      <c r="BU194" t="str">
        <f>IF(OR(A194=2, A194=12), "Central", IF(A194=3, "Semi-Central", "Periférica"))</f>
        <v>Periférica</v>
      </c>
    </row>
    <row r="195" spans="1:73" x14ac:dyDescent="0.3">
      <c r="A195" s="1">
        <v>16</v>
      </c>
      <c r="B195" s="1">
        <v>1609</v>
      </c>
      <c r="C195" s="1">
        <v>209</v>
      </c>
      <c r="D195" t="s">
        <v>5</v>
      </c>
      <c r="E195" t="s">
        <v>0</v>
      </c>
      <c r="F195">
        <v>3</v>
      </c>
      <c r="G195">
        <v>0</v>
      </c>
      <c r="H195">
        <v>5</v>
      </c>
      <c r="I195">
        <v>6</v>
      </c>
      <c r="J195">
        <v>7.333333333333333</v>
      </c>
      <c r="K195">
        <v>5.333333333333333</v>
      </c>
      <c r="L195">
        <v>5.333333333333333</v>
      </c>
      <c r="M195">
        <v>6</v>
      </c>
      <c r="N195">
        <v>7</v>
      </c>
      <c r="O195">
        <v>7</v>
      </c>
      <c r="P195">
        <v>5.333333333333333</v>
      </c>
      <c r="Q195">
        <v>4.5</v>
      </c>
      <c r="R195">
        <v>3</v>
      </c>
      <c r="S195">
        <v>0</v>
      </c>
      <c r="T195">
        <v>3</v>
      </c>
      <c r="U195">
        <v>4.8</v>
      </c>
      <c r="V195">
        <v>5</v>
      </c>
      <c r="W195">
        <v>6</v>
      </c>
      <c r="X195">
        <v>4.8888888888888893</v>
      </c>
      <c r="Y195">
        <v>4.8</v>
      </c>
      <c r="Z195">
        <v>4</v>
      </c>
      <c r="AA195">
        <v>3</v>
      </c>
      <c r="AB195">
        <v>0</v>
      </c>
      <c r="AC195">
        <v>3</v>
      </c>
      <c r="AD195">
        <v>4.3636363636363633</v>
      </c>
      <c r="AE195">
        <v>4.8</v>
      </c>
      <c r="AF195">
        <v>5</v>
      </c>
      <c r="AG195">
        <v>4</v>
      </c>
      <c r="AH195">
        <v>4</v>
      </c>
      <c r="AI195" s="1">
        <v>16</v>
      </c>
      <c r="AJ195" s="1">
        <v>1609</v>
      </c>
      <c r="AK195" s="1">
        <v>209</v>
      </c>
      <c r="AL195" t="s">
        <v>5</v>
      </c>
      <c r="AM195" t="s">
        <v>0</v>
      </c>
      <c r="AN195">
        <v>450</v>
      </c>
      <c r="AO195">
        <v>0</v>
      </c>
      <c r="AP195">
        <v>750</v>
      </c>
      <c r="AQ195">
        <v>900</v>
      </c>
      <c r="AR195">
        <v>1100</v>
      </c>
      <c r="AS195">
        <v>800</v>
      </c>
      <c r="AT195">
        <v>800</v>
      </c>
      <c r="AU195">
        <v>900</v>
      </c>
      <c r="AV195">
        <v>1050</v>
      </c>
      <c r="AW195">
        <v>1050</v>
      </c>
      <c r="AX195">
        <v>800</v>
      </c>
      <c r="AY195">
        <v>675</v>
      </c>
      <c r="AZ195">
        <v>450</v>
      </c>
      <c r="BA195">
        <v>0</v>
      </c>
      <c r="BB195">
        <v>450</v>
      </c>
      <c r="BC195">
        <v>720</v>
      </c>
      <c r="BD195">
        <v>750</v>
      </c>
      <c r="BE195">
        <v>900</v>
      </c>
      <c r="BF195">
        <v>733.33333333333337</v>
      </c>
      <c r="BG195">
        <v>720</v>
      </c>
      <c r="BH195">
        <v>600</v>
      </c>
      <c r="BI195">
        <v>270</v>
      </c>
      <c r="BJ195">
        <v>0</v>
      </c>
      <c r="BK195">
        <v>270</v>
      </c>
      <c r="BL195">
        <v>392.72727272727269</v>
      </c>
      <c r="BM195">
        <v>432</v>
      </c>
      <c r="BN195">
        <v>450</v>
      </c>
      <c r="BO195">
        <v>360</v>
      </c>
      <c r="BP195">
        <v>360</v>
      </c>
      <c r="BQ195">
        <f>(I195+J195+N195+O195)/4</f>
        <v>6.833333333333333</v>
      </c>
      <c r="BR195">
        <f>(K195+L195+M195)/3</f>
        <v>5.5555555555555545</v>
      </c>
      <c r="BS195">
        <f>BQ195/BR195</f>
        <v>1.2300000000000002</v>
      </c>
      <c r="BT195">
        <f>AQ195/I195</f>
        <v>150</v>
      </c>
      <c r="BU195" t="str">
        <f>IF(OR(A195=2, A195=12), "Central", IF(A195=3, "Semi-Central", "Periférica"))</f>
        <v>Periférica</v>
      </c>
    </row>
    <row r="196" spans="1:73" x14ac:dyDescent="0.3">
      <c r="A196" s="1">
        <v>13</v>
      </c>
      <c r="B196" s="1">
        <v>1302</v>
      </c>
      <c r="C196" s="1">
        <v>402</v>
      </c>
      <c r="D196" t="s">
        <v>5</v>
      </c>
      <c r="F196">
        <v>0</v>
      </c>
      <c r="G196">
        <v>0</v>
      </c>
      <c r="H196">
        <v>4</v>
      </c>
      <c r="I196">
        <v>7.333333333333333</v>
      </c>
      <c r="J196">
        <v>6</v>
      </c>
      <c r="K196">
        <v>5</v>
      </c>
      <c r="L196">
        <v>4.666666666666667</v>
      </c>
      <c r="M196">
        <v>5.2</v>
      </c>
      <c r="N196">
        <v>5.5</v>
      </c>
      <c r="O196">
        <v>5.5</v>
      </c>
      <c r="P196">
        <v>4</v>
      </c>
      <c r="Q196">
        <v>3.5</v>
      </c>
      <c r="R196">
        <v>0</v>
      </c>
      <c r="S196">
        <v>0</v>
      </c>
      <c r="T196">
        <v>3</v>
      </c>
      <c r="U196">
        <v>5.2</v>
      </c>
      <c r="V196">
        <v>5.666666666666667</v>
      </c>
      <c r="W196">
        <v>5</v>
      </c>
      <c r="X196">
        <v>4</v>
      </c>
      <c r="Y196">
        <v>4</v>
      </c>
      <c r="Z196">
        <v>2.5</v>
      </c>
      <c r="AA196">
        <v>0</v>
      </c>
      <c r="AB196">
        <v>0</v>
      </c>
      <c r="AC196">
        <v>3</v>
      </c>
      <c r="AD196">
        <v>3.6363636363636358</v>
      </c>
      <c r="AE196">
        <v>3.8</v>
      </c>
      <c r="AF196">
        <v>3</v>
      </c>
      <c r="AG196">
        <v>3</v>
      </c>
      <c r="AH196">
        <v>2.5</v>
      </c>
      <c r="AI196" s="1">
        <v>13</v>
      </c>
      <c r="AJ196" s="1">
        <v>1302</v>
      </c>
      <c r="AK196" s="1">
        <v>402</v>
      </c>
      <c r="AL196" t="s">
        <v>5</v>
      </c>
      <c r="AN196">
        <v>0</v>
      </c>
      <c r="AO196">
        <v>0</v>
      </c>
      <c r="AP196">
        <v>360</v>
      </c>
      <c r="AQ196">
        <v>660</v>
      </c>
      <c r="AR196">
        <v>540</v>
      </c>
      <c r="AS196">
        <v>450</v>
      </c>
      <c r="AT196">
        <v>420</v>
      </c>
      <c r="AU196">
        <v>468</v>
      </c>
      <c r="AV196">
        <v>495</v>
      </c>
      <c r="AW196">
        <v>495</v>
      </c>
      <c r="AX196">
        <v>360</v>
      </c>
      <c r="AY196">
        <v>315</v>
      </c>
      <c r="AZ196">
        <v>0</v>
      </c>
      <c r="BA196">
        <v>0</v>
      </c>
      <c r="BB196">
        <v>270</v>
      </c>
      <c r="BC196">
        <v>468</v>
      </c>
      <c r="BD196">
        <v>510</v>
      </c>
      <c r="BE196">
        <v>450</v>
      </c>
      <c r="BF196">
        <v>360</v>
      </c>
      <c r="BG196">
        <v>360</v>
      </c>
      <c r="BH196">
        <v>225</v>
      </c>
      <c r="BI196">
        <v>0</v>
      </c>
      <c r="BJ196">
        <v>0</v>
      </c>
      <c r="BK196">
        <v>270</v>
      </c>
      <c r="BL196">
        <v>327.27272727272731</v>
      </c>
      <c r="BM196">
        <v>342</v>
      </c>
      <c r="BN196">
        <v>270</v>
      </c>
      <c r="BO196">
        <v>270</v>
      </c>
      <c r="BP196">
        <v>225</v>
      </c>
      <c r="BQ196">
        <f>(I196+J196+N196+O196)/4</f>
        <v>6.083333333333333</v>
      </c>
      <c r="BR196">
        <f>(K196+L196+M196)/3</f>
        <v>4.9555555555555557</v>
      </c>
      <c r="BS196">
        <f>BQ196/BR196</f>
        <v>1.2275784753363228</v>
      </c>
      <c r="BT196">
        <f>AQ196/I196</f>
        <v>90</v>
      </c>
      <c r="BU196" t="str">
        <f>IF(OR(A196=2, A196=12), "Central", IF(A196=3, "Semi-Central", "Periférica"))</f>
        <v>Periférica</v>
      </c>
    </row>
    <row r="197" spans="1:73" x14ac:dyDescent="0.3">
      <c r="A197" s="1">
        <v>5</v>
      </c>
      <c r="B197" s="1">
        <v>519</v>
      </c>
      <c r="C197" s="1">
        <v>519</v>
      </c>
      <c r="D197" t="s">
        <v>5</v>
      </c>
      <c r="E197" t="s">
        <v>0</v>
      </c>
      <c r="F197">
        <v>0</v>
      </c>
      <c r="G197">
        <v>0</v>
      </c>
      <c r="H197">
        <v>0</v>
      </c>
      <c r="I197">
        <v>6</v>
      </c>
      <c r="J197">
        <v>6</v>
      </c>
      <c r="K197">
        <v>5.333333333333333</v>
      </c>
      <c r="L197">
        <v>4.666666666666667</v>
      </c>
      <c r="M197">
        <v>5.6</v>
      </c>
      <c r="N197">
        <v>7</v>
      </c>
      <c r="O197">
        <v>6.5</v>
      </c>
      <c r="P197">
        <v>6</v>
      </c>
      <c r="Q197">
        <v>1</v>
      </c>
      <c r="R197">
        <v>0</v>
      </c>
      <c r="S197">
        <v>0</v>
      </c>
      <c r="T197">
        <v>0</v>
      </c>
      <c r="U197">
        <v>2.8</v>
      </c>
      <c r="V197">
        <v>3.6666666666666665</v>
      </c>
      <c r="W197">
        <v>3.6666666666666665</v>
      </c>
      <c r="X197">
        <v>3.7777777777777777</v>
      </c>
      <c r="Y197">
        <v>4</v>
      </c>
      <c r="Z197">
        <v>0</v>
      </c>
      <c r="AA197">
        <v>0</v>
      </c>
      <c r="AB197">
        <v>0</v>
      </c>
      <c r="AC197">
        <v>1</v>
      </c>
      <c r="AD197">
        <v>3.0909090909090908</v>
      </c>
      <c r="AE197">
        <v>3</v>
      </c>
      <c r="AF197">
        <v>3</v>
      </c>
      <c r="AG197">
        <v>3</v>
      </c>
      <c r="AH197">
        <v>0</v>
      </c>
      <c r="AI197" s="1">
        <v>5</v>
      </c>
      <c r="AJ197" s="1">
        <v>519</v>
      </c>
      <c r="AK197" s="1">
        <v>519</v>
      </c>
      <c r="AL197" t="s">
        <v>5</v>
      </c>
      <c r="AM197" t="s">
        <v>0</v>
      </c>
      <c r="AN197">
        <v>0</v>
      </c>
      <c r="AO197">
        <v>0</v>
      </c>
      <c r="AP197">
        <v>0</v>
      </c>
      <c r="AQ197">
        <v>606</v>
      </c>
      <c r="AR197">
        <v>666</v>
      </c>
      <c r="AS197">
        <v>572</v>
      </c>
      <c r="AT197">
        <v>498</v>
      </c>
      <c r="AU197">
        <v>585.6</v>
      </c>
      <c r="AV197">
        <v>747</v>
      </c>
      <c r="AW197">
        <v>706.5</v>
      </c>
      <c r="AX197">
        <v>666</v>
      </c>
      <c r="AY197">
        <v>96</v>
      </c>
      <c r="AZ197">
        <v>0</v>
      </c>
      <c r="BA197">
        <v>0</v>
      </c>
      <c r="BB197">
        <v>0</v>
      </c>
      <c r="BC197">
        <v>298.8</v>
      </c>
      <c r="BD197">
        <v>397</v>
      </c>
      <c r="BE197">
        <v>397</v>
      </c>
      <c r="BF197">
        <v>406</v>
      </c>
      <c r="BG197">
        <v>444</v>
      </c>
      <c r="BH197">
        <v>0</v>
      </c>
      <c r="BI197">
        <v>0</v>
      </c>
      <c r="BJ197">
        <v>0</v>
      </c>
      <c r="BK197">
        <v>96</v>
      </c>
      <c r="BL197">
        <v>332.18181818181819</v>
      </c>
      <c r="BM197">
        <v>321</v>
      </c>
      <c r="BN197">
        <v>323</v>
      </c>
      <c r="BO197">
        <v>333</v>
      </c>
      <c r="BP197">
        <v>0</v>
      </c>
      <c r="BQ197">
        <f>(I197+J197+N197+O197)/4</f>
        <v>6.375</v>
      </c>
      <c r="BR197">
        <f>(K197+L197+M197)/3</f>
        <v>5.2</v>
      </c>
      <c r="BS197">
        <f>BQ197/BR197</f>
        <v>1.2259615384615383</v>
      </c>
      <c r="BT197">
        <f>AQ197/I197</f>
        <v>101</v>
      </c>
      <c r="BU197" t="str">
        <f>IF(OR(A197=2, A197=12), "Central", IF(A197=3, "Semi-Central", "Periférica"))</f>
        <v>Periférica</v>
      </c>
    </row>
    <row r="198" spans="1:73" x14ac:dyDescent="0.3">
      <c r="A198" s="1">
        <v>2</v>
      </c>
      <c r="B198" s="1">
        <v>282</v>
      </c>
      <c r="C198" s="1">
        <v>282</v>
      </c>
      <c r="D198" t="s">
        <v>5</v>
      </c>
      <c r="F198">
        <v>0</v>
      </c>
      <c r="G198">
        <v>0</v>
      </c>
      <c r="H198">
        <v>1</v>
      </c>
      <c r="I198">
        <v>1.3333333333333333</v>
      </c>
      <c r="J198">
        <v>0</v>
      </c>
      <c r="K198">
        <v>0.66666666666666663</v>
      </c>
      <c r="L198">
        <v>0.66666666666666663</v>
      </c>
      <c r="M198">
        <v>0.4</v>
      </c>
      <c r="N198">
        <v>0.5</v>
      </c>
      <c r="O198">
        <v>1</v>
      </c>
      <c r="P198">
        <v>0.66666666666666663</v>
      </c>
      <c r="Q198">
        <v>1</v>
      </c>
      <c r="R198">
        <v>0</v>
      </c>
      <c r="S198">
        <v>0</v>
      </c>
      <c r="T198">
        <v>1</v>
      </c>
      <c r="U198">
        <v>0.8</v>
      </c>
      <c r="V198">
        <v>0.66666666666666663</v>
      </c>
      <c r="W198">
        <v>0.33333333333333331</v>
      </c>
      <c r="X198">
        <v>0.44444444444444442</v>
      </c>
      <c r="Y198">
        <v>0.8</v>
      </c>
      <c r="Z198">
        <v>0.5</v>
      </c>
      <c r="AA198">
        <v>0</v>
      </c>
      <c r="AB198">
        <v>0</v>
      </c>
      <c r="AC198">
        <v>0.5</v>
      </c>
      <c r="AD198">
        <v>0.54545454545454541</v>
      </c>
      <c r="AE198">
        <v>0.4</v>
      </c>
      <c r="AF198">
        <v>0.66666666666666663</v>
      </c>
      <c r="AG198">
        <v>0</v>
      </c>
      <c r="AH198">
        <v>1</v>
      </c>
      <c r="AI198" s="1">
        <v>2</v>
      </c>
      <c r="AJ198" s="1">
        <v>282</v>
      </c>
      <c r="AK198" s="1">
        <v>282</v>
      </c>
      <c r="AL198" t="s">
        <v>5</v>
      </c>
      <c r="AN198">
        <v>0</v>
      </c>
      <c r="AO198">
        <v>0</v>
      </c>
      <c r="AP198">
        <v>92</v>
      </c>
      <c r="AQ198">
        <v>122.66666666666667</v>
      </c>
      <c r="AR198">
        <v>0</v>
      </c>
      <c r="AS198">
        <v>61.333333333333336</v>
      </c>
      <c r="AT198">
        <v>61.333333333333336</v>
      </c>
      <c r="AU198">
        <v>36.799999999999997</v>
      </c>
      <c r="AV198">
        <v>46</v>
      </c>
      <c r="AW198">
        <v>92</v>
      </c>
      <c r="AX198">
        <v>61.333333333333336</v>
      </c>
      <c r="AY198">
        <v>92</v>
      </c>
      <c r="AZ198">
        <v>0</v>
      </c>
      <c r="BA198">
        <v>0</v>
      </c>
      <c r="BB198">
        <v>92</v>
      </c>
      <c r="BC198">
        <v>73.599999999999994</v>
      </c>
      <c r="BD198">
        <v>61.333333333333336</v>
      </c>
      <c r="BE198">
        <v>30.666666666666668</v>
      </c>
      <c r="BF198">
        <v>40.888888888888886</v>
      </c>
      <c r="BG198">
        <v>73.599999999999994</v>
      </c>
      <c r="BH198">
        <v>46</v>
      </c>
      <c r="BI198">
        <v>0</v>
      </c>
      <c r="BJ198">
        <v>0</v>
      </c>
      <c r="BK198">
        <v>46</v>
      </c>
      <c r="BL198">
        <v>50.18181818181818</v>
      </c>
      <c r="BM198">
        <v>36.799999999999997</v>
      </c>
      <c r="BN198">
        <v>61.333333333333336</v>
      </c>
      <c r="BO198">
        <v>0</v>
      </c>
      <c r="BP198">
        <v>92</v>
      </c>
      <c r="BQ198">
        <f>(I198+J198+N198+O198)/4</f>
        <v>0.70833333333333326</v>
      </c>
      <c r="BR198">
        <f>(K198+L198+M198)/3</f>
        <v>0.57777777777777783</v>
      </c>
      <c r="BS198">
        <f>BQ198/BR198</f>
        <v>1.2259615384615381</v>
      </c>
      <c r="BT198">
        <f>AQ198/I198</f>
        <v>92.000000000000014</v>
      </c>
      <c r="BU198" t="str">
        <f>IF(OR(A198=2, A198=12), "Central", IF(A198=3, "Semi-Central", "Periférica"))</f>
        <v>Central</v>
      </c>
    </row>
    <row r="199" spans="1:73" x14ac:dyDescent="0.3">
      <c r="A199" s="1">
        <v>5</v>
      </c>
      <c r="B199" s="1">
        <v>582</v>
      </c>
      <c r="C199" s="1" t="s">
        <v>363</v>
      </c>
      <c r="D199" s="1" t="s">
        <v>5</v>
      </c>
      <c r="F199">
        <v>0</v>
      </c>
      <c r="G199">
        <v>0.22222222222222221</v>
      </c>
      <c r="H199">
        <v>1</v>
      </c>
      <c r="I199">
        <v>0.66666666666666663</v>
      </c>
      <c r="J199">
        <v>0.66666666666666663</v>
      </c>
      <c r="K199">
        <v>0.66666666666666663</v>
      </c>
      <c r="L199">
        <v>0.66666666666666663</v>
      </c>
      <c r="M199">
        <v>0.4</v>
      </c>
      <c r="N199">
        <v>1</v>
      </c>
      <c r="O199">
        <v>0.5</v>
      </c>
      <c r="P199">
        <v>0.66666666666666663</v>
      </c>
      <c r="Q199">
        <v>0</v>
      </c>
      <c r="R199">
        <v>0</v>
      </c>
      <c r="S199">
        <v>0</v>
      </c>
      <c r="T199">
        <v>0</v>
      </c>
      <c r="U199">
        <v>0.8</v>
      </c>
      <c r="V199">
        <v>0.33333333333333331</v>
      </c>
      <c r="W199">
        <v>0.66666666666666663</v>
      </c>
      <c r="X199">
        <v>0.44444444444444442</v>
      </c>
      <c r="Y199">
        <v>0.4</v>
      </c>
      <c r="Z199">
        <v>0</v>
      </c>
      <c r="AA199">
        <v>0</v>
      </c>
      <c r="AB199">
        <v>0</v>
      </c>
      <c r="AC199">
        <v>0.5</v>
      </c>
      <c r="AD199">
        <v>0.54545454545454541</v>
      </c>
      <c r="AE199">
        <v>0.4</v>
      </c>
      <c r="AF199">
        <v>0.66666666666666663</v>
      </c>
      <c r="AG199">
        <v>0</v>
      </c>
      <c r="AH199">
        <v>0</v>
      </c>
      <c r="AI199" s="1">
        <v>5</v>
      </c>
      <c r="AJ199" s="1">
        <v>582</v>
      </c>
      <c r="AK199" s="1" t="s">
        <v>363</v>
      </c>
      <c r="AL199" s="1" t="s">
        <v>5</v>
      </c>
      <c r="AN199">
        <v>0</v>
      </c>
      <c r="AO199">
        <v>18</v>
      </c>
      <c r="AP199">
        <v>81</v>
      </c>
      <c r="AQ199">
        <v>54</v>
      </c>
      <c r="AR199">
        <v>54</v>
      </c>
      <c r="AS199">
        <v>54</v>
      </c>
      <c r="AT199">
        <v>54</v>
      </c>
      <c r="AU199">
        <v>32.4</v>
      </c>
      <c r="AV199">
        <v>81</v>
      </c>
      <c r="AW199">
        <v>40.5</v>
      </c>
      <c r="AX199">
        <v>54</v>
      </c>
      <c r="AY199">
        <v>0</v>
      </c>
      <c r="AZ199">
        <v>0</v>
      </c>
      <c r="BA199">
        <v>0</v>
      </c>
      <c r="BB199">
        <v>0</v>
      </c>
      <c r="BC199">
        <v>64.8</v>
      </c>
      <c r="BD199">
        <v>27</v>
      </c>
      <c r="BE199">
        <v>54</v>
      </c>
      <c r="BF199">
        <v>36</v>
      </c>
      <c r="BG199">
        <v>32.4</v>
      </c>
      <c r="BH199">
        <v>0</v>
      </c>
      <c r="BI199">
        <v>0</v>
      </c>
      <c r="BJ199">
        <v>0</v>
      </c>
      <c r="BK199">
        <v>40.5</v>
      </c>
      <c r="BL199">
        <v>44.18181818181818</v>
      </c>
      <c r="BM199">
        <v>32.4</v>
      </c>
      <c r="BN199">
        <v>54</v>
      </c>
      <c r="BO199">
        <v>0</v>
      </c>
      <c r="BP199">
        <v>0</v>
      </c>
      <c r="BQ199">
        <f>(I199+J199+N199+O199)/4</f>
        <v>0.70833333333333326</v>
      </c>
      <c r="BR199">
        <f>(K199+L199+M199)/3</f>
        <v>0.57777777777777783</v>
      </c>
      <c r="BS199">
        <f>BQ199/BR199</f>
        <v>1.2259615384615381</v>
      </c>
      <c r="BT199">
        <f>AQ199/I199</f>
        <v>81</v>
      </c>
      <c r="BU199" t="str">
        <f>IF(OR(A199=2, A199=12), "Central", IF(A199=3, "Semi-Central", "Periférica"))</f>
        <v>Periférica</v>
      </c>
    </row>
    <row r="200" spans="1:73" x14ac:dyDescent="0.3">
      <c r="A200" s="1">
        <v>3</v>
      </c>
      <c r="B200" s="1">
        <v>320</v>
      </c>
      <c r="C200" s="1">
        <v>121</v>
      </c>
      <c r="D200" t="s">
        <v>5</v>
      </c>
      <c r="E200" t="s">
        <v>0</v>
      </c>
      <c r="F200">
        <v>0</v>
      </c>
      <c r="G200">
        <v>0</v>
      </c>
      <c r="H200">
        <v>3</v>
      </c>
      <c r="I200">
        <v>5.333333333333333</v>
      </c>
      <c r="J200">
        <v>6</v>
      </c>
      <c r="K200">
        <v>4.666666666666667</v>
      </c>
      <c r="L200">
        <v>5.333333333333333</v>
      </c>
      <c r="M200">
        <v>5.2</v>
      </c>
      <c r="N200">
        <v>7</v>
      </c>
      <c r="O200">
        <v>6.5</v>
      </c>
      <c r="P200">
        <v>4.666666666666667</v>
      </c>
      <c r="Q200">
        <v>3</v>
      </c>
      <c r="R200">
        <v>0</v>
      </c>
      <c r="S200">
        <v>0</v>
      </c>
      <c r="T200">
        <v>0</v>
      </c>
      <c r="U200">
        <v>4</v>
      </c>
      <c r="V200">
        <v>4.333333333333333</v>
      </c>
      <c r="W200">
        <v>4.333333333333333</v>
      </c>
      <c r="X200">
        <v>4</v>
      </c>
      <c r="Y200">
        <v>4</v>
      </c>
      <c r="Z200">
        <v>3</v>
      </c>
      <c r="AA200">
        <v>0</v>
      </c>
      <c r="AB200">
        <v>0</v>
      </c>
      <c r="AC200">
        <v>2</v>
      </c>
      <c r="AD200">
        <v>4</v>
      </c>
      <c r="AE200">
        <v>4</v>
      </c>
      <c r="AF200">
        <v>4</v>
      </c>
      <c r="AG200">
        <v>3</v>
      </c>
      <c r="AH200">
        <v>2.5</v>
      </c>
      <c r="AI200" s="1">
        <v>3</v>
      </c>
      <c r="AJ200" s="1">
        <v>320</v>
      </c>
      <c r="AK200" s="1">
        <v>121</v>
      </c>
      <c r="AL200" t="s">
        <v>5</v>
      </c>
      <c r="AM200" t="s">
        <v>0</v>
      </c>
      <c r="AN200">
        <v>0</v>
      </c>
      <c r="AO200">
        <v>0</v>
      </c>
      <c r="AP200">
        <v>294</v>
      </c>
      <c r="AQ200">
        <v>522.66666666666663</v>
      </c>
      <c r="AR200">
        <v>588</v>
      </c>
      <c r="AS200">
        <v>457.33333333333331</v>
      </c>
      <c r="AT200">
        <v>522.66666666666663</v>
      </c>
      <c r="AU200">
        <v>509.6</v>
      </c>
      <c r="AV200">
        <v>686</v>
      </c>
      <c r="AW200">
        <v>637</v>
      </c>
      <c r="AX200">
        <v>457.33333333333331</v>
      </c>
      <c r="AY200">
        <v>294</v>
      </c>
      <c r="AZ200">
        <v>0</v>
      </c>
      <c r="BA200">
        <v>0</v>
      </c>
      <c r="BB200">
        <v>0</v>
      </c>
      <c r="BC200">
        <v>392</v>
      </c>
      <c r="BD200">
        <v>424.66666666666669</v>
      </c>
      <c r="BE200">
        <v>424.66666666666669</v>
      </c>
      <c r="BF200">
        <v>392</v>
      </c>
      <c r="BG200">
        <v>392</v>
      </c>
      <c r="BH200">
        <v>294</v>
      </c>
      <c r="BI200">
        <v>0</v>
      </c>
      <c r="BJ200">
        <v>0</v>
      </c>
      <c r="BK200">
        <v>196</v>
      </c>
      <c r="BL200">
        <v>392</v>
      </c>
      <c r="BM200">
        <v>392</v>
      </c>
      <c r="BN200">
        <v>392</v>
      </c>
      <c r="BO200">
        <v>294</v>
      </c>
      <c r="BP200">
        <v>245</v>
      </c>
      <c r="BQ200">
        <f>(I200+J200+N200+O200)/4</f>
        <v>6.208333333333333</v>
      </c>
      <c r="BR200">
        <f>(K200+L200+M200)/3</f>
        <v>5.0666666666666664</v>
      </c>
      <c r="BS200">
        <f>BQ200/BR200</f>
        <v>1.225328947368421</v>
      </c>
      <c r="BT200">
        <f>AQ200/I200</f>
        <v>98</v>
      </c>
      <c r="BU200" t="str">
        <f>IF(OR(A200=2, A200=12), "Central", IF(A200=3, "Semi-Central", "Periférica"))</f>
        <v>Semi-Central</v>
      </c>
    </row>
    <row r="201" spans="1:73" x14ac:dyDescent="0.3">
      <c r="A201" s="1">
        <v>11</v>
      </c>
      <c r="B201" s="1">
        <v>1113</v>
      </c>
      <c r="C201" s="1" t="s">
        <v>110</v>
      </c>
      <c r="D201" t="s">
        <v>5</v>
      </c>
      <c r="F201">
        <v>0</v>
      </c>
      <c r="G201">
        <v>0</v>
      </c>
      <c r="H201">
        <v>3</v>
      </c>
      <c r="I201">
        <v>6</v>
      </c>
      <c r="J201">
        <v>5.333333333333333</v>
      </c>
      <c r="K201">
        <v>4.666666666666667</v>
      </c>
      <c r="L201">
        <v>4</v>
      </c>
      <c r="M201">
        <v>4.4000000000000004</v>
      </c>
      <c r="N201">
        <v>5</v>
      </c>
      <c r="O201">
        <v>5</v>
      </c>
      <c r="P201">
        <v>3.333333333333333</v>
      </c>
      <c r="Q201">
        <v>1.5</v>
      </c>
      <c r="R201">
        <v>0</v>
      </c>
      <c r="S201">
        <v>0</v>
      </c>
      <c r="T201">
        <v>2</v>
      </c>
      <c r="U201">
        <v>4.8</v>
      </c>
      <c r="V201">
        <v>4</v>
      </c>
      <c r="W201">
        <v>3.666666666666667</v>
      </c>
      <c r="X201">
        <v>3.333333333333333</v>
      </c>
      <c r="Y201">
        <v>2.8</v>
      </c>
      <c r="Z201">
        <v>1</v>
      </c>
      <c r="AA201">
        <v>0</v>
      </c>
      <c r="AB201">
        <v>0</v>
      </c>
      <c r="AC201">
        <v>2</v>
      </c>
      <c r="AD201">
        <v>2.7272727272727271</v>
      </c>
      <c r="AE201">
        <v>3</v>
      </c>
      <c r="AF201">
        <v>3.666666666666667</v>
      </c>
      <c r="AG201">
        <v>2</v>
      </c>
      <c r="AH201">
        <v>2</v>
      </c>
      <c r="AI201" s="1">
        <v>11</v>
      </c>
      <c r="AJ201" s="1">
        <v>1113</v>
      </c>
      <c r="AK201" s="1" t="s">
        <v>110</v>
      </c>
      <c r="AL201" t="s">
        <v>5</v>
      </c>
      <c r="AN201">
        <v>0</v>
      </c>
      <c r="AO201">
        <v>0</v>
      </c>
      <c r="AP201">
        <v>180</v>
      </c>
      <c r="AQ201">
        <v>360</v>
      </c>
      <c r="AR201">
        <v>320</v>
      </c>
      <c r="AS201">
        <v>280</v>
      </c>
      <c r="AT201">
        <v>240</v>
      </c>
      <c r="AU201">
        <v>264</v>
      </c>
      <c r="AV201">
        <v>300</v>
      </c>
      <c r="AW201">
        <v>300</v>
      </c>
      <c r="AX201">
        <v>200</v>
      </c>
      <c r="AY201">
        <v>90</v>
      </c>
      <c r="AZ201">
        <v>0</v>
      </c>
      <c r="BA201">
        <v>0</v>
      </c>
      <c r="BB201">
        <v>120</v>
      </c>
      <c r="BC201">
        <v>288</v>
      </c>
      <c r="BD201">
        <v>240</v>
      </c>
      <c r="BE201">
        <v>220</v>
      </c>
      <c r="BF201">
        <v>200</v>
      </c>
      <c r="BG201">
        <v>168</v>
      </c>
      <c r="BH201">
        <v>60</v>
      </c>
      <c r="BI201">
        <v>0</v>
      </c>
      <c r="BJ201">
        <v>0</v>
      </c>
      <c r="BK201">
        <v>120</v>
      </c>
      <c r="BL201">
        <v>163.6363636363636</v>
      </c>
      <c r="BM201">
        <v>180</v>
      </c>
      <c r="BN201">
        <v>220</v>
      </c>
      <c r="BO201">
        <v>120</v>
      </c>
      <c r="BP201">
        <v>120</v>
      </c>
      <c r="BQ201">
        <f>(I201+J201+N201+O201)/4</f>
        <v>5.333333333333333</v>
      </c>
      <c r="BR201">
        <f>(K201+L201+M201)/3</f>
        <v>4.3555555555555561</v>
      </c>
      <c r="BS201">
        <f>BQ201/BR201</f>
        <v>1.2244897959183672</v>
      </c>
      <c r="BT201">
        <f>AQ201/I201</f>
        <v>60</v>
      </c>
      <c r="BU201" t="str">
        <f>IF(OR(A201=2, A201=12), "Central", IF(A201=3, "Semi-Central", "Periférica"))</f>
        <v>Periférica</v>
      </c>
    </row>
    <row r="202" spans="1:73" x14ac:dyDescent="0.3">
      <c r="A202" s="1">
        <v>5</v>
      </c>
      <c r="B202" s="1">
        <v>508</v>
      </c>
      <c r="C202" s="1">
        <v>508</v>
      </c>
      <c r="D202" t="s">
        <v>5</v>
      </c>
      <c r="E202" t="s">
        <v>0</v>
      </c>
      <c r="F202">
        <v>2</v>
      </c>
      <c r="G202">
        <v>2</v>
      </c>
      <c r="H202">
        <v>6</v>
      </c>
      <c r="I202">
        <v>12.666666666666666</v>
      </c>
      <c r="J202">
        <v>6</v>
      </c>
      <c r="K202">
        <v>6.333333333333333</v>
      </c>
      <c r="L202">
        <v>7.333333333333333</v>
      </c>
      <c r="M202">
        <v>7.6</v>
      </c>
      <c r="N202">
        <v>9</v>
      </c>
      <c r="O202">
        <v>7</v>
      </c>
      <c r="P202">
        <v>4</v>
      </c>
      <c r="Q202">
        <v>2.5</v>
      </c>
      <c r="R202">
        <v>2</v>
      </c>
      <c r="S202">
        <v>2</v>
      </c>
      <c r="T202">
        <v>4</v>
      </c>
      <c r="U202">
        <v>5.2</v>
      </c>
      <c r="V202">
        <v>5.333333333333333</v>
      </c>
      <c r="W202">
        <v>5</v>
      </c>
      <c r="X202">
        <v>5.1111111111111107</v>
      </c>
      <c r="Y202">
        <v>4.4000000000000004</v>
      </c>
      <c r="Z202">
        <v>2.5</v>
      </c>
      <c r="AA202">
        <v>2</v>
      </c>
      <c r="AB202">
        <v>2</v>
      </c>
      <c r="AC202">
        <v>4</v>
      </c>
      <c r="AD202">
        <v>3.8181818181818183</v>
      </c>
      <c r="AE202">
        <v>3.8</v>
      </c>
      <c r="AF202">
        <v>4</v>
      </c>
      <c r="AG202">
        <v>5</v>
      </c>
      <c r="AH202">
        <v>2.5</v>
      </c>
      <c r="AI202" s="1">
        <v>5</v>
      </c>
      <c r="AJ202" s="1">
        <v>508</v>
      </c>
      <c r="AK202" s="1">
        <v>508</v>
      </c>
      <c r="AL202" t="s">
        <v>5</v>
      </c>
      <c r="AM202" t="s">
        <v>0</v>
      </c>
      <c r="AN202">
        <v>162</v>
      </c>
      <c r="AO202">
        <v>162</v>
      </c>
      <c r="AP202">
        <v>628</v>
      </c>
      <c r="AQ202">
        <v>1262.6666666666667</v>
      </c>
      <c r="AR202">
        <v>722.66666666666663</v>
      </c>
      <c r="AS202">
        <v>820.66666666666663</v>
      </c>
      <c r="AT202">
        <v>688.66666666666663</v>
      </c>
      <c r="AU202">
        <v>984.8</v>
      </c>
      <c r="AV202">
        <v>835.5</v>
      </c>
      <c r="AW202">
        <v>957.5</v>
      </c>
      <c r="AX202">
        <v>513.33333333333337</v>
      </c>
      <c r="AY202">
        <v>309</v>
      </c>
      <c r="AZ202">
        <v>162</v>
      </c>
      <c r="BA202">
        <v>162</v>
      </c>
      <c r="BB202">
        <v>324</v>
      </c>
      <c r="BC202">
        <v>534.79999999999995</v>
      </c>
      <c r="BD202">
        <v>503</v>
      </c>
      <c r="BE202">
        <v>547</v>
      </c>
      <c r="BF202">
        <v>556</v>
      </c>
      <c r="BG202">
        <v>498.4</v>
      </c>
      <c r="BH202">
        <v>273.5</v>
      </c>
      <c r="BI202">
        <v>162</v>
      </c>
      <c r="BJ202">
        <v>162</v>
      </c>
      <c r="BK202">
        <v>324</v>
      </c>
      <c r="BL202">
        <v>438.36363636363637</v>
      </c>
      <c r="BM202">
        <v>449.8</v>
      </c>
      <c r="BN202">
        <v>347.66666666666669</v>
      </c>
      <c r="BO202">
        <v>547</v>
      </c>
      <c r="BP202">
        <v>238</v>
      </c>
      <c r="BQ202">
        <f>(I202+J202+N202+O202)/4</f>
        <v>8.6666666666666661</v>
      </c>
      <c r="BR202">
        <f>(K202+L202+M202)/3</f>
        <v>7.0888888888888886</v>
      </c>
      <c r="BS202">
        <f>BQ202/BR202</f>
        <v>1.2225705329153604</v>
      </c>
      <c r="BT202">
        <f>AQ202/I202</f>
        <v>99.684210526315795</v>
      </c>
      <c r="BU202" t="str">
        <f>IF(OR(A202=2, A202=12), "Central", IF(A202=3, "Semi-Central", "Periférica"))</f>
        <v>Periférica</v>
      </c>
    </row>
    <row r="203" spans="1:73" x14ac:dyDescent="0.3">
      <c r="A203" s="1">
        <v>3</v>
      </c>
      <c r="B203" s="1">
        <v>378</v>
      </c>
      <c r="C203" s="1" t="s">
        <v>362</v>
      </c>
      <c r="D203" t="s">
        <v>5</v>
      </c>
      <c r="E203" t="s">
        <v>0</v>
      </c>
      <c r="F203">
        <v>0</v>
      </c>
      <c r="G203">
        <v>0</v>
      </c>
      <c r="H203">
        <v>12</v>
      </c>
      <c r="I203">
        <v>16</v>
      </c>
      <c r="J203">
        <v>14</v>
      </c>
      <c r="K203">
        <v>11.333333333333334</v>
      </c>
      <c r="L203">
        <v>10</v>
      </c>
      <c r="M203">
        <v>11.2</v>
      </c>
      <c r="N203">
        <v>12</v>
      </c>
      <c r="O203">
        <v>11</v>
      </c>
      <c r="P203">
        <v>5.333333333333333</v>
      </c>
      <c r="Q203">
        <v>3</v>
      </c>
      <c r="R203">
        <v>0</v>
      </c>
      <c r="S203">
        <v>0</v>
      </c>
      <c r="T203">
        <v>5</v>
      </c>
      <c r="U203">
        <v>5.2</v>
      </c>
      <c r="V203">
        <v>5</v>
      </c>
      <c r="W203">
        <v>4.666666666666667</v>
      </c>
      <c r="X203">
        <v>4.2222222222222223</v>
      </c>
      <c r="Y203">
        <v>4</v>
      </c>
      <c r="Z203">
        <v>3</v>
      </c>
      <c r="AA203">
        <v>0</v>
      </c>
      <c r="AB203">
        <v>0</v>
      </c>
      <c r="AC203">
        <v>4</v>
      </c>
      <c r="AD203">
        <v>4</v>
      </c>
      <c r="AE203">
        <v>4</v>
      </c>
      <c r="AF203">
        <v>4</v>
      </c>
      <c r="AG203">
        <v>3</v>
      </c>
      <c r="AH203">
        <v>2.5</v>
      </c>
      <c r="AI203" s="1">
        <v>3</v>
      </c>
      <c r="AJ203" s="1">
        <v>378</v>
      </c>
      <c r="AK203" s="1" t="s">
        <v>362</v>
      </c>
      <c r="AL203" t="s">
        <v>5</v>
      </c>
      <c r="AM203" t="s">
        <v>0</v>
      </c>
      <c r="AN203">
        <v>0</v>
      </c>
      <c r="AO203">
        <v>0</v>
      </c>
      <c r="AP203">
        <v>1176</v>
      </c>
      <c r="AQ203">
        <v>1568</v>
      </c>
      <c r="AR203">
        <v>1372</v>
      </c>
      <c r="AS203">
        <v>1110.6666666666667</v>
      </c>
      <c r="AT203">
        <v>980</v>
      </c>
      <c r="AU203">
        <v>1097.5999999999999</v>
      </c>
      <c r="AV203">
        <v>1176</v>
      </c>
      <c r="AW203">
        <v>1078</v>
      </c>
      <c r="AX203">
        <v>522.66666666666663</v>
      </c>
      <c r="AY203">
        <v>294</v>
      </c>
      <c r="AZ203">
        <v>0</v>
      </c>
      <c r="BA203">
        <v>0</v>
      </c>
      <c r="BB203">
        <v>490</v>
      </c>
      <c r="BC203">
        <v>509.6</v>
      </c>
      <c r="BD203">
        <v>490</v>
      </c>
      <c r="BE203">
        <v>457.33333333333331</v>
      </c>
      <c r="BF203">
        <v>413.77777777777777</v>
      </c>
      <c r="BG203">
        <v>392</v>
      </c>
      <c r="BH203">
        <v>294</v>
      </c>
      <c r="BI203">
        <v>0</v>
      </c>
      <c r="BJ203">
        <v>0</v>
      </c>
      <c r="BK203">
        <v>392</v>
      </c>
      <c r="BL203">
        <v>392</v>
      </c>
      <c r="BM203">
        <v>392</v>
      </c>
      <c r="BN203">
        <v>392</v>
      </c>
      <c r="BO203">
        <v>294</v>
      </c>
      <c r="BP203">
        <v>245</v>
      </c>
      <c r="BQ203">
        <f>(I203+J203+N203+O203)/4</f>
        <v>13.25</v>
      </c>
      <c r="BR203">
        <f>(K203+L203+M203)/3</f>
        <v>10.844444444444443</v>
      </c>
      <c r="BS203">
        <f>BQ203/BR203</f>
        <v>1.2218237704918034</v>
      </c>
      <c r="BT203">
        <f>AQ203/I203</f>
        <v>98</v>
      </c>
      <c r="BU203" t="str">
        <f>IF(OR(A203=2, A203=12), "Central", IF(A203=3, "Semi-Central", "Periférica"))</f>
        <v>Semi-Central</v>
      </c>
    </row>
    <row r="204" spans="1:73" x14ac:dyDescent="0.3">
      <c r="A204" s="1">
        <v>8</v>
      </c>
      <c r="B204" s="1">
        <v>829</v>
      </c>
      <c r="C204" s="1" t="s">
        <v>161</v>
      </c>
      <c r="D204" t="s">
        <v>5</v>
      </c>
      <c r="F204">
        <v>0</v>
      </c>
      <c r="G204">
        <v>0.44444444444444442</v>
      </c>
      <c r="H204">
        <v>6</v>
      </c>
      <c r="I204">
        <v>7.333333333333333</v>
      </c>
      <c r="J204">
        <v>5.333333333333333</v>
      </c>
      <c r="K204">
        <v>4.666666666666667</v>
      </c>
      <c r="L204">
        <v>4.666666666666667</v>
      </c>
      <c r="M204">
        <v>5.2</v>
      </c>
      <c r="N204">
        <v>6</v>
      </c>
      <c r="O204">
        <v>5</v>
      </c>
      <c r="P204">
        <v>4.666666666666667</v>
      </c>
      <c r="Q204">
        <v>1.5</v>
      </c>
      <c r="R204">
        <v>0</v>
      </c>
      <c r="S204">
        <v>0.22222222222222221</v>
      </c>
      <c r="T204">
        <v>3</v>
      </c>
      <c r="U204">
        <v>5.6</v>
      </c>
      <c r="V204">
        <v>5.333333333333333</v>
      </c>
      <c r="W204">
        <v>4.666666666666667</v>
      </c>
      <c r="X204">
        <v>3.1111111111111112</v>
      </c>
      <c r="Y204">
        <v>2.8</v>
      </c>
      <c r="Z204">
        <v>1</v>
      </c>
      <c r="AA204">
        <v>0</v>
      </c>
      <c r="AB204">
        <v>0.22222222222222221</v>
      </c>
      <c r="AC204">
        <v>3</v>
      </c>
      <c r="AD204">
        <v>4.3636363636363633</v>
      </c>
      <c r="AE204">
        <v>4.2</v>
      </c>
      <c r="AF204">
        <v>3</v>
      </c>
      <c r="AG204">
        <v>3</v>
      </c>
      <c r="AH204">
        <v>2.5</v>
      </c>
      <c r="AI204" s="1">
        <v>8</v>
      </c>
      <c r="AJ204" s="1">
        <v>829</v>
      </c>
      <c r="AK204" s="1" t="s">
        <v>161</v>
      </c>
      <c r="AL204" t="s">
        <v>5</v>
      </c>
      <c r="AN204">
        <v>0</v>
      </c>
      <c r="AO204">
        <v>40</v>
      </c>
      <c r="AP204">
        <v>540</v>
      </c>
      <c r="AQ204">
        <v>660</v>
      </c>
      <c r="AR204">
        <v>480</v>
      </c>
      <c r="AS204">
        <v>420</v>
      </c>
      <c r="AT204">
        <v>420</v>
      </c>
      <c r="AU204">
        <v>468</v>
      </c>
      <c r="AV204">
        <v>540</v>
      </c>
      <c r="AW204">
        <v>450</v>
      </c>
      <c r="AX204">
        <v>420</v>
      </c>
      <c r="AY204">
        <v>135</v>
      </c>
      <c r="AZ204">
        <v>0</v>
      </c>
      <c r="BA204">
        <v>20</v>
      </c>
      <c r="BB204">
        <v>270</v>
      </c>
      <c r="BC204">
        <v>504</v>
      </c>
      <c r="BD204">
        <v>480</v>
      </c>
      <c r="BE204">
        <v>420</v>
      </c>
      <c r="BF204">
        <v>280</v>
      </c>
      <c r="BG204">
        <v>252</v>
      </c>
      <c r="BH204">
        <v>90</v>
      </c>
      <c r="BI204">
        <v>0</v>
      </c>
      <c r="BJ204">
        <v>20</v>
      </c>
      <c r="BK204">
        <v>270</v>
      </c>
      <c r="BL204">
        <v>392.72727272727269</v>
      </c>
      <c r="BM204">
        <v>378</v>
      </c>
      <c r="BN204">
        <v>270</v>
      </c>
      <c r="BO204">
        <v>270</v>
      </c>
      <c r="BP204">
        <v>225</v>
      </c>
      <c r="BQ204">
        <f>(I204+J204+N204+O204)/4</f>
        <v>5.9166666666666661</v>
      </c>
      <c r="BR204">
        <f>(K204+L204+M204)/3</f>
        <v>4.844444444444445</v>
      </c>
      <c r="BS204">
        <f>BQ204/BR204</f>
        <v>1.2213302752293576</v>
      </c>
      <c r="BT204">
        <f>AQ204/I204</f>
        <v>90</v>
      </c>
      <c r="BU204" t="str">
        <f>IF(OR(A204=2, A204=12), "Central", IF(A204=3, "Semi-Central", "Periférica"))</f>
        <v>Periférica</v>
      </c>
    </row>
    <row r="205" spans="1:73" x14ac:dyDescent="0.3">
      <c r="A205" s="1">
        <v>4</v>
      </c>
      <c r="B205" s="1" t="s">
        <v>361</v>
      </c>
      <c r="C205" s="1" t="s">
        <v>360</v>
      </c>
      <c r="D205" t="s">
        <v>5</v>
      </c>
      <c r="E205" t="s">
        <v>0</v>
      </c>
      <c r="F205">
        <v>0</v>
      </c>
      <c r="G205">
        <v>0</v>
      </c>
      <c r="H205">
        <v>4</v>
      </c>
      <c r="I205">
        <v>12</v>
      </c>
      <c r="J205">
        <v>11.333333333333334</v>
      </c>
      <c r="K205">
        <v>9.3333333333333339</v>
      </c>
      <c r="L205">
        <v>9.3333333333333339</v>
      </c>
      <c r="M205">
        <v>9.1999999999999993</v>
      </c>
      <c r="N205">
        <v>10</v>
      </c>
      <c r="O205">
        <v>12</v>
      </c>
      <c r="P205">
        <v>8</v>
      </c>
      <c r="Q205">
        <v>5.5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s="1">
        <v>4</v>
      </c>
      <c r="AJ205" s="1" t="s">
        <v>361</v>
      </c>
      <c r="AK205" s="1" t="s">
        <v>360</v>
      </c>
      <c r="AL205" t="s">
        <v>5</v>
      </c>
      <c r="AM205" t="s">
        <v>0</v>
      </c>
      <c r="AN205">
        <v>0</v>
      </c>
      <c r="AO205">
        <v>0</v>
      </c>
      <c r="AP205">
        <v>364</v>
      </c>
      <c r="AQ205">
        <v>1092</v>
      </c>
      <c r="AR205">
        <v>1031.3333333333333</v>
      </c>
      <c r="AS205">
        <v>849.33333333333337</v>
      </c>
      <c r="AT205">
        <v>849.33333333333337</v>
      </c>
      <c r="AU205">
        <v>837.2</v>
      </c>
      <c r="AV205">
        <v>910</v>
      </c>
      <c r="AW205">
        <v>1092</v>
      </c>
      <c r="AX205">
        <v>728</v>
      </c>
      <c r="AY205">
        <v>500.5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f>(I205+J205+N205+O205)/4</f>
        <v>11.333333333333334</v>
      </c>
      <c r="BR205">
        <f>(K205+L205+M205)/3</f>
        <v>9.2888888888888896</v>
      </c>
      <c r="BS205">
        <f>BQ205/BR205</f>
        <v>1.2200956937799043</v>
      </c>
      <c r="BT205">
        <f>AQ205/I205</f>
        <v>91</v>
      </c>
      <c r="BU205" t="str">
        <f>IF(OR(A205=2, A205=12), "Central", IF(A205=3, "Semi-Central", "Periférica"))</f>
        <v>Periférica</v>
      </c>
    </row>
    <row r="206" spans="1:73" x14ac:dyDescent="0.3">
      <c r="A206" s="1">
        <v>4</v>
      </c>
      <c r="B206" s="1" t="s">
        <v>361</v>
      </c>
      <c r="C206" s="1" t="s">
        <v>360</v>
      </c>
      <c r="D206" t="s">
        <v>1</v>
      </c>
      <c r="E206" t="s">
        <v>0</v>
      </c>
      <c r="F206">
        <v>0</v>
      </c>
      <c r="G206">
        <v>0</v>
      </c>
      <c r="H206">
        <v>12</v>
      </c>
      <c r="I206">
        <v>12</v>
      </c>
      <c r="J206">
        <v>11.333333333333334</v>
      </c>
      <c r="K206">
        <v>9.3333333333333339</v>
      </c>
      <c r="L206">
        <v>9.3333333333333339</v>
      </c>
      <c r="M206">
        <v>9.1999999999999993</v>
      </c>
      <c r="N206">
        <v>10</v>
      </c>
      <c r="O206">
        <v>12</v>
      </c>
      <c r="P206">
        <v>8</v>
      </c>
      <c r="Q206">
        <v>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s="1">
        <v>4</v>
      </c>
      <c r="AJ206" s="1" t="s">
        <v>361</v>
      </c>
      <c r="AK206" s="1" t="s">
        <v>360</v>
      </c>
      <c r="AL206" t="s">
        <v>1</v>
      </c>
      <c r="AM206" t="s">
        <v>0</v>
      </c>
      <c r="AN206">
        <v>0</v>
      </c>
      <c r="AO206">
        <v>0</v>
      </c>
      <c r="AP206">
        <v>1092</v>
      </c>
      <c r="AQ206">
        <v>1092</v>
      </c>
      <c r="AR206">
        <v>1031.3333333333333</v>
      </c>
      <c r="AS206">
        <v>849.33333333333337</v>
      </c>
      <c r="AT206">
        <v>849.33333333333337</v>
      </c>
      <c r="AU206">
        <v>837.2</v>
      </c>
      <c r="AV206">
        <v>910</v>
      </c>
      <c r="AW206">
        <v>1092</v>
      </c>
      <c r="AX206">
        <v>728</v>
      </c>
      <c r="AY206">
        <v>273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f>(I206+J206+N206+O206)/4</f>
        <v>11.333333333333334</v>
      </c>
      <c r="BR206">
        <f>(K206+L206+M206)/3</f>
        <v>9.2888888888888896</v>
      </c>
      <c r="BS206">
        <f>BQ206/BR206</f>
        <v>1.2200956937799043</v>
      </c>
      <c r="BT206">
        <f>AQ206/I206</f>
        <v>91</v>
      </c>
      <c r="BU206" t="str">
        <f>IF(OR(A206=2, A206=12), "Central", IF(A206=3, "Semi-Central", "Periférica"))</f>
        <v>Periférica</v>
      </c>
    </row>
    <row r="207" spans="1:73" x14ac:dyDescent="0.3">
      <c r="A207" s="1">
        <v>19</v>
      </c>
      <c r="B207" s="1">
        <v>1926</v>
      </c>
      <c r="C207" s="1">
        <v>226</v>
      </c>
      <c r="D207" t="s">
        <v>5</v>
      </c>
      <c r="E207" t="s">
        <v>0</v>
      </c>
      <c r="F207">
        <v>2</v>
      </c>
      <c r="G207">
        <v>0</v>
      </c>
      <c r="H207">
        <v>4</v>
      </c>
      <c r="I207">
        <v>6.666666666666667</v>
      </c>
      <c r="J207">
        <v>6</v>
      </c>
      <c r="K207">
        <v>5.666666666666667</v>
      </c>
      <c r="L207">
        <v>6.666666666666667</v>
      </c>
      <c r="M207">
        <v>5.6</v>
      </c>
      <c r="N207">
        <v>9</v>
      </c>
      <c r="O207">
        <v>7.5</v>
      </c>
      <c r="P207">
        <v>5.333333333333333</v>
      </c>
      <c r="Q207">
        <v>3.5</v>
      </c>
      <c r="R207">
        <v>2</v>
      </c>
      <c r="S207">
        <v>0</v>
      </c>
      <c r="T207">
        <v>3</v>
      </c>
      <c r="U207">
        <v>4.4000000000000004</v>
      </c>
      <c r="V207">
        <v>4.666666666666667</v>
      </c>
      <c r="W207">
        <v>5</v>
      </c>
      <c r="X207">
        <v>4.8888888888888893</v>
      </c>
      <c r="Y207">
        <v>4.4000000000000004</v>
      </c>
      <c r="Z207">
        <v>3.5</v>
      </c>
      <c r="AA207">
        <v>2</v>
      </c>
      <c r="AB207">
        <v>0</v>
      </c>
      <c r="AC207">
        <v>3.5</v>
      </c>
      <c r="AD207">
        <v>4.5454545454545459</v>
      </c>
      <c r="AE207">
        <v>4.8</v>
      </c>
      <c r="AF207">
        <v>5</v>
      </c>
      <c r="AG207">
        <v>5</v>
      </c>
      <c r="AH207">
        <v>3</v>
      </c>
      <c r="AI207" s="1">
        <v>19</v>
      </c>
      <c r="AJ207" s="1">
        <v>1926</v>
      </c>
      <c r="AK207" s="1">
        <v>226</v>
      </c>
      <c r="AL207" t="s">
        <v>5</v>
      </c>
      <c r="AM207" t="s">
        <v>0</v>
      </c>
      <c r="AN207">
        <v>180</v>
      </c>
      <c r="AO207">
        <v>0</v>
      </c>
      <c r="AP207">
        <v>360</v>
      </c>
      <c r="AQ207">
        <v>600</v>
      </c>
      <c r="AR207">
        <v>540</v>
      </c>
      <c r="AS207">
        <v>510</v>
      </c>
      <c r="AT207">
        <v>600</v>
      </c>
      <c r="AU207">
        <v>504</v>
      </c>
      <c r="AV207">
        <v>810</v>
      </c>
      <c r="AW207">
        <v>675</v>
      </c>
      <c r="AX207">
        <v>480</v>
      </c>
      <c r="AY207">
        <v>315</v>
      </c>
      <c r="AZ207">
        <v>180</v>
      </c>
      <c r="BA207">
        <v>0</v>
      </c>
      <c r="BB207">
        <v>270</v>
      </c>
      <c r="BC207">
        <v>396</v>
      </c>
      <c r="BD207">
        <v>420</v>
      </c>
      <c r="BE207">
        <v>450</v>
      </c>
      <c r="BF207">
        <v>440</v>
      </c>
      <c r="BG207">
        <v>396</v>
      </c>
      <c r="BH207">
        <v>315</v>
      </c>
      <c r="BI207">
        <v>180</v>
      </c>
      <c r="BJ207">
        <v>0</v>
      </c>
      <c r="BK207">
        <v>315</v>
      </c>
      <c r="BL207">
        <v>409.09090909090912</v>
      </c>
      <c r="BM207">
        <v>432</v>
      </c>
      <c r="BN207">
        <v>450</v>
      </c>
      <c r="BO207">
        <v>450</v>
      </c>
      <c r="BP207">
        <v>270</v>
      </c>
      <c r="BQ207">
        <f>(I207+J207+N207+O207)/4</f>
        <v>7.291666666666667</v>
      </c>
      <c r="BR207">
        <f>(K207+L207+M207)/3</f>
        <v>5.9777777777777779</v>
      </c>
      <c r="BS207">
        <f>BQ207/BR207</f>
        <v>1.2197955390334574</v>
      </c>
      <c r="BT207">
        <f>AQ207/I207</f>
        <v>90</v>
      </c>
      <c r="BU207" t="str">
        <f>IF(OR(A207=2, A207=12), "Central", IF(A207=3, "Semi-Central", "Periférica"))</f>
        <v>Periférica</v>
      </c>
    </row>
    <row r="208" spans="1:73" x14ac:dyDescent="0.3">
      <c r="A208" s="1">
        <v>8</v>
      </c>
      <c r="B208" s="1">
        <v>807</v>
      </c>
      <c r="C208" s="1" t="s">
        <v>153</v>
      </c>
      <c r="D208" t="s">
        <v>5</v>
      </c>
      <c r="F208">
        <v>0</v>
      </c>
      <c r="G208">
        <v>0</v>
      </c>
      <c r="H208">
        <v>5</v>
      </c>
      <c r="I208">
        <v>7.333333333333333</v>
      </c>
      <c r="J208">
        <v>5.333333333333333</v>
      </c>
      <c r="K208">
        <v>5</v>
      </c>
      <c r="L208">
        <v>4.666666666666667</v>
      </c>
      <c r="M208">
        <v>5.2</v>
      </c>
      <c r="N208">
        <v>6</v>
      </c>
      <c r="O208">
        <v>5.5</v>
      </c>
      <c r="P208">
        <v>2.666666666666667</v>
      </c>
      <c r="Q208">
        <v>1.5</v>
      </c>
      <c r="R208">
        <v>0</v>
      </c>
      <c r="S208">
        <v>0</v>
      </c>
      <c r="T208">
        <v>3</v>
      </c>
      <c r="U208">
        <v>3.6</v>
      </c>
      <c r="V208">
        <v>4</v>
      </c>
      <c r="W208">
        <v>4</v>
      </c>
      <c r="X208">
        <v>3.5555555555555549</v>
      </c>
      <c r="Y208">
        <v>2.8</v>
      </c>
      <c r="Z208">
        <v>1.5</v>
      </c>
      <c r="AA208">
        <v>0</v>
      </c>
      <c r="AB208">
        <v>0</v>
      </c>
      <c r="AC208">
        <v>3</v>
      </c>
      <c r="AD208">
        <v>3.0909090909090908</v>
      </c>
      <c r="AE208">
        <v>3</v>
      </c>
      <c r="AF208">
        <v>3</v>
      </c>
      <c r="AG208">
        <v>3</v>
      </c>
      <c r="AH208">
        <v>2</v>
      </c>
      <c r="AI208" s="1">
        <v>8</v>
      </c>
      <c r="AJ208" s="1">
        <v>807</v>
      </c>
      <c r="AK208" s="1" t="s">
        <v>153</v>
      </c>
      <c r="AL208" t="s">
        <v>5</v>
      </c>
      <c r="AN208">
        <v>0</v>
      </c>
      <c r="AO208">
        <v>0</v>
      </c>
      <c r="AP208">
        <v>450</v>
      </c>
      <c r="AQ208">
        <v>660</v>
      </c>
      <c r="AR208">
        <v>480</v>
      </c>
      <c r="AS208">
        <v>450</v>
      </c>
      <c r="AT208">
        <v>420</v>
      </c>
      <c r="AU208">
        <v>468</v>
      </c>
      <c r="AV208">
        <v>540</v>
      </c>
      <c r="AW208">
        <v>495</v>
      </c>
      <c r="AX208">
        <v>240</v>
      </c>
      <c r="AY208">
        <v>135</v>
      </c>
      <c r="AZ208">
        <v>0</v>
      </c>
      <c r="BA208">
        <v>0</v>
      </c>
      <c r="BB208">
        <v>270</v>
      </c>
      <c r="BC208">
        <v>324</v>
      </c>
      <c r="BD208">
        <v>360</v>
      </c>
      <c r="BE208">
        <v>360</v>
      </c>
      <c r="BF208">
        <v>320</v>
      </c>
      <c r="BG208">
        <v>252</v>
      </c>
      <c r="BH208">
        <v>135</v>
      </c>
      <c r="BI208">
        <v>0</v>
      </c>
      <c r="BJ208">
        <v>0</v>
      </c>
      <c r="BK208">
        <v>270</v>
      </c>
      <c r="BL208">
        <v>278.18181818181819</v>
      </c>
      <c r="BM208">
        <v>270</v>
      </c>
      <c r="BN208">
        <v>270</v>
      </c>
      <c r="BO208">
        <v>270</v>
      </c>
      <c r="BP208">
        <v>180</v>
      </c>
      <c r="BQ208">
        <f>(I208+J208+N208+O208)/4</f>
        <v>6.0416666666666661</v>
      </c>
      <c r="BR208">
        <f>(K208+L208+M208)/3</f>
        <v>4.9555555555555557</v>
      </c>
      <c r="BS208">
        <f>BQ208/BR208</f>
        <v>1.2191704035874438</v>
      </c>
      <c r="BT208">
        <f>AQ208/I208</f>
        <v>90</v>
      </c>
      <c r="BU208" t="str">
        <f>IF(OR(A208=2, A208=12), "Central", IF(A208=3, "Semi-Central", "Periférica"))</f>
        <v>Periférica</v>
      </c>
    </row>
    <row r="209" spans="1:73" x14ac:dyDescent="0.3">
      <c r="A209" s="1">
        <v>4</v>
      </c>
      <c r="B209" s="1">
        <v>480</v>
      </c>
      <c r="C209" s="1">
        <v>228</v>
      </c>
      <c r="D209" t="s">
        <v>1</v>
      </c>
      <c r="E209" t="s">
        <v>0</v>
      </c>
      <c r="F209">
        <v>0</v>
      </c>
      <c r="G209">
        <v>0</v>
      </c>
      <c r="H209">
        <v>13</v>
      </c>
      <c r="I209">
        <v>12.666666666666666</v>
      </c>
      <c r="J209">
        <v>9.3333333333333339</v>
      </c>
      <c r="K209">
        <v>7.333333333333333</v>
      </c>
      <c r="L209">
        <v>8.6666666666666661</v>
      </c>
      <c r="M209">
        <v>8</v>
      </c>
      <c r="N209">
        <v>8</v>
      </c>
      <c r="O209">
        <v>9</v>
      </c>
      <c r="P209">
        <v>6.666666666666667</v>
      </c>
      <c r="Q209">
        <v>3.5</v>
      </c>
      <c r="R209">
        <v>0</v>
      </c>
      <c r="S209">
        <v>0</v>
      </c>
      <c r="T209">
        <v>5</v>
      </c>
      <c r="U209">
        <v>7.2</v>
      </c>
      <c r="V209">
        <v>5.666666666666667</v>
      </c>
      <c r="W209">
        <v>6.333333333333333</v>
      </c>
      <c r="X209">
        <v>6</v>
      </c>
      <c r="Y209">
        <v>5.2</v>
      </c>
      <c r="Z209">
        <v>2.5</v>
      </c>
      <c r="AA209">
        <v>0</v>
      </c>
      <c r="AB209">
        <v>0</v>
      </c>
      <c r="AC209">
        <v>5</v>
      </c>
      <c r="AD209">
        <v>5.0909090909090908</v>
      </c>
      <c r="AE209">
        <v>5</v>
      </c>
      <c r="AF209">
        <v>4.666666666666667</v>
      </c>
      <c r="AG209">
        <v>4</v>
      </c>
      <c r="AH209">
        <v>2</v>
      </c>
      <c r="AI209" s="1">
        <v>4</v>
      </c>
      <c r="AJ209" s="1">
        <v>480</v>
      </c>
      <c r="AK209" s="1">
        <v>228</v>
      </c>
      <c r="AL209" t="s">
        <v>1</v>
      </c>
      <c r="AM209" t="s">
        <v>0</v>
      </c>
      <c r="AN209">
        <v>0</v>
      </c>
      <c r="AO209">
        <v>0</v>
      </c>
      <c r="AP209">
        <v>1183</v>
      </c>
      <c r="AQ209">
        <v>1152.6666666666667</v>
      </c>
      <c r="AR209">
        <v>849.33333333333337</v>
      </c>
      <c r="AS209">
        <v>667.33333333333337</v>
      </c>
      <c r="AT209">
        <v>788.66666666666663</v>
      </c>
      <c r="AU209">
        <v>728</v>
      </c>
      <c r="AV209">
        <v>728</v>
      </c>
      <c r="AW209">
        <v>819</v>
      </c>
      <c r="AX209">
        <v>606.66666666666663</v>
      </c>
      <c r="AY209">
        <v>318.5</v>
      </c>
      <c r="AZ209">
        <v>0</v>
      </c>
      <c r="BA209">
        <v>0</v>
      </c>
      <c r="BB209">
        <v>455</v>
      </c>
      <c r="BC209">
        <v>655.20000000000005</v>
      </c>
      <c r="BD209">
        <v>515.66666666666663</v>
      </c>
      <c r="BE209">
        <v>576.33333333333337</v>
      </c>
      <c r="BF209">
        <v>546</v>
      </c>
      <c r="BG209">
        <v>473.2</v>
      </c>
      <c r="BH209">
        <v>227.5</v>
      </c>
      <c r="BI209">
        <v>0</v>
      </c>
      <c r="BJ209">
        <v>0</v>
      </c>
      <c r="BK209">
        <v>455</v>
      </c>
      <c r="BL209">
        <v>463.27272727272725</v>
      </c>
      <c r="BM209">
        <v>455</v>
      </c>
      <c r="BN209">
        <v>424.66666666666669</v>
      </c>
      <c r="BO209">
        <v>364</v>
      </c>
      <c r="BP209">
        <v>182</v>
      </c>
      <c r="BQ209">
        <f>(I209+J209+N209+O209)/4</f>
        <v>9.75</v>
      </c>
      <c r="BR209">
        <f>(K209+L209+M209)/3</f>
        <v>8</v>
      </c>
      <c r="BS209">
        <f>BQ209/BR209</f>
        <v>1.21875</v>
      </c>
      <c r="BT209">
        <f>AQ209/I209</f>
        <v>91.000000000000014</v>
      </c>
      <c r="BU209" t="str">
        <f>IF(OR(A209=2, A209=12), "Central", IF(A209=3, "Semi-Central", "Periférica"))</f>
        <v>Periférica</v>
      </c>
    </row>
    <row r="210" spans="1:73" x14ac:dyDescent="0.3">
      <c r="A210" s="1">
        <v>14</v>
      </c>
      <c r="B210" s="1">
        <v>1456</v>
      </c>
      <c r="C210" s="1" t="s">
        <v>56</v>
      </c>
      <c r="D210" t="s">
        <v>5</v>
      </c>
      <c r="F210">
        <v>0</v>
      </c>
      <c r="G210">
        <v>0.22222222222222221</v>
      </c>
      <c r="H210">
        <v>5</v>
      </c>
      <c r="I210">
        <v>5.333333333333333</v>
      </c>
      <c r="J210">
        <v>4.666666666666667</v>
      </c>
      <c r="K210">
        <v>4</v>
      </c>
      <c r="L210">
        <v>4</v>
      </c>
      <c r="M210">
        <v>4</v>
      </c>
      <c r="N210">
        <v>5</v>
      </c>
      <c r="O210">
        <v>4.5</v>
      </c>
      <c r="P210">
        <v>3.333333333333333</v>
      </c>
      <c r="Q210">
        <v>1.5</v>
      </c>
      <c r="R210">
        <v>0</v>
      </c>
      <c r="S210">
        <v>0</v>
      </c>
      <c r="T210">
        <v>3</v>
      </c>
      <c r="U210">
        <v>3.6</v>
      </c>
      <c r="V210">
        <v>4</v>
      </c>
      <c r="W210">
        <v>4</v>
      </c>
      <c r="X210">
        <v>3.7777777777777781</v>
      </c>
      <c r="Y210">
        <v>3.2</v>
      </c>
      <c r="Z210">
        <v>1.5</v>
      </c>
      <c r="AA210">
        <v>0</v>
      </c>
      <c r="AB210">
        <v>0</v>
      </c>
      <c r="AC210">
        <v>1.5</v>
      </c>
      <c r="AD210">
        <v>3.0909090909090908</v>
      </c>
      <c r="AE210">
        <v>3</v>
      </c>
      <c r="AF210">
        <v>3</v>
      </c>
      <c r="AG210">
        <v>3</v>
      </c>
      <c r="AH210">
        <v>1.5</v>
      </c>
      <c r="AI210" s="1">
        <v>14</v>
      </c>
      <c r="AJ210" s="1">
        <v>1456</v>
      </c>
      <c r="AK210" s="1" t="s">
        <v>56</v>
      </c>
      <c r="AL210" t="s">
        <v>5</v>
      </c>
      <c r="AN210">
        <v>0</v>
      </c>
      <c r="AO210">
        <v>20</v>
      </c>
      <c r="AP210">
        <v>450</v>
      </c>
      <c r="AQ210">
        <v>480</v>
      </c>
      <c r="AR210">
        <v>420</v>
      </c>
      <c r="AS210">
        <v>360</v>
      </c>
      <c r="AT210">
        <v>360</v>
      </c>
      <c r="AU210">
        <v>360</v>
      </c>
      <c r="AV210">
        <v>450</v>
      </c>
      <c r="AW210">
        <v>405</v>
      </c>
      <c r="AX210">
        <v>300</v>
      </c>
      <c r="AY210">
        <v>135</v>
      </c>
      <c r="AZ210">
        <v>0</v>
      </c>
      <c r="BA210">
        <v>0</v>
      </c>
      <c r="BB210">
        <v>270</v>
      </c>
      <c r="BC210">
        <v>324</v>
      </c>
      <c r="BD210">
        <v>360</v>
      </c>
      <c r="BE210">
        <v>360</v>
      </c>
      <c r="BF210">
        <v>340</v>
      </c>
      <c r="BG210">
        <v>288</v>
      </c>
      <c r="BH210">
        <v>135</v>
      </c>
      <c r="BI210">
        <v>0</v>
      </c>
      <c r="BJ210">
        <v>0</v>
      </c>
      <c r="BK210">
        <v>135</v>
      </c>
      <c r="BL210">
        <v>278.18181818181819</v>
      </c>
      <c r="BM210">
        <v>270</v>
      </c>
      <c r="BN210">
        <v>270</v>
      </c>
      <c r="BO210">
        <v>270</v>
      </c>
      <c r="BP210">
        <v>135</v>
      </c>
      <c r="BQ210">
        <f>(I210+J210+N210+O210)/4</f>
        <v>4.875</v>
      </c>
      <c r="BR210">
        <f>(K210+L210+M210)/3</f>
        <v>4</v>
      </c>
      <c r="BS210">
        <f>BQ210/BR210</f>
        <v>1.21875</v>
      </c>
      <c r="BT210">
        <f>AQ210/I210</f>
        <v>90</v>
      </c>
      <c r="BU210" t="str">
        <f>IF(OR(A210=2, A210=12), "Central", IF(A210=3, "Semi-Central", "Periférica"))</f>
        <v>Periférica</v>
      </c>
    </row>
    <row r="211" spans="1:73" x14ac:dyDescent="0.3">
      <c r="A211" s="1">
        <v>14</v>
      </c>
      <c r="B211" s="1">
        <v>1408</v>
      </c>
      <c r="C211" s="1">
        <v>108</v>
      </c>
      <c r="D211" t="s">
        <v>1</v>
      </c>
      <c r="F211">
        <v>0</v>
      </c>
      <c r="G211">
        <v>0</v>
      </c>
      <c r="H211">
        <v>5</v>
      </c>
      <c r="I211">
        <v>8</v>
      </c>
      <c r="J211">
        <v>6.666666666666667</v>
      </c>
      <c r="K211">
        <v>5</v>
      </c>
      <c r="L211">
        <v>5.333333333333333</v>
      </c>
      <c r="M211">
        <v>6.4</v>
      </c>
      <c r="N211">
        <v>7.5</v>
      </c>
      <c r="O211">
        <v>5</v>
      </c>
      <c r="P211">
        <v>4</v>
      </c>
      <c r="Q211">
        <v>3.5</v>
      </c>
      <c r="R211">
        <v>0</v>
      </c>
      <c r="S211">
        <v>0</v>
      </c>
      <c r="T211">
        <v>4</v>
      </c>
      <c r="U211">
        <v>4.8</v>
      </c>
      <c r="V211">
        <v>5</v>
      </c>
      <c r="W211">
        <v>4.666666666666667</v>
      </c>
      <c r="X211">
        <v>4.8888888888888893</v>
      </c>
      <c r="Y211">
        <v>4</v>
      </c>
      <c r="Z211">
        <v>3.5</v>
      </c>
      <c r="AA211">
        <v>0</v>
      </c>
      <c r="AB211">
        <v>0</v>
      </c>
      <c r="AC211">
        <v>3</v>
      </c>
      <c r="AD211">
        <v>4</v>
      </c>
      <c r="AE211">
        <v>4</v>
      </c>
      <c r="AF211">
        <v>4</v>
      </c>
      <c r="AG211">
        <v>3</v>
      </c>
      <c r="AH211">
        <v>2.5</v>
      </c>
      <c r="AI211" s="1">
        <v>14</v>
      </c>
      <c r="AJ211" s="1">
        <v>1408</v>
      </c>
      <c r="AK211" s="1">
        <v>108</v>
      </c>
      <c r="AL211" t="s">
        <v>1</v>
      </c>
      <c r="AN211">
        <v>0</v>
      </c>
      <c r="AO211">
        <v>0</v>
      </c>
      <c r="AP211">
        <v>450</v>
      </c>
      <c r="AQ211">
        <v>720</v>
      </c>
      <c r="AR211">
        <v>600</v>
      </c>
      <c r="AS211">
        <v>450</v>
      </c>
      <c r="AT211">
        <v>480</v>
      </c>
      <c r="AU211">
        <v>576</v>
      </c>
      <c r="AV211">
        <v>675</v>
      </c>
      <c r="AW211">
        <v>450</v>
      </c>
      <c r="AX211">
        <v>360</v>
      </c>
      <c r="AY211">
        <v>315</v>
      </c>
      <c r="AZ211">
        <v>0</v>
      </c>
      <c r="BA211">
        <v>0</v>
      </c>
      <c r="BB211">
        <v>360</v>
      </c>
      <c r="BC211">
        <v>432</v>
      </c>
      <c r="BD211">
        <v>450</v>
      </c>
      <c r="BE211">
        <v>420</v>
      </c>
      <c r="BF211">
        <v>440</v>
      </c>
      <c r="BG211">
        <v>360</v>
      </c>
      <c r="BH211">
        <v>315</v>
      </c>
      <c r="BI211">
        <v>0</v>
      </c>
      <c r="BJ211">
        <v>0</v>
      </c>
      <c r="BK211">
        <v>270</v>
      </c>
      <c r="BL211">
        <v>360</v>
      </c>
      <c r="BM211">
        <v>360</v>
      </c>
      <c r="BN211">
        <v>360</v>
      </c>
      <c r="BO211">
        <v>270</v>
      </c>
      <c r="BP211">
        <v>225</v>
      </c>
      <c r="BQ211">
        <f>(I211+J211+N211+O211)/4</f>
        <v>6.791666666666667</v>
      </c>
      <c r="BR211">
        <f>(K211+L211+M211)/3</f>
        <v>5.5777777777777784</v>
      </c>
      <c r="BS211">
        <f>BQ211/BR211</f>
        <v>1.2176294820717131</v>
      </c>
      <c r="BT211">
        <f>AQ211/I211</f>
        <v>90</v>
      </c>
      <c r="BU211" t="str">
        <f>IF(OR(A211=2, A211=12), "Central", IF(A211=3, "Semi-Central", "Periférica"))</f>
        <v>Periférica</v>
      </c>
    </row>
    <row r="212" spans="1:73" x14ac:dyDescent="0.3">
      <c r="A212" s="1">
        <v>5</v>
      </c>
      <c r="B212" s="1" t="s">
        <v>320</v>
      </c>
      <c r="C212" s="1" t="s">
        <v>320</v>
      </c>
      <c r="D212" t="s">
        <v>5</v>
      </c>
      <c r="E212" t="s">
        <v>0</v>
      </c>
      <c r="F212">
        <v>0</v>
      </c>
      <c r="G212">
        <v>0</v>
      </c>
      <c r="H212">
        <v>7</v>
      </c>
      <c r="I212">
        <v>10.666666666666666</v>
      </c>
      <c r="J212">
        <v>5.333333333333333</v>
      </c>
      <c r="K212">
        <v>4.666666666666667</v>
      </c>
      <c r="L212">
        <v>6</v>
      </c>
      <c r="M212">
        <v>7.2</v>
      </c>
      <c r="N212">
        <v>7</v>
      </c>
      <c r="O212">
        <v>6</v>
      </c>
      <c r="P212">
        <v>4.666666666666667</v>
      </c>
      <c r="Q212">
        <v>3</v>
      </c>
      <c r="R212">
        <v>0</v>
      </c>
      <c r="S212">
        <v>0</v>
      </c>
      <c r="T212">
        <v>3</v>
      </c>
      <c r="U212">
        <v>4.4000000000000004</v>
      </c>
      <c r="V212">
        <v>4.333333333333333</v>
      </c>
      <c r="W212">
        <v>4</v>
      </c>
      <c r="X212">
        <v>4.666666666666667</v>
      </c>
      <c r="Y212">
        <v>4</v>
      </c>
      <c r="Z212">
        <v>3</v>
      </c>
      <c r="AA212">
        <v>0</v>
      </c>
      <c r="AB212">
        <v>0</v>
      </c>
      <c r="AC212">
        <v>3.5</v>
      </c>
      <c r="AD212">
        <v>4</v>
      </c>
      <c r="AE212">
        <v>4</v>
      </c>
      <c r="AF212">
        <v>3.6666666666666665</v>
      </c>
      <c r="AG212">
        <v>4</v>
      </c>
      <c r="AH212">
        <v>2</v>
      </c>
      <c r="AI212" s="1">
        <v>5</v>
      </c>
      <c r="AJ212" s="1" t="s">
        <v>320</v>
      </c>
      <c r="AK212" s="1" t="s">
        <v>320</v>
      </c>
      <c r="AL212" t="s">
        <v>5</v>
      </c>
      <c r="AM212" t="s">
        <v>0</v>
      </c>
      <c r="AN212">
        <v>0</v>
      </c>
      <c r="AO212">
        <v>0</v>
      </c>
      <c r="AP212">
        <v>567</v>
      </c>
      <c r="AQ212">
        <v>864</v>
      </c>
      <c r="AR212">
        <v>432</v>
      </c>
      <c r="AS212">
        <v>378</v>
      </c>
      <c r="AT212">
        <v>486</v>
      </c>
      <c r="AU212">
        <v>583.20000000000005</v>
      </c>
      <c r="AV212">
        <v>567</v>
      </c>
      <c r="AW212">
        <v>486</v>
      </c>
      <c r="AX212">
        <v>378</v>
      </c>
      <c r="AY212">
        <v>243</v>
      </c>
      <c r="AZ212">
        <v>0</v>
      </c>
      <c r="BA212">
        <v>0</v>
      </c>
      <c r="BB212">
        <v>243</v>
      </c>
      <c r="BC212">
        <v>356.4</v>
      </c>
      <c r="BD212">
        <v>351</v>
      </c>
      <c r="BE212">
        <v>324</v>
      </c>
      <c r="BF212">
        <v>378</v>
      </c>
      <c r="BG212">
        <v>324</v>
      </c>
      <c r="BH212">
        <v>243</v>
      </c>
      <c r="BI212">
        <v>0</v>
      </c>
      <c r="BJ212">
        <v>0</v>
      </c>
      <c r="BK212">
        <v>283.5</v>
      </c>
      <c r="BL212">
        <v>324</v>
      </c>
      <c r="BM212">
        <v>324</v>
      </c>
      <c r="BN212">
        <v>297</v>
      </c>
      <c r="BO212">
        <v>324</v>
      </c>
      <c r="BP212">
        <v>162</v>
      </c>
      <c r="BQ212">
        <f>(I212+J212+N212+O212)/4</f>
        <v>7.25</v>
      </c>
      <c r="BR212">
        <f>(K212+L212+M212)/3</f>
        <v>5.9555555555555557</v>
      </c>
      <c r="BS212">
        <f>BQ212/BR212</f>
        <v>1.2173507462686566</v>
      </c>
      <c r="BT212">
        <f>AQ212/I212</f>
        <v>81</v>
      </c>
      <c r="BU212" t="str">
        <f>IF(OR(A212=2, A212=12), "Central", IF(A212=3, "Semi-Central", "Periférica"))</f>
        <v>Periférica</v>
      </c>
    </row>
    <row r="213" spans="1:73" x14ac:dyDescent="0.3">
      <c r="A213" s="1">
        <v>14</v>
      </c>
      <c r="B213" s="1">
        <v>1420</v>
      </c>
      <c r="C213" s="1">
        <v>320</v>
      </c>
      <c r="D213" t="s">
        <v>1</v>
      </c>
      <c r="F213">
        <v>0</v>
      </c>
      <c r="G213">
        <v>0.22222222222222221</v>
      </c>
      <c r="H213">
        <v>5</v>
      </c>
      <c r="I213">
        <v>5.333333333333333</v>
      </c>
      <c r="J213">
        <v>4.666666666666667</v>
      </c>
      <c r="K213">
        <v>4.333333333333333</v>
      </c>
      <c r="L213">
        <v>4</v>
      </c>
      <c r="M213">
        <v>4</v>
      </c>
      <c r="N213">
        <v>5</v>
      </c>
      <c r="O213">
        <v>5</v>
      </c>
      <c r="P213">
        <v>4.666666666666667</v>
      </c>
      <c r="Q213">
        <v>2</v>
      </c>
      <c r="R213">
        <v>0</v>
      </c>
      <c r="S213">
        <v>0.22222222222222221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1.5</v>
      </c>
      <c r="AA213">
        <v>0</v>
      </c>
      <c r="AB213">
        <v>0</v>
      </c>
      <c r="AC213">
        <v>2</v>
      </c>
      <c r="AD213">
        <v>3.0909090909090908</v>
      </c>
      <c r="AE213">
        <v>3</v>
      </c>
      <c r="AF213">
        <v>3</v>
      </c>
      <c r="AG213">
        <v>3</v>
      </c>
      <c r="AH213">
        <v>1</v>
      </c>
      <c r="AI213" s="1">
        <v>14</v>
      </c>
      <c r="AJ213" s="1">
        <v>1420</v>
      </c>
      <c r="AK213" s="1">
        <v>320</v>
      </c>
      <c r="AL213" t="s">
        <v>1</v>
      </c>
      <c r="AN213">
        <v>0</v>
      </c>
      <c r="AO213">
        <v>13.33333333333333</v>
      </c>
      <c r="AP213">
        <v>300</v>
      </c>
      <c r="AQ213">
        <v>320</v>
      </c>
      <c r="AR213">
        <v>280</v>
      </c>
      <c r="AS213">
        <v>260</v>
      </c>
      <c r="AT213">
        <v>240</v>
      </c>
      <c r="AU213">
        <v>240</v>
      </c>
      <c r="AV213">
        <v>300</v>
      </c>
      <c r="AW213">
        <v>300</v>
      </c>
      <c r="AX213">
        <v>280</v>
      </c>
      <c r="AY213">
        <v>120</v>
      </c>
      <c r="AZ213">
        <v>0</v>
      </c>
      <c r="BA213">
        <v>13.33333333333333</v>
      </c>
      <c r="BB213">
        <v>240</v>
      </c>
      <c r="BC213">
        <v>240</v>
      </c>
      <c r="BD213">
        <v>240</v>
      </c>
      <c r="BE213">
        <v>240</v>
      </c>
      <c r="BF213">
        <v>240</v>
      </c>
      <c r="BG213">
        <v>240</v>
      </c>
      <c r="BH213">
        <v>90</v>
      </c>
      <c r="BI213">
        <v>0</v>
      </c>
      <c r="BJ213">
        <v>0</v>
      </c>
      <c r="BK213">
        <v>120</v>
      </c>
      <c r="BL213">
        <v>185.4545454545455</v>
      </c>
      <c r="BM213">
        <v>180</v>
      </c>
      <c r="BN213">
        <v>180</v>
      </c>
      <c r="BO213">
        <v>180</v>
      </c>
      <c r="BP213">
        <v>60</v>
      </c>
      <c r="BQ213">
        <f>(I213+J213+N213+O213)/4</f>
        <v>5</v>
      </c>
      <c r="BR213">
        <f>(K213+L213+M213)/3</f>
        <v>4.1111111111111107</v>
      </c>
      <c r="BS213">
        <f>BQ213/BR213</f>
        <v>1.2162162162162162</v>
      </c>
      <c r="BT213">
        <f>AQ213/I213</f>
        <v>60</v>
      </c>
      <c r="BU213" t="str">
        <f>IF(OR(A213=2, A213=12), "Central", IF(A213=3, "Semi-Central", "Periférica"))</f>
        <v>Periférica</v>
      </c>
    </row>
    <row r="214" spans="1:73" x14ac:dyDescent="0.3">
      <c r="A214" s="1">
        <v>16</v>
      </c>
      <c r="B214" s="1">
        <v>1633</v>
      </c>
      <c r="C214" s="1" t="s">
        <v>359</v>
      </c>
      <c r="D214" t="s">
        <v>1</v>
      </c>
      <c r="E214" t="s">
        <v>0</v>
      </c>
      <c r="F214">
        <v>2</v>
      </c>
      <c r="G214">
        <v>0.88888888888888884</v>
      </c>
      <c r="H214">
        <v>7</v>
      </c>
      <c r="I214">
        <v>7.333333333333333</v>
      </c>
      <c r="J214">
        <v>6</v>
      </c>
      <c r="K214">
        <v>5</v>
      </c>
      <c r="L214">
        <v>5.333333333333333</v>
      </c>
      <c r="M214">
        <v>5.6</v>
      </c>
      <c r="N214">
        <v>7</v>
      </c>
      <c r="O214">
        <v>5.5</v>
      </c>
      <c r="P214">
        <v>4.666666666666667</v>
      </c>
      <c r="Q214">
        <v>3.5</v>
      </c>
      <c r="R214">
        <v>2</v>
      </c>
      <c r="S214">
        <v>0.66666666666666663</v>
      </c>
      <c r="T214">
        <v>4</v>
      </c>
      <c r="U214">
        <v>4</v>
      </c>
      <c r="V214">
        <v>4.666666666666667</v>
      </c>
      <c r="W214">
        <v>4</v>
      </c>
      <c r="X214">
        <v>4</v>
      </c>
      <c r="Y214">
        <v>4</v>
      </c>
      <c r="Z214">
        <v>3</v>
      </c>
      <c r="AA214">
        <v>2</v>
      </c>
      <c r="AB214">
        <v>0.66666666666666663</v>
      </c>
      <c r="AC214">
        <v>4</v>
      </c>
      <c r="AD214">
        <v>4</v>
      </c>
      <c r="AE214">
        <v>4</v>
      </c>
      <c r="AF214">
        <v>4</v>
      </c>
      <c r="AG214">
        <v>4</v>
      </c>
      <c r="AH214">
        <v>2.5</v>
      </c>
      <c r="AI214" s="1">
        <v>16</v>
      </c>
      <c r="AJ214" s="1">
        <v>1633</v>
      </c>
      <c r="AK214" s="1" t="s">
        <v>359</v>
      </c>
      <c r="AL214" t="s">
        <v>1</v>
      </c>
      <c r="AM214" t="s">
        <v>0</v>
      </c>
      <c r="AN214">
        <v>180</v>
      </c>
      <c r="AO214">
        <v>80</v>
      </c>
      <c r="AP214">
        <v>630</v>
      </c>
      <c r="AQ214">
        <v>660</v>
      </c>
      <c r="AR214">
        <v>540</v>
      </c>
      <c r="AS214">
        <v>450</v>
      </c>
      <c r="AT214">
        <v>480</v>
      </c>
      <c r="AU214">
        <v>504</v>
      </c>
      <c r="AV214">
        <v>630</v>
      </c>
      <c r="AW214">
        <v>495</v>
      </c>
      <c r="AX214">
        <v>420</v>
      </c>
      <c r="AY214">
        <v>315</v>
      </c>
      <c r="AZ214">
        <v>180</v>
      </c>
      <c r="BA214">
        <v>60</v>
      </c>
      <c r="BB214">
        <v>360</v>
      </c>
      <c r="BC214">
        <v>360</v>
      </c>
      <c r="BD214">
        <v>420</v>
      </c>
      <c r="BE214">
        <v>360</v>
      </c>
      <c r="BF214">
        <v>360</v>
      </c>
      <c r="BG214">
        <v>360</v>
      </c>
      <c r="BH214">
        <v>270</v>
      </c>
      <c r="BI214">
        <v>180</v>
      </c>
      <c r="BJ214">
        <v>60</v>
      </c>
      <c r="BK214">
        <v>360</v>
      </c>
      <c r="BL214">
        <v>360</v>
      </c>
      <c r="BM214">
        <v>360</v>
      </c>
      <c r="BN214">
        <v>360</v>
      </c>
      <c r="BO214">
        <v>360</v>
      </c>
      <c r="BP214">
        <v>225</v>
      </c>
      <c r="BQ214">
        <f>(I214+J214+N214+O214)/4</f>
        <v>6.458333333333333</v>
      </c>
      <c r="BR214">
        <f>(K214+L214+M214)/3</f>
        <v>5.3111111111111109</v>
      </c>
      <c r="BS214">
        <f>BQ214/BR214</f>
        <v>1.2160041841004183</v>
      </c>
      <c r="BT214">
        <f>AQ214/I214</f>
        <v>90</v>
      </c>
      <c r="BU214" t="str">
        <f>IF(OR(A214=2, A214=12), "Central", IF(A214=3, "Semi-Central", "Periférica"))</f>
        <v>Periférica</v>
      </c>
    </row>
    <row r="215" spans="1:73" x14ac:dyDescent="0.3">
      <c r="A215" s="1">
        <v>18</v>
      </c>
      <c r="B215" s="1">
        <v>1829</v>
      </c>
      <c r="C215" s="1">
        <v>229</v>
      </c>
      <c r="D215" t="s">
        <v>1</v>
      </c>
      <c r="E215" t="s">
        <v>0</v>
      </c>
      <c r="F215">
        <v>0</v>
      </c>
      <c r="G215">
        <v>0</v>
      </c>
      <c r="H215">
        <v>5</v>
      </c>
      <c r="I215">
        <v>8.6666666666666661</v>
      </c>
      <c r="J215">
        <v>4.666666666666667</v>
      </c>
      <c r="K215">
        <v>5.666666666666667</v>
      </c>
      <c r="L215">
        <v>4.666666666666667</v>
      </c>
      <c r="M215">
        <v>5.6</v>
      </c>
      <c r="N215">
        <v>6.5</v>
      </c>
      <c r="O215">
        <v>6</v>
      </c>
      <c r="P215">
        <v>6</v>
      </c>
      <c r="Q215">
        <v>2</v>
      </c>
      <c r="R215">
        <v>0</v>
      </c>
      <c r="S215">
        <v>0</v>
      </c>
      <c r="T215">
        <v>4</v>
      </c>
      <c r="U215">
        <v>4.8</v>
      </c>
      <c r="V215">
        <v>5</v>
      </c>
      <c r="W215">
        <v>4.666666666666667</v>
      </c>
      <c r="X215">
        <v>4.4444444444444446</v>
      </c>
      <c r="Y215">
        <v>4</v>
      </c>
      <c r="Z215">
        <v>1.5</v>
      </c>
      <c r="AA215">
        <v>0</v>
      </c>
      <c r="AB215">
        <v>0</v>
      </c>
      <c r="AC215">
        <v>4</v>
      </c>
      <c r="AD215">
        <v>4</v>
      </c>
      <c r="AE215">
        <v>4.4000000000000004</v>
      </c>
      <c r="AF215">
        <v>3.666666666666667</v>
      </c>
      <c r="AG215">
        <v>3</v>
      </c>
      <c r="AH215">
        <v>1.5</v>
      </c>
      <c r="AI215" s="1">
        <v>18</v>
      </c>
      <c r="AJ215" s="1">
        <v>1829</v>
      </c>
      <c r="AK215" s="1">
        <v>229</v>
      </c>
      <c r="AL215" t="s">
        <v>1</v>
      </c>
      <c r="AM215" t="s">
        <v>0</v>
      </c>
      <c r="AN215">
        <v>0</v>
      </c>
      <c r="AO215">
        <v>0</v>
      </c>
      <c r="AP215">
        <v>450</v>
      </c>
      <c r="AQ215">
        <v>780</v>
      </c>
      <c r="AR215">
        <v>420</v>
      </c>
      <c r="AS215">
        <v>510</v>
      </c>
      <c r="AT215">
        <v>420</v>
      </c>
      <c r="AU215">
        <v>504</v>
      </c>
      <c r="AV215">
        <v>585</v>
      </c>
      <c r="AW215">
        <v>540</v>
      </c>
      <c r="AX215">
        <v>540</v>
      </c>
      <c r="AY215">
        <v>180</v>
      </c>
      <c r="AZ215">
        <v>0</v>
      </c>
      <c r="BA215">
        <v>0</v>
      </c>
      <c r="BB215">
        <v>360</v>
      </c>
      <c r="BC215">
        <v>432</v>
      </c>
      <c r="BD215">
        <v>450</v>
      </c>
      <c r="BE215">
        <v>420</v>
      </c>
      <c r="BF215">
        <v>400</v>
      </c>
      <c r="BG215">
        <v>360</v>
      </c>
      <c r="BH215">
        <v>135</v>
      </c>
      <c r="BI215">
        <v>0</v>
      </c>
      <c r="BJ215">
        <v>0</v>
      </c>
      <c r="BK215">
        <v>360</v>
      </c>
      <c r="BL215">
        <v>360</v>
      </c>
      <c r="BM215">
        <v>396</v>
      </c>
      <c r="BN215">
        <v>330</v>
      </c>
      <c r="BO215">
        <v>270</v>
      </c>
      <c r="BP215">
        <v>135</v>
      </c>
      <c r="BQ215">
        <f>(I215+J215+N215+O215)/4</f>
        <v>6.458333333333333</v>
      </c>
      <c r="BR215">
        <f>(K215+L215+M215)/3</f>
        <v>5.3111111111111109</v>
      </c>
      <c r="BS215">
        <f>BQ215/BR215</f>
        <v>1.2160041841004183</v>
      </c>
      <c r="BT215">
        <f>AQ215/I215</f>
        <v>90</v>
      </c>
      <c r="BU215" t="str">
        <f>IF(OR(A215=2, A215=12), "Central", IF(A215=3, "Semi-Central", "Periférica"))</f>
        <v>Periférica</v>
      </c>
    </row>
    <row r="216" spans="1:73" x14ac:dyDescent="0.3">
      <c r="A216" s="1">
        <v>16</v>
      </c>
      <c r="B216" s="1">
        <v>1618</v>
      </c>
      <c r="C216" s="1" t="s">
        <v>358</v>
      </c>
      <c r="D216" t="s">
        <v>5</v>
      </c>
      <c r="E216" t="s">
        <v>0</v>
      </c>
      <c r="F216">
        <v>0</v>
      </c>
      <c r="G216">
        <v>0.44444444444444442</v>
      </c>
      <c r="H216">
        <v>5</v>
      </c>
      <c r="I216">
        <v>6</v>
      </c>
      <c r="J216">
        <v>4.666666666666667</v>
      </c>
      <c r="K216">
        <v>4</v>
      </c>
      <c r="L216">
        <v>4.666666666666667</v>
      </c>
      <c r="M216">
        <v>4.4000000000000004</v>
      </c>
      <c r="N216">
        <v>5</v>
      </c>
      <c r="O216">
        <v>5.5</v>
      </c>
      <c r="P216">
        <v>4.666666666666667</v>
      </c>
      <c r="Q216">
        <v>1.5</v>
      </c>
      <c r="R216">
        <v>0</v>
      </c>
      <c r="S216">
        <v>0</v>
      </c>
      <c r="T216">
        <v>3</v>
      </c>
      <c r="U216">
        <v>4</v>
      </c>
      <c r="V216">
        <v>4</v>
      </c>
      <c r="W216">
        <v>4</v>
      </c>
      <c r="X216">
        <v>4</v>
      </c>
      <c r="Y216">
        <v>3.6</v>
      </c>
      <c r="Z216">
        <v>1.5</v>
      </c>
      <c r="AA216">
        <v>0</v>
      </c>
      <c r="AB216">
        <v>0</v>
      </c>
      <c r="AC216">
        <v>2</v>
      </c>
      <c r="AD216">
        <v>4</v>
      </c>
      <c r="AE216">
        <v>4</v>
      </c>
      <c r="AF216">
        <v>4</v>
      </c>
      <c r="AG216">
        <v>3</v>
      </c>
      <c r="AH216">
        <v>1.5</v>
      </c>
      <c r="AI216" s="1">
        <v>16</v>
      </c>
      <c r="AJ216" s="1">
        <v>1618</v>
      </c>
      <c r="AK216" s="1" t="s">
        <v>358</v>
      </c>
      <c r="AL216" t="s">
        <v>5</v>
      </c>
      <c r="AM216" t="s">
        <v>0</v>
      </c>
      <c r="AN216">
        <v>0</v>
      </c>
      <c r="AO216">
        <v>40</v>
      </c>
      <c r="AP216">
        <v>450</v>
      </c>
      <c r="AQ216">
        <v>540</v>
      </c>
      <c r="AR216">
        <v>420</v>
      </c>
      <c r="AS216">
        <v>360</v>
      </c>
      <c r="AT216">
        <v>420</v>
      </c>
      <c r="AU216">
        <v>396</v>
      </c>
      <c r="AV216">
        <v>450</v>
      </c>
      <c r="AW216">
        <v>495</v>
      </c>
      <c r="AX216">
        <v>420</v>
      </c>
      <c r="AY216">
        <v>135</v>
      </c>
      <c r="AZ216">
        <v>0</v>
      </c>
      <c r="BA216">
        <v>0</v>
      </c>
      <c r="BB216">
        <v>270</v>
      </c>
      <c r="BC216">
        <v>360</v>
      </c>
      <c r="BD216">
        <v>360</v>
      </c>
      <c r="BE216">
        <v>360</v>
      </c>
      <c r="BF216">
        <v>360</v>
      </c>
      <c r="BG216">
        <v>324</v>
      </c>
      <c r="BH216">
        <v>135</v>
      </c>
      <c r="BI216">
        <v>0</v>
      </c>
      <c r="BJ216">
        <v>0</v>
      </c>
      <c r="BK216">
        <v>180</v>
      </c>
      <c r="BL216">
        <v>360</v>
      </c>
      <c r="BM216">
        <v>360</v>
      </c>
      <c r="BN216">
        <v>360</v>
      </c>
      <c r="BO216">
        <v>270</v>
      </c>
      <c r="BP216">
        <v>135</v>
      </c>
      <c r="BQ216">
        <f>(I216+J216+N216+O216)/4</f>
        <v>5.291666666666667</v>
      </c>
      <c r="BR216">
        <f>(K216+L216+M216)/3</f>
        <v>4.3555555555555561</v>
      </c>
      <c r="BS216">
        <f>BQ216/BR216</f>
        <v>1.2149234693877551</v>
      </c>
      <c r="BT216">
        <f>AQ216/I216</f>
        <v>90</v>
      </c>
      <c r="BU216" t="str">
        <f>IF(OR(A216=2, A216=12), "Central", IF(A216=3, "Semi-Central", "Periférica"))</f>
        <v>Periférica</v>
      </c>
    </row>
    <row r="217" spans="1:73" x14ac:dyDescent="0.3">
      <c r="A217" s="1">
        <v>9</v>
      </c>
      <c r="B217" s="1">
        <v>929</v>
      </c>
      <c r="C217" s="1" t="s">
        <v>345</v>
      </c>
      <c r="D217" t="s">
        <v>1</v>
      </c>
      <c r="F217">
        <v>1</v>
      </c>
      <c r="G217">
        <v>0</v>
      </c>
      <c r="H217">
        <v>3</v>
      </c>
      <c r="I217">
        <v>6</v>
      </c>
      <c r="J217">
        <v>6</v>
      </c>
      <c r="K217">
        <v>5</v>
      </c>
      <c r="L217">
        <v>5.333333333333333</v>
      </c>
      <c r="M217">
        <v>4.8</v>
      </c>
      <c r="N217">
        <v>5</v>
      </c>
      <c r="O217">
        <v>7.5</v>
      </c>
      <c r="P217">
        <v>6</v>
      </c>
      <c r="Q217">
        <v>3.5</v>
      </c>
      <c r="R217">
        <v>1</v>
      </c>
      <c r="S217">
        <v>0</v>
      </c>
      <c r="T217">
        <v>2</v>
      </c>
      <c r="U217">
        <v>2.8</v>
      </c>
      <c r="V217">
        <v>4</v>
      </c>
      <c r="W217">
        <v>4</v>
      </c>
      <c r="X217">
        <v>4</v>
      </c>
      <c r="Y217">
        <v>4</v>
      </c>
      <c r="Z217">
        <v>3</v>
      </c>
      <c r="AA217">
        <v>1</v>
      </c>
      <c r="AB217">
        <v>0</v>
      </c>
      <c r="AC217">
        <v>2</v>
      </c>
      <c r="AD217">
        <v>3.0909090909090908</v>
      </c>
      <c r="AE217">
        <v>3.4</v>
      </c>
      <c r="AF217">
        <v>3</v>
      </c>
      <c r="AG217">
        <v>4</v>
      </c>
      <c r="AH217">
        <v>2.5</v>
      </c>
      <c r="AI217" s="1">
        <v>9</v>
      </c>
      <c r="AJ217" s="1">
        <v>929</v>
      </c>
      <c r="AK217" s="1" t="s">
        <v>345</v>
      </c>
      <c r="AL217" t="s">
        <v>1</v>
      </c>
      <c r="AN217">
        <v>90</v>
      </c>
      <c r="AO217">
        <v>0</v>
      </c>
      <c r="AP217">
        <v>270</v>
      </c>
      <c r="AQ217">
        <v>540</v>
      </c>
      <c r="AR217">
        <v>540</v>
      </c>
      <c r="AS217">
        <v>450</v>
      </c>
      <c r="AT217">
        <v>480</v>
      </c>
      <c r="AU217">
        <v>432</v>
      </c>
      <c r="AV217">
        <v>450</v>
      </c>
      <c r="AW217">
        <v>675</v>
      </c>
      <c r="AX217">
        <v>540</v>
      </c>
      <c r="AY217">
        <v>315</v>
      </c>
      <c r="AZ217">
        <v>90</v>
      </c>
      <c r="BA217">
        <v>0</v>
      </c>
      <c r="BB217">
        <v>180</v>
      </c>
      <c r="BC217">
        <v>252</v>
      </c>
      <c r="BD217">
        <v>360</v>
      </c>
      <c r="BE217">
        <v>360</v>
      </c>
      <c r="BF217">
        <v>360</v>
      </c>
      <c r="BG217">
        <v>360</v>
      </c>
      <c r="BH217">
        <v>270</v>
      </c>
      <c r="BI217">
        <v>90</v>
      </c>
      <c r="BJ217">
        <v>0</v>
      </c>
      <c r="BK217">
        <v>180</v>
      </c>
      <c r="BL217">
        <v>278.18181818181819</v>
      </c>
      <c r="BM217">
        <v>306</v>
      </c>
      <c r="BN217">
        <v>270</v>
      </c>
      <c r="BO217">
        <v>360</v>
      </c>
      <c r="BP217">
        <v>225</v>
      </c>
      <c r="BQ217">
        <f>(I217+J217+N217+O217)/4</f>
        <v>6.125</v>
      </c>
      <c r="BR217">
        <f>(K217+L217+M217)/3</f>
        <v>5.0444444444444443</v>
      </c>
      <c r="BS217">
        <f>BQ217/BR217</f>
        <v>1.2142070484581498</v>
      </c>
      <c r="BT217">
        <f>AQ217/I217</f>
        <v>90</v>
      </c>
      <c r="BU217" t="str">
        <f>IF(OR(A217=2, A217=12), "Central", IF(A217=3, "Semi-Central", "Periférica"))</f>
        <v>Periférica</v>
      </c>
    </row>
    <row r="218" spans="1:73" x14ac:dyDescent="0.3">
      <c r="A218" s="1">
        <v>3</v>
      </c>
      <c r="B218" s="1">
        <v>333</v>
      </c>
      <c r="C218" s="1" t="s">
        <v>357</v>
      </c>
      <c r="D218" t="s">
        <v>5</v>
      </c>
      <c r="E218" t="s">
        <v>0</v>
      </c>
      <c r="F218">
        <v>0</v>
      </c>
      <c r="G218">
        <v>0</v>
      </c>
      <c r="H218">
        <v>3</v>
      </c>
      <c r="I218">
        <v>5.333333333333333</v>
      </c>
      <c r="J218">
        <v>4.666666666666667</v>
      </c>
      <c r="K218">
        <v>4</v>
      </c>
      <c r="L218">
        <v>4.666666666666667</v>
      </c>
      <c r="M218">
        <v>4</v>
      </c>
      <c r="N218">
        <v>5.5</v>
      </c>
      <c r="O218">
        <v>5</v>
      </c>
      <c r="P218">
        <v>4.666666666666667</v>
      </c>
      <c r="Q218">
        <v>3.5</v>
      </c>
      <c r="R218">
        <v>0</v>
      </c>
      <c r="S218">
        <v>0</v>
      </c>
      <c r="T218">
        <v>3</v>
      </c>
      <c r="U218">
        <v>4.4000000000000004</v>
      </c>
      <c r="V218">
        <v>4</v>
      </c>
      <c r="W218">
        <v>4</v>
      </c>
      <c r="X218">
        <v>3.7777777777777777</v>
      </c>
      <c r="Y218">
        <v>3.2</v>
      </c>
      <c r="Z218">
        <v>3</v>
      </c>
      <c r="AA218">
        <v>0</v>
      </c>
      <c r="AB218">
        <v>0</v>
      </c>
      <c r="AC218">
        <v>3</v>
      </c>
      <c r="AD218">
        <v>3.0909090909090908</v>
      </c>
      <c r="AE218">
        <v>3</v>
      </c>
      <c r="AF218">
        <v>3.3333333333333335</v>
      </c>
      <c r="AG218">
        <v>3</v>
      </c>
      <c r="AH218">
        <v>3</v>
      </c>
      <c r="AI218" s="1">
        <v>3</v>
      </c>
      <c r="AJ218" s="1">
        <v>333</v>
      </c>
      <c r="AK218" s="1" t="s">
        <v>357</v>
      </c>
      <c r="AL218" t="s">
        <v>5</v>
      </c>
      <c r="AM218" t="s">
        <v>0</v>
      </c>
      <c r="AN218">
        <v>0</v>
      </c>
      <c r="AO218">
        <v>0</v>
      </c>
      <c r="AP218">
        <v>279</v>
      </c>
      <c r="AQ218">
        <v>496</v>
      </c>
      <c r="AR218">
        <v>434</v>
      </c>
      <c r="AS218">
        <v>372</v>
      </c>
      <c r="AT218">
        <v>434</v>
      </c>
      <c r="AU218">
        <v>372</v>
      </c>
      <c r="AV218">
        <v>511.5</v>
      </c>
      <c r="AW218">
        <v>465</v>
      </c>
      <c r="AX218">
        <v>434</v>
      </c>
      <c r="AY218">
        <v>325.5</v>
      </c>
      <c r="AZ218">
        <v>0</v>
      </c>
      <c r="BA218">
        <v>0</v>
      </c>
      <c r="BB218">
        <v>279</v>
      </c>
      <c r="BC218">
        <v>409.2</v>
      </c>
      <c r="BD218">
        <v>372</v>
      </c>
      <c r="BE218">
        <v>372</v>
      </c>
      <c r="BF218">
        <v>351.33333333333331</v>
      </c>
      <c r="BG218">
        <v>297.60000000000002</v>
      </c>
      <c r="BH218">
        <v>279</v>
      </c>
      <c r="BI218">
        <v>0</v>
      </c>
      <c r="BJ218">
        <v>0</v>
      </c>
      <c r="BK218">
        <v>279</v>
      </c>
      <c r="BL218">
        <v>287.45454545454544</v>
      </c>
      <c r="BM218">
        <v>279</v>
      </c>
      <c r="BN218">
        <v>310</v>
      </c>
      <c r="BO218">
        <v>279</v>
      </c>
      <c r="BP218">
        <v>279</v>
      </c>
      <c r="BQ218">
        <f>(I218+J218+N218+O218)/4</f>
        <v>5.125</v>
      </c>
      <c r="BR218">
        <f>(K218+L218+M218)/3</f>
        <v>4.2222222222222223</v>
      </c>
      <c r="BS218">
        <f>BQ218/BR218</f>
        <v>1.2138157894736843</v>
      </c>
      <c r="BT218">
        <f>AQ218/I218</f>
        <v>93</v>
      </c>
      <c r="BU218" t="str">
        <f>IF(OR(A218=2, A218=12), "Central", IF(A218=3, "Semi-Central", "Periférica"))</f>
        <v>Semi-Central</v>
      </c>
    </row>
    <row r="219" spans="1:73" x14ac:dyDescent="0.3">
      <c r="A219" s="1">
        <v>3</v>
      </c>
      <c r="B219" s="1">
        <v>333</v>
      </c>
      <c r="C219" s="1" t="s">
        <v>357</v>
      </c>
      <c r="D219" t="s">
        <v>1</v>
      </c>
      <c r="E219" t="s">
        <v>0</v>
      </c>
      <c r="F219">
        <v>0</v>
      </c>
      <c r="G219">
        <v>0</v>
      </c>
      <c r="H219">
        <v>4</v>
      </c>
      <c r="I219">
        <v>5.333333333333333</v>
      </c>
      <c r="J219">
        <v>4.666666666666667</v>
      </c>
      <c r="K219">
        <v>4</v>
      </c>
      <c r="L219">
        <v>4.666666666666667</v>
      </c>
      <c r="M219">
        <v>4</v>
      </c>
      <c r="N219">
        <v>5.5</v>
      </c>
      <c r="O219">
        <v>5</v>
      </c>
      <c r="P219">
        <v>4.666666666666667</v>
      </c>
      <c r="Q219">
        <v>2</v>
      </c>
      <c r="R219">
        <v>0</v>
      </c>
      <c r="S219">
        <v>0</v>
      </c>
      <c r="T219">
        <v>3</v>
      </c>
      <c r="U219">
        <v>4.4000000000000004</v>
      </c>
      <c r="V219">
        <v>4</v>
      </c>
      <c r="W219">
        <v>4</v>
      </c>
      <c r="X219">
        <v>3.7777777777777777</v>
      </c>
      <c r="Y219">
        <v>3.2</v>
      </c>
      <c r="Z219">
        <v>1.5</v>
      </c>
      <c r="AA219">
        <v>0</v>
      </c>
      <c r="AB219">
        <v>0</v>
      </c>
      <c r="AC219">
        <v>3</v>
      </c>
      <c r="AD219">
        <v>3.0909090909090908</v>
      </c>
      <c r="AE219">
        <v>3</v>
      </c>
      <c r="AF219">
        <v>3.3333333333333335</v>
      </c>
      <c r="AG219">
        <v>3</v>
      </c>
      <c r="AH219">
        <v>1.5</v>
      </c>
      <c r="AI219" s="1">
        <v>3</v>
      </c>
      <c r="AJ219" s="1">
        <v>333</v>
      </c>
      <c r="AK219" s="1" t="s">
        <v>357</v>
      </c>
      <c r="AL219" t="s">
        <v>1</v>
      </c>
      <c r="AM219" t="s">
        <v>0</v>
      </c>
      <c r="AN219">
        <v>0</v>
      </c>
      <c r="AO219">
        <v>0</v>
      </c>
      <c r="AP219">
        <v>372</v>
      </c>
      <c r="AQ219">
        <v>496</v>
      </c>
      <c r="AR219">
        <v>434</v>
      </c>
      <c r="AS219">
        <v>372</v>
      </c>
      <c r="AT219">
        <v>434</v>
      </c>
      <c r="AU219">
        <v>372</v>
      </c>
      <c r="AV219">
        <v>511.5</v>
      </c>
      <c r="AW219">
        <v>465</v>
      </c>
      <c r="AX219">
        <v>434</v>
      </c>
      <c r="AY219">
        <v>186</v>
      </c>
      <c r="AZ219">
        <v>0</v>
      </c>
      <c r="BA219">
        <v>0</v>
      </c>
      <c r="BB219">
        <v>279</v>
      </c>
      <c r="BC219">
        <v>409.2</v>
      </c>
      <c r="BD219">
        <v>372</v>
      </c>
      <c r="BE219">
        <v>372</v>
      </c>
      <c r="BF219">
        <v>351.33333333333331</v>
      </c>
      <c r="BG219">
        <v>297.60000000000002</v>
      </c>
      <c r="BH219">
        <v>139.5</v>
      </c>
      <c r="BI219">
        <v>0</v>
      </c>
      <c r="BJ219">
        <v>0</v>
      </c>
      <c r="BK219">
        <v>279</v>
      </c>
      <c r="BL219">
        <v>287.45454545454544</v>
      </c>
      <c r="BM219">
        <v>279</v>
      </c>
      <c r="BN219">
        <v>310</v>
      </c>
      <c r="BO219">
        <v>279</v>
      </c>
      <c r="BP219">
        <v>139.5</v>
      </c>
      <c r="BQ219">
        <f>(I219+J219+N219+O219)/4</f>
        <v>5.125</v>
      </c>
      <c r="BR219">
        <f>(K219+L219+M219)/3</f>
        <v>4.2222222222222223</v>
      </c>
      <c r="BS219">
        <f>BQ219/BR219</f>
        <v>1.2138157894736843</v>
      </c>
      <c r="BT219">
        <f>AQ219/I219</f>
        <v>93</v>
      </c>
      <c r="BU219" t="str">
        <f>IF(OR(A219=2, A219=12), "Central", IF(A219=3, "Semi-Central", "Periférica"))</f>
        <v>Semi-Central</v>
      </c>
    </row>
    <row r="220" spans="1:73" x14ac:dyDescent="0.3">
      <c r="A220" s="1">
        <v>4</v>
      </c>
      <c r="B220" s="1">
        <v>488</v>
      </c>
      <c r="C220" s="1" t="s">
        <v>356</v>
      </c>
      <c r="D220" t="s">
        <v>1</v>
      </c>
      <c r="E220" t="s">
        <v>0</v>
      </c>
      <c r="F220">
        <v>2</v>
      </c>
      <c r="G220">
        <v>2</v>
      </c>
      <c r="H220">
        <v>7</v>
      </c>
      <c r="I220">
        <v>8</v>
      </c>
      <c r="J220">
        <v>6</v>
      </c>
      <c r="K220">
        <v>5</v>
      </c>
      <c r="L220">
        <v>6</v>
      </c>
      <c r="M220">
        <v>6</v>
      </c>
      <c r="N220">
        <v>6.5</v>
      </c>
      <c r="O220">
        <v>7</v>
      </c>
      <c r="P220">
        <v>5.333333333333333</v>
      </c>
      <c r="Q220">
        <v>4</v>
      </c>
      <c r="R220">
        <v>2</v>
      </c>
      <c r="S220">
        <v>2</v>
      </c>
      <c r="T220">
        <v>5</v>
      </c>
      <c r="U220">
        <v>4.8</v>
      </c>
      <c r="V220">
        <v>4.666666666666667</v>
      </c>
      <c r="W220">
        <v>4.666666666666667</v>
      </c>
      <c r="X220">
        <v>4.666666666666667</v>
      </c>
      <c r="Y220">
        <v>4.4000000000000004</v>
      </c>
      <c r="Z220">
        <v>3.5</v>
      </c>
      <c r="AA220">
        <v>2</v>
      </c>
      <c r="AB220">
        <v>2</v>
      </c>
      <c r="AC220">
        <v>4</v>
      </c>
      <c r="AD220">
        <v>4.3636363636363633</v>
      </c>
      <c r="AE220">
        <v>4.4000000000000004</v>
      </c>
      <c r="AF220">
        <v>4</v>
      </c>
      <c r="AG220">
        <v>4</v>
      </c>
      <c r="AH220">
        <v>3.5</v>
      </c>
      <c r="AI220" s="1">
        <v>4</v>
      </c>
      <c r="AJ220" s="1">
        <v>488</v>
      </c>
      <c r="AK220" s="1" t="s">
        <v>356</v>
      </c>
      <c r="AL220" t="s">
        <v>1</v>
      </c>
      <c r="AM220" t="s">
        <v>0</v>
      </c>
      <c r="AN220">
        <v>182</v>
      </c>
      <c r="AO220">
        <v>182</v>
      </c>
      <c r="AP220">
        <v>637</v>
      </c>
      <c r="AQ220">
        <v>728</v>
      </c>
      <c r="AR220">
        <v>546</v>
      </c>
      <c r="AS220">
        <v>455</v>
      </c>
      <c r="AT220">
        <v>546</v>
      </c>
      <c r="AU220">
        <v>546</v>
      </c>
      <c r="AV220">
        <v>591.5</v>
      </c>
      <c r="AW220">
        <v>637</v>
      </c>
      <c r="AX220">
        <v>485.33333333333331</v>
      </c>
      <c r="AY220">
        <v>364</v>
      </c>
      <c r="AZ220">
        <v>182</v>
      </c>
      <c r="BA220">
        <v>182</v>
      </c>
      <c r="BB220">
        <v>455</v>
      </c>
      <c r="BC220">
        <v>436.8</v>
      </c>
      <c r="BD220">
        <v>424.66666666666669</v>
      </c>
      <c r="BE220">
        <v>424.66666666666669</v>
      </c>
      <c r="BF220">
        <v>424.66666666666669</v>
      </c>
      <c r="BG220">
        <v>400.4</v>
      </c>
      <c r="BH220">
        <v>318.5</v>
      </c>
      <c r="BI220">
        <v>182</v>
      </c>
      <c r="BJ220">
        <v>182</v>
      </c>
      <c r="BK220">
        <v>364</v>
      </c>
      <c r="BL220">
        <v>397.09090909090907</v>
      </c>
      <c r="BM220">
        <v>400.4</v>
      </c>
      <c r="BN220">
        <v>364</v>
      </c>
      <c r="BO220">
        <v>364</v>
      </c>
      <c r="BP220">
        <v>318.5</v>
      </c>
      <c r="BQ220">
        <f>(I220+J220+N220+O220)/4</f>
        <v>6.875</v>
      </c>
      <c r="BR220">
        <f>(K220+L220+M220)/3</f>
        <v>5.666666666666667</v>
      </c>
      <c r="BS220">
        <f>BQ220/BR220</f>
        <v>1.213235294117647</v>
      </c>
      <c r="BT220">
        <f>AQ220/I220</f>
        <v>91</v>
      </c>
      <c r="BU220" t="str">
        <f>IF(OR(A220=2, A220=12), "Central", IF(A220=3, "Semi-Central", "Periférica"))</f>
        <v>Periférica</v>
      </c>
    </row>
    <row r="221" spans="1:73" x14ac:dyDescent="0.3">
      <c r="A221" s="1">
        <v>5</v>
      </c>
      <c r="B221" s="1">
        <v>519</v>
      </c>
      <c r="C221" s="1">
        <v>519</v>
      </c>
      <c r="D221" t="s">
        <v>1</v>
      </c>
      <c r="E221" t="s">
        <v>0</v>
      </c>
      <c r="F221">
        <v>0</v>
      </c>
      <c r="G221">
        <v>0</v>
      </c>
      <c r="H221">
        <v>6</v>
      </c>
      <c r="I221">
        <v>8.6666666666666661</v>
      </c>
      <c r="J221">
        <v>5.333333333333333</v>
      </c>
      <c r="K221">
        <v>4.666666666666667</v>
      </c>
      <c r="L221">
        <v>5.333333333333333</v>
      </c>
      <c r="M221">
        <v>6.4</v>
      </c>
      <c r="N221">
        <v>6.5</v>
      </c>
      <c r="O221">
        <v>6</v>
      </c>
      <c r="P221">
        <v>3.3333333333333335</v>
      </c>
      <c r="Q221">
        <v>0</v>
      </c>
      <c r="R221">
        <v>0</v>
      </c>
      <c r="S221">
        <v>0</v>
      </c>
      <c r="T221">
        <v>2</v>
      </c>
      <c r="U221">
        <v>3.6</v>
      </c>
      <c r="V221">
        <v>4</v>
      </c>
      <c r="W221">
        <v>3.6666666666666665</v>
      </c>
      <c r="X221">
        <v>3.7777777777777777</v>
      </c>
      <c r="Y221">
        <v>2</v>
      </c>
      <c r="Z221">
        <v>0</v>
      </c>
      <c r="AA221">
        <v>0</v>
      </c>
      <c r="AB221">
        <v>0</v>
      </c>
      <c r="AC221">
        <v>2</v>
      </c>
      <c r="AD221">
        <v>3.2727272727272729</v>
      </c>
      <c r="AE221">
        <v>3</v>
      </c>
      <c r="AF221">
        <v>3</v>
      </c>
      <c r="AG221">
        <v>0</v>
      </c>
      <c r="AH221">
        <v>0</v>
      </c>
      <c r="AI221" s="1">
        <v>5</v>
      </c>
      <c r="AJ221" s="1">
        <v>519</v>
      </c>
      <c r="AK221" s="1">
        <v>519</v>
      </c>
      <c r="AL221" t="s">
        <v>1</v>
      </c>
      <c r="AM221" t="s">
        <v>0</v>
      </c>
      <c r="AN221">
        <v>0</v>
      </c>
      <c r="AO221">
        <v>0</v>
      </c>
      <c r="AP221">
        <v>636</v>
      </c>
      <c r="AQ221">
        <v>942</v>
      </c>
      <c r="AR221">
        <v>552</v>
      </c>
      <c r="AS221">
        <v>508</v>
      </c>
      <c r="AT221">
        <v>592</v>
      </c>
      <c r="AU221">
        <v>674.4</v>
      </c>
      <c r="AV221">
        <v>691.5</v>
      </c>
      <c r="AW221">
        <v>666</v>
      </c>
      <c r="AX221">
        <v>310</v>
      </c>
      <c r="AY221">
        <v>0</v>
      </c>
      <c r="AZ221">
        <v>0</v>
      </c>
      <c r="BA221">
        <v>0</v>
      </c>
      <c r="BB221">
        <v>222</v>
      </c>
      <c r="BC221">
        <v>387.6</v>
      </c>
      <c r="BD221">
        <v>434</v>
      </c>
      <c r="BE221">
        <v>397</v>
      </c>
      <c r="BF221">
        <v>412.66666666666669</v>
      </c>
      <c r="BG221">
        <v>210</v>
      </c>
      <c r="BH221">
        <v>0</v>
      </c>
      <c r="BI221">
        <v>0</v>
      </c>
      <c r="BJ221">
        <v>0</v>
      </c>
      <c r="BK221">
        <v>222</v>
      </c>
      <c r="BL221">
        <v>352.36363636363637</v>
      </c>
      <c r="BM221">
        <v>321</v>
      </c>
      <c r="BN221">
        <v>323</v>
      </c>
      <c r="BO221">
        <v>0</v>
      </c>
      <c r="BP221">
        <v>0</v>
      </c>
      <c r="BQ221">
        <f>(I221+J221+N221+O221)/4</f>
        <v>6.625</v>
      </c>
      <c r="BR221">
        <f>(K221+L221+M221)/3</f>
        <v>5.4666666666666659</v>
      </c>
      <c r="BS221">
        <f>BQ221/BR221</f>
        <v>1.2118902439024393</v>
      </c>
      <c r="BT221">
        <f>AQ221/I221</f>
        <v>108.69230769230769</v>
      </c>
      <c r="BU221" t="str">
        <f>IF(OR(A221=2, A221=12), "Central", IF(A221=3, "Semi-Central", "Periférica"))</f>
        <v>Periférica</v>
      </c>
    </row>
    <row r="222" spans="1:73" x14ac:dyDescent="0.3">
      <c r="A222" s="1">
        <v>16</v>
      </c>
      <c r="B222" s="1">
        <v>1602</v>
      </c>
      <c r="C222" s="1">
        <v>302</v>
      </c>
      <c r="D222" t="s">
        <v>1</v>
      </c>
      <c r="E222" t="s">
        <v>0</v>
      </c>
      <c r="F222">
        <v>0</v>
      </c>
      <c r="G222">
        <v>0.66666666666666663</v>
      </c>
      <c r="H222">
        <v>8</v>
      </c>
      <c r="I222">
        <v>8.6666666666666661</v>
      </c>
      <c r="J222">
        <v>5.333333333333333</v>
      </c>
      <c r="K222">
        <v>5</v>
      </c>
      <c r="L222">
        <v>6</v>
      </c>
      <c r="M222">
        <v>4.8</v>
      </c>
      <c r="N222">
        <v>6</v>
      </c>
      <c r="O222">
        <v>5.5</v>
      </c>
      <c r="P222">
        <v>4.666666666666667</v>
      </c>
      <c r="Q222">
        <v>4</v>
      </c>
      <c r="R222">
        <v>0</v>
      </c>
      <c r="S222">
        <v>0</v>
      </c>
      <c r="T222">
        <v>4</v>
      </c>
      <c r="U222">
        <v>4.4000000000000004</v>
      </c>
      <c r="V222">
        <v>4</v>
      </c>
      <c r="W222">
        <v>4.333333333333333</v>
      </c>
      <c r="X222">
        <v>4.4444444444444446</v>
      </c>
      <c r="Y222">
        <v>4.4000000000000004</v>
      </c>
      <c r="Z222">
        <v>3</v>
      </c>
      <c r="AA222">
        <v>0</v>
      </c>
      <c r="AB222">
        <v>0</v>
      </c>
      <c r="AC222">
        <v>4</v>
      </c>
      <c r="AD222">
        <v>4</v>
      </c>
      <c r="AE222">
        <v>4</v>
      </c>
      <c r="AF222">
        <v>4</v>
      </c>
      <c r="AG222">
        <v>3</v>
      </c>
      <c r="AH222">
        <v>2.5</v>
      </c>
      <c r="AI222" s="1">
        <v>16</v>
      </c>
      <c r="AJ222" s="1">
        <v>1602</v>
      </c>
      <c r="AK222" s="1">
        <v>302</v>
      </c>
      <c r="AL222" t="s">
        <v>1</v>
      </c>
      <c r="AM222" t="s">
        <v>0</v>
      </c>
      <c r="AN222">
        <v>0</v>
      </c>
      <c r="AO222">
        <v>60</v>
      </c>
      <c r="AP222">
        <v>720</v>
      </c>
      <c r="AQ222">
        <v>780</v>
      </c>
      <c r="AR222">
        <v>480</v>
      </c>
      <c r="AS222">
        <v>450</v>
      </c>
      <c r="AT222">
        <v>540</v>
      </c>
      <c r="AU222">
        <v>432</v>
      </c>
      <c r="AV222">
        <v>540</v>
      </c>
      <c r="AW222">
        <v>495</v>
      </c>
      <c r="AX222">
        <v>420</v>
      </c>
      <c r="AY222">
        <v>360</v>
      </c>
      <c r="AZ222">
        <v>0</v>
      </c>
      <c r="BA222">
        <v>0</v>
      </c>
      <c r="BB222">
        <v>360</v>
      </c>
      <c r="BC222">
        <v>396</v>
      </c>
      <c r="BD222">
        <v>360</v>
      </c>
      <c r="BE222">
        <v>390</v>
      </c>
      <c r="BF222">
        <v>400</v>
      </c>
      <c r="BG222">
        <v>396</v>
      </c>
      <c r="BH222">
        <v>270</v>
      </c>
      <c r="BI222">
        <v>0</v>
      </c>
      <c r="BJ222">
        <v>0</v>
      </c>
      <c r="BK222">
        <v>360</v>
      </c>
      <c r="BL222">
        <v>360</v>
      </c>
      <c r="BM222">
        <v>360</v>
      </c>
      <c r="BN222">
        <v>360</v>
      </c>
      <c r="BO222">
        <v>270</v>
      </c>
      <c r="BP222">
        <v>225</v>
      </c>
      <c r="BQ222">
        <f>(I222+J222+N222+O222)/4</f>
        <v>6.375</v>
      </c>
      <c r="BR222">
        <f>(K222+L222+M222)/3</f>
        <v>5.2666666666666666</v>
      </c>
      <c r="BS222">
        <f>BQ222/BR222</f>
        <v>1.2104430379746836</v>
      </c>
      <c r="BT222">
        <f>AQ222/I222</f>
        <v>90</v>
      </c>
      <c r="BU222" t="str">
        <f>IF(OR(A222=2, A222=12), "Central", IF(A222=3, "Semi-Central", "Periférica"))</f>
        <v>Periférica</v>
      </c>
    </row>
    <row r="223" spans="1:73" x14ac:dyDescent="0.3">
      <c r="A223" s="1">
        <v>15</v>
      </c>
      <c r="B223" s="1">
        <v>1510</v>
      </c>
      <c r="C223" s="1">
        <v>110</v>
      </c>
      <c r="D223" t="s">
        <v>1</v>
      </c>
      <c r="E223" t="s">
        <v>0</v>
      </c>
      <c r="F223">
        <v>0</v>
      </c>
      <c r="G223">
        <v>0</v>
      </c>
      <c r="H223">
        <v>7</v>
      </c>
      <c r="I223">
        <v>5.333333333333333</v>
      </c>
      <c r="J223">
        <v>5.333333333333333</v>
      </c>
      <c r="K223">
        <v>4.666666666666667</v>
      </c>
      <c r="L223">
        <v>4</v>
      </c>
      <c r="M223">
        <v>6</v>
      </c>
      <c r="N223">
        <v>7</v>
      </c>
      <c r="O223">
        <v>6</v>
      </c>
      <c r="P223">
        <v>5.333333333333333</v>
      </c>
      <c r="Q223">
        <v>4</v>
      </c>
      <c r="R223">
        <v>0</v>
      </c>
      <c r="S223">
        <v>0</v>
      </c>
      <c r="T223">
        <v>4</v>
      </c>
      <c r="U223">
        <v>4.8</v>
      </c>
      <c r="V223">
        <v>4.333333333333333</v>
      </c>
      <c r="W223">
        <v>5.333333333333333</v>
      </c>
      <c r="X223">
        <v>6</v>
      </c>
      <c r="Y223">
        <v>4</v>
      </c>
      <c r="Z223">
        <v>3</v>
      </c>
      <c r="AA223">
        <v>0</v>
      </c>
      <c r="AB223">
        <v>0</v>
      </c>
      <c r="AC223">
        <v>3.5</v>
      </c>
      <c r="AD223">
        <v>3.8181818181818179</v>
      </c>
      <c r="AE223">
        <v>4</v>
      </c>
      <c r="AF223">
        <v>3.666666666666667</v>
      </c>
      <c r="AG223">
        <v>3</v>
      </c>
      <c r="AH223">
        <v>3</v>
      </c>
      <c r="AI223" s="1">
        <v>15</v>
      </c>
      <c r="AJ223" s="1">
        <v>1510</v>
      </c>
      <c r="AK223" s="1">
        <v>110</v>
      </c>
      <c r="AL223" t="s">
        <v>1</v>
      </c>
      <c r="AM223" t="s">
        <v>0</v>
      </c>
      <c r="AN223">
        <v>0</v>
      </c>
      <c r="AO223">
        <v>0</v>
      </c>
      <c r="AP223">
        <v>1050</v>
      </c>
      <c r="AQ223">
        <v>800</v>
      </c>
      <c r="AR223">
        <v>800</v>
      </c>
      <c r="AS223">
        <v>700</v>
      </c>
      <c r="AT223">
        <v>600</v>
      </c>
      <c r="AU223">
        <v>900</v>
      </c>
      <c r="AV223">
        <v>1050</v>
      </c>
      <c r="AW223">
        <v>900</v>
      </c>
      <c r="AX223">
        <v>800</v>
      </c>
      <c r="AY223">
        <v>600</v>
      </c>
      <c r="AZ223">
        <v>0</v>
      </c>
      <c r="BA223">
        <v>0</v>
      </c>
      <c r="BB223">
        <v>600</v>
      </c>
      <c r="BC223">
        <v>720</v>
      </c>
      <c r="BD223">
        <v>650</v>
      </c>
      <c r="BE223">
        <v>800</v>
      </c>
      <c r="BF223">
        <v>900</v>
      </c>
      <c r="BG223">
        <v>600</v>
      </c>
      <c r="BH223">
        <v>450</v>
      </c>
      <c r="BI223">
        <v>0</v>
      </c>
      <c r="BJ223">
        <v>0</v>
      </c>
      <c r="BK223">
        <v>525</v>
      </c>
      <c r="BL223">
        <v>572.72727272727275</v>
      </c>
      <c r="BM223">
        <v>600</v>
      </c>
      <c r="BN223">
        <v>550</v>
      </c>
      <c r="BO223">
        <v>450</v>
      </c>
      <c r="BP223">
        <v>450</v>
      </c>
      <c r="BQ223">
        <f>(I223+J223+N223+O223)/4</f>
        <v>5.9166666666666661</v>
      </c>
      <c r="BR223">
        <f>(K223+L223+M223)/3</f>
        <v>4.8888888888888893</v>
      </c>
      <c r="BS223">
        <f>BQ223/BR223</f>
        <v>1.2102272727272725</v>
      </c>
      <c r="BT223">
        <f>AQ223/I223</f>
        <v>150</v>
      </c>
      <c r="BU223" t="str">
        <f>IF(OR(A223=2, A223=12), "Central", IF(A223=3, "Semi-Central", "Periférica"))</f>
        <v>Periférica</v>
      </c>
    </row>
    <row r="224" spans="1:73" x14ac:dyDescent="0.3">
      <c r="A224" s="1">
        <v>12</v>
      </c>
      <c r="B224" s="1">
        <v>1237</v>
      </c>
      <c r="C224" s="1">
        <v>117</v>
      </c>
      <c r="D224" t="s">
        <v>1</v>
      </c>
      <c r="E224" t="s">
        <v>0</v>
      </c>
      <c r="F224">
        <v>0</v>
      </c>
      <c r="G224">
        <v>0.44444444444444442</v>
      </c>
      <c r="H224">
        <v>5</v>
      </c>
      <c r="I224">
        <v>8</v>
      </c>
      <c r="J224">
        <v>6.666666666666667</v>
      </c>
      <c r="K224">
        <v>5.333333333333333</v>
      </c>
      <c r="L224">
        <v>6</v>
      </c>
      <c r="M224">
        <v>5.2</v>
      </c>
      <c r="N224">
        <v>6</v>
      </c>
      <c r="O224">
        <v>6</v>
      </c>
      <c r="P224">
        <v>5.333333333333333</v>
      </c>
      <c r="Q224">
        <v>3.5</v>
      </c>
      <c r="R224">
        <v>0</v>
      </c>
      <c r="S224">
        <v>0</v>
      </c>
      <c r="T224">
        <v>3</v>
      </c>
      <c r="U224">
        <v>4.8</v>
      </c>
      <c r="V224">
        <v>5</v>
      </c>
      <c r="W224">
        <v>5</v>
      </c>
      <c r="X224">
        <v>4</v>
      </c>
      <c r="Y224">
        <v>3.2</v>
      </c>
      <c r="Z224">
        <v>3</v>
      </c>
      <c r="AA224">
        <v>0</v>
      </c>
      <c r="AB224">
        <v>0</v>
      </c>
      <c r="AC224">
        <v>2</v>
      </c>
      <c r="AD224">
        <v>4</v>
      </c>
      <c r="AE224">
        <v>4</v>
      </c>
      <c r="AF224">
        <v>3</v>
      </c>
      <c r="AG224">
        <v>3</v>
      </c>
      <c r="AH224">
        <v>3</v>
      </c>
      <c r="AI224" s="1">
        <v>12</v>
      </c>
      <c r="AJ224" s="1">
        <v>1237</v>
      </c>
      <c r="AK224" s="1">
        <v>117</v>
      </c>
      <c r="AL224" t="s">
        <v>1</v>
      </c>
      <c r="AM224" t="s">
        <v>0</v>
      </c>
      <c r="AN224">
        <v>0</v>
      </c>
      <c r="AO224">
        <v>40</v>
      </c>
      <c r="AP224">
        <v>450</v>
      </c>
      <c r="AQ224">
        <v>720</v>
      </c>
      <c r="AR224">
        <v>600</v>
      </c>
      <c r="AS224">
        <v>480</v>
      </c>
      <c r="AT224">
        <v>540</v>
      </c>
      <c r="AU224">
        <v>468</v>
      </c>
      <c r="AV224">
        <v>540</v>
      </c>
      <c r="AW224">
        <v>540</v>
      </c>
      <c r="AX224">
        <v>480</v>
      </c>
      <c r="AY224">
        <v>315</v>
      </c>
      <c r="AZ224">
        <v>0</v>
      </c>
      <c r="BA224">
        <v>0</v>
      </c>
      <c r="BB224">
        <v>270</v>
      </c>
      <c r="BC224">
        <v>432</v>
      </c>
      <c r="BD224">
        <v>450</v>
      </c>
      <c r="BE224">
        <v>450</v>
      </c>
      <c r="BF224">
        <v>360</v>
      </c>
      <c r="BG224">
        <v>288</v>
      </c>
      <c r="BH224">
        <v>270</v>
      </c>
      <c r="BI224">
        <v>0</v>
      </c>
      <c r="BJ224">
        <v>0</v>
      </c>
      <c r="BK224">
        <v>180</v>
      </c>
      <c r="BL224">
        <v>360</v>
      </c>
      <c r="BM224">
        <v>360</v>
      </c>
      <c r="BN224">
        <v>270</v>
      </c>
      <c r="BO224">
        <v>270</v>
      </c>
      <c r="BP224">
        <v>270</v>
      </c>
      <c r="BQ224">
        <f>(I224+J224+N224+O224)/4</f>
        <v>6.666666666666667</v>
      </c>
      <c r="BR224">
        <f>(K224+L224+M224)/3</f>
        <v>5.5111111111111102</v>
      </c>
      <c r="BS224">
        <f>BQ224/BR224</f>
        <v>1.209677419354839</v>
      </c>
      <c r="BT224">
        <f>AQ224/I224</f>
        <v>90</v>
      </c>
      <c r="BU224" t="str">
        <f>IF(OR(A224=2, A224=12), "Central", IF(A224=3, "Semi-Central", "Periférica"))</f>
        <v>Central</v>
      </c>
    </row>
    <row r="225" spans="1:73" x14ac:dyDescent="0.3">
      <c r="A225" s="1">
        <v>4</v>
      </c>
      <c r="B225" s="1">
        <v>470</v>
      </c>
      <c r="C225" s="1" t="s">
        <v>202</v>
      </c>
      <c r="D225" s="1" t="s">
        <v>5</v>
      </c>
      <c r="F225">
        <v>0</v>
      </c>
      <c r="G225">
        <v>0</v>
      </c>
      <c r="H225">
        <v>5</v>
      </c>
      <c r="I225">
        <v>6.666666666666667</v>
      </c>
      <c r="J225">
        <v>4.666666666666667</v>
      </c>
      <c r="K225">
        <v>5</v>
      </c>
      <c r="L225">
        <v>4.666666666666667</v>
      </c>
      <c r="M225">
        <v>4.8</v>
      </c>
      <c r="N225">
        <v>6</v>
      </c>
      <c r="O225">
        <v>6</v>
      </c>
      <c r="P225">
        <v>4.666666666666667</v>
      </c>
      <c r="Q225">
        <v>2</v>
      </c>
      <c r="R225">
        <v>0</v>
      </c>
      <c r="S225">
        <v>0</v>
      </c>
      <c r="T225">
        <v>3</v>
      </c>
      <c r="U225">
        <v>4.8</v>
      </c>
      <c r="V225">
        <v>5</v>
      </c>
      <c r="W225">
        <v>4.333333333333333</v>
      </c>
      <c r="X225">
        <v>4</v>
      </c>
      <c r="Y225">
        <v>4</v>
      </c>
      <c r="Z225">
        <v>1.5</v>
      </c>
      <c r="AA225">
        <v>0</v>
      </c>
      <c r="AB225">
        <v>0</v>
      </c>
      <c r="AC225">
        <v>3</v>
      </c>
      <c r="AD225">
        <v>4</v>
      </c>
      <c r="AE225">
        <v>4</v>
      </c>
      <c r="AF225">
        <v>3</v>
      </c>
      <c r="AG225">
        <v>3</v>
      </c>
      <c r="AH225">
        <v>1.5</v>
      </c>
      <c r="AI225" s="1">
        <v>4</v>
      </c>
      <c r="AJ225" s="1">
        <v>470</v>
      </c>
      <c r="AK225" s="1" t="s">
        <v>202</v>
      </c>
      <c r="AL225" s="1" t="s">
        <v>5</v>
      </c>
      <c r="AN225">
        <v>0</v>
      </c>
      <c r="AO225">
        <v>0</v>
      </c>
      <c r="AP225">
        <v>380</v>
      </c>
      <c r="AQ225">
        <v>506.66666666666669</v>
      </c>
      <c r="AR225">
        <v>354.66666666666669</v>
      </c>
      <c r="AS225">
        <v>380</v>
      </c>
      <c r="AT225">
        <v>354.66666666666669</v>
      </c>
      <c r="AU225">
        <v>364.8</v>
      </c>
      <c r="AV225">
        <v>456</v>
      </c>
      <c r="AW225">
        <v>456</v>
      </c>
      <c r="AX225">
        <v>354.66666666666669</v>
      </c>
      <c r="AY225">
        <v>152</v>
      </c>
      <c r="AZ225">
        <v>0</v>
      </c>
      <c r="BA225">
        <v>0</v>
      </c>
      <c r="BB225">
        <v>228</v>
      </c>
      <c r="BC225">
        <v>364.8</v>
      </c>
      <c r="BD225">
        <v>380</v>
      </c>
      <c r="BE225">
        <v>329.33333333333331</v>
      </c>
      <c r="BF225">
        <v>304</v>
      </c>
      <c r="BG225">
        <v>304</v>
      </c>
      <c r="BH225">
        <v>114</v>
      </c>
      <c r="BI225">
        <v>0</v>
      </c>
      <c r="BJ225">
        <v>0</v>
      </c>
      <c r="BK225">
        <v>228</v>
      </c>
      <c r="BL225">
        <v>304</v>
      </c>
      <c r="BM225">
        <v>304</v>
      </c>
      <c r="BN225">
        <v>228</v>
      </c>
      <c r="BO225">
        <v>228</v>
      </c>
      <c r="BP225">
        <v>114</v>
      </c>
      <c r="BQ225">
        <f>(I225+J225+N225+O225)/4</f>
        <v>5.8333333333333339</v>
      </c>
      <c r="BR225">
        <f>(K225+L225+M225)/3</f>
        <v>4.8222222222222229</v>
      </c>
      <c r="BS225">
        <f>BQ225/BR225</f>
        <v>1.2096774193548387</v>
      </c>
      <c r="BT225">
        <f>AQ225/I225</f>
        <v>76</v>
      </c>
      <c r="BU225" t="str">
        <f>IF(OR(A225=2, A225=12), "Central", IF(A225=3, "Semi-Central", "Periférica"))</f>
        <v>Periférica</v>
      </c>
    </row>
    <row r="226" spans="1:73" x14ac:dyDescent="0.3">
      <c r="A226" s="1">
        <v>14</v>
      </c>
      <c r="B226" s="1">
        <v>1401</v>
      </c>
      <c r="C226" s="1">
        <v>101</v>
      </c>
      <c r="D226" t="s">
        <v>5</v>
      </c>
      <c r="F226">
        <v>0</v>
      </c>
      <c r="G226">
        <v>0</v>
      </c>
      <c r="H226">
        <v>4</v>
      </c>
      <c r="I226">
        <v>5.333333333333333</v>
      </c>
      <c r="J226">
        <v>4.666666666666667</v>
      </c>
      <c r="K226">
        <v>4</v>
      </c>
      <c r="L226">
        <v>4</v>
      </c>
      <c r="M226">
        <v>4.4000000000000004</v>
      </c>
      <c r="N226">
        <v>5</v>
      </c>
      <c r="O226">
        <v>5</v>
      </c>
      <c r="P226">
        <v>4</v>
      </c>
      <c r="Q226">
        <v>3</v>
      </c>
      <c r="R226">
        <v>0</v>
      </c>
      <c r="S226">
        <v>0</v>
      </c>
      <c r="T226">
        <v>3</v>
      </c>
      <c r="U226">
        <v>4</v>
      </c>
      <c r="V226">
        <v>4</v>
      </c>
      <c r="W226">
        <v>4</v>
      </c>
      <c r="X226">
        <v>4</v>
      </c>
      <c r="Y226">
        <v>3.2</v>
      </c>
      <c r="Z226">
        <v>2.5</v>
      </c>
      <c r="AA226">
        <v>0</v>
      </c>
      <c r="AB226">
        <v>0</v>
      </c>
      <c r="AC226">
        <v>3</v>
      </c>
      <c r="AD226">
        <v>3.6363636363636358</v>
      </c>
      <c r="AE226">
        <v>3.4</v>
      </c>
      <c r="AF226">
        <v>3.333333333333333</v>
      </c>
      <c r="AG226">
        <v>3</v>
      </c>
      <c r="AH226">
        <v>2</v>
      </c>
      <c r="AI226" s="1">
        <v>14</v>
      </c>
      <c r="AJ226" s="1">
        <v>1401</v>
      </c>
      <c r="AK226" s="1">
        <v>101</v>
      </c>
      <c r="AL226" t="s">
        <v>5</v>
      </c>
      <c r="AN226">
        <v>0</v>
      </c>
      <c r="AO226">
        <v>0</v>
      </c>
      <c r="AP226">
        <v>360</v>
      </c>
      <c r="AQ226">
        <v>480</v>
      </c>
      <c r="AR226">
        <v>420</v>
      </c>
      <c r="AS226">
        <v>360</v>
      </c>
      <c r="AT226">
        <v>360</v>
      </c>
      <c r="AU226">
        <v>396</v>
      </c>
      <c r="AV226">
        <v>450</v>
      </c>
      <c r="AW226">
        <v>450</v>
      </c>
      <c r="AX226">
        <v>360</v>
      </c>
      <c r="AY226">
        <v>270</v>
      </c>
      <c r="AZ226">
        <v>0</v>
      </c>
      <c r="BA226">
        <v>0</v>
      </c>
      <c r="BB226">
        <v>270</v>
      </c>
      <c r="BC226">
        <v>360</v>
      </c>
      <c r="BD226">
        <v>360</v>
      </c>
      <c r="BE226">
        <v>360</v>
      </c>
      <c r="BF226">
        <v>360</v>
      </c>
      <c r="BG226">
        <v>288</v>
      </c>
      <c r="BH226">
        <v>225</v>
      </c>
      <c r="BI226">
        <v>0</v>
      </c>
      <c r="BJ226">
        <v>0</v>
      </c>
      <c r="BK226">
        <v>270</v>
      </c>
      <c r="BL226">
        <v>327.27272727272731</v>
      </c>
      <c r="BM226">
        <v>306</v>
      </c>
      <c r="BN226">
        <v>300</v>
      </c>
      <c r="BO226">
        <v>270</v>
      </c>
      <c r="BP226">
        <v>180</v>
      </c>
      <c r="BQ226">
        <f>(I226+J226+N226+O226)/4</f>
        <v>5</v>
      </c>
      <c r="BR226">
        <f>(K226+L226+M226)/3</f>
        <v>4.1333333333333337</v>
      </c>
      <c r="BS226">
        <f>BQ226/BR226</f>
        <v>1.2096774193548385</v>
      </c>
      <c r="BT226">
        <f>AQ226/I226</f>
        <v>90</v>
      </c>
      <c r="BU226" t="str">
        <f>IF(OR(A226=2, A226=12), "Central", IF(A226=3, "Semi-Central", "Periférica"))</f>
        <v>Periférica</v>
      </c>
    </row>
    <row r="227" spans="1:73" x14ac:dyDescent="0.3">
      <c r="A227" s="1">
        <v>3</v>
      </c>
      <c r="B227" s="1">
        <v>375</v>
      </c>
      <c r="C227" s="1" t="s">
        <v>314</v>
      </c>
      <c r="D227" t="s">
        <v>1</v>
      </c>
      <c r="E227" t="s">
        <v>0</v>
      </c>
      <c r="F227">
        <v>0</v>
      </c>
      <c r="G227">
        <v>0</v>
      </c>
      <c r="H227">
        <v>4</v>
      </c>
      <c r="I227">
        <v>5.333333333333333</v>
      </c>
      <c r="J227">
        <v>4</v>
      </c>
      <c r="K227">
        <v>4</v>
      </c>
      <c r="L227">
        <v>4</v>
      </c>
      <c r="M227">
        <v>4</v>
      </c>
      <c r="N227">
        <v>5</v>
      </c>
      <c r="O227">
        <v>5</v>
      </c>
      <c r="P227">
        <v>4</v>
      </c>
      <c r="Q227">
        <v>3</v>
      </c>
      <c r="R227">
        <v>0</v>
      </c>
      <c r="S227">
        <v>0</v>
      </c>
      <c r="T227">
        <v>3</v>
      </c>
      <c r="U227">
        <v>4.4000000000000004</v>
      </c>
      <c r="V227">
        <v>4</v>
      </c>
      <c r="W227">
        <v>4</v>
      </c>
      <c r="X227">
        <v>4</v>
      </c>
      <c r="Y227">
        <v>3.2</v>
      </c>
      <c r="Z227">
        <v>2.5</v>
      </c>
      <c r="AA227">
        <v>0</v>
      </c>
      <c r="AB227">
        <v>0</v>
      </c>
      <c r="AC227">
        <v>3</v>
      </c>
      <c r="AD227">
        <v>4</v>
      </c>
      <c r="AE227">
        <v>4</v>
      </c>
      <c r="AF227">
        <v>4</v>
      </c>
      <c r="AG227">
        <v>3</v>
      </c>
      <c r="AH227">
        <v>2.5</v>
      </c>
      <c r="AI227" s="1">
        <v>3</v>
      </c>
      <c r="AJ227" s="1">
        <v>375</v>
      </c>
      <c r="AK227" s="1" t="s">
        <v>314</v>
      </c>
      <c r="AL227" t="s">
        <v>1</v>
      </c>
      <c r="AM227" t="s">
        <v>0</v>
      </c>
      <c r="AN227">
        <v>0</v>
      </c>
      <c r="AO227">
        <v>0</v>
      </c>
      <c r="AP227">
        <v>372</v>
      </c>
      <c r="AQ227">
        <v>496</v>
      </c>
      <c r="AR227">
        <v>372</v>
      </c>
      <c r="AS227">
        <v>372</v>
      </c>
      <c r="AT227">
        <v>372</v>
      </c>
      <c r="AU227">
        <v>372</v>
      </c>
      <c r="AV227">
        <v>465</v>
      </c>
      <c r="AW227">
        <v>465</v>
      </c>
      <c r="AX227">
        <v>372</v>
      </c>
      <c r="AY227">
        <v>279</v>
      </c>
      <c r="AZ227">
        <v>0</v>
      </c>
      <c r="BA227">
        <v>0</v>
      </c>
      <c r="BB227">
        <v>270</v>
      </c>
      <c r="BC227">
        <v>396</v>
      </c>
      <c r="BD227">
        <v>360</v>
      </c>
      <c r="BE227">
        <v>360</v>
      </c>
      <c r="BF227">
        <v>360</v>
      </c>
      <c r="BG227">
        <v>288</v>
      </c>
      <c r="BH227">
        <v>225</v>
      </c>
      <c r="BI227">
        <v>0</v>
      </c>
      <c r="BJ227">
        <v>0</v>
      </c>
      <c r="BK227">
        <v>270</v>
      </c>
      <c r="BL227">
        <v>360</v>
      </c>
      <c r="BM227">
        <v>360</v>
      </c>
      <c r="BN227">
        <v>360</v>
      </c>
      <c r="BO227">
        <v>270</v>
      </c>
      <c r="BP227">
        <v>225</v>
      </c>
      <c r="BQ227">
        <f>(I227+J227+N227+O227)/4</f>
        <v>4.833333333333333</v>
      </c>
      <c r="BR227">
        <f>(K227+L227+M227)/3</f>
        <v>4</v>
      </c>
      <c r="BS227">
        <f>BQ227/BR227</f>
        <v>1.2083333333333333</v>
      </c>
      <c r="BT227">
        <f>AQ227/I227</f>
        <v>93</v>
      </c>
      <c r="BU227" t="str">
        <f>IF(OR(A227=2, A227=12), "Central", IF(A227=3, "Semi-Central", "Periférica"))</f>
        <v>Semi-Central</v>
      </c>
    </row>
    <row r="228" spans="1:73" x14ac:dyDescent="0.3">
      <c r="A228" s="1">
        <v>4</v>
      </c>
      <c r="B228" s="1">
        <v>475</v>
      </c>
      <c r="C228" s="1" t="s">
        <v>354</v>
      </c>
      <c r="D228" t="s">
        <v>5</v>
      </c>
      <c r="E228" t="s">
        <v>0</v>
      </c>
      <c r="F228">
        <v>0</v>
      </c>
      <c r="G228">
        <v>0.44444444444444442</v>
      </c>
      <c r="H228">
        <v>6</v>
      </c>
      <c r="I228">
        <v>7.333333333333333</v>
      </c>
      <c r="J228">
        <v>6.666666666666667</v>
      </c>
      <c r="K228">
        <v>6</v>
      </c>
      <c r="L228">
        <v>6</v>
      </c>
      <c r="M228">
        <v>6</v>
      </c>
      <c r="N228">
        <v>7</v>
      </c>
      <c r="O228">
        <v>8</v>
      </c>
      <c r="P228">
        <v>5.333333333333333</v>
      </c>
      <c r="Q228">
        <v>4</v>
      </c>
      <c r="R228">
        <v>0</v>
      </c>
      <c r="S228">
        <v>0</v>
      </c>
      <c r="T228">
        <v>4</v>
      </c>
      <c r="U228">
        <v>5.2</v>
      </c>
      <c r="V228">
        <v>4.666666666666667</v>
      </c>
      <c r="W228">
        <v>4.666666666666667</v>
      </c>
      <c r="X228">
        <v>4.666666666666667</v>
      </c>
      <c r="Y228">
        <v>4</v>
      </c>
      <c r="Z228">
        <v>3</v>
      </c>
      <c r="AA228">
        <v>0</v>
      </c>
      <c r="AB228">
        <v>0</v>
      </c>
      <c r="AC228">
        <v>4</v>
      </c>
      <c r="AD228">
        <v>4.1818181818181817</v>
      </c>
      <c r="AE228">
        <v>4.8</v>
      </c>
      <c r="AF228">
        <v>4.333333333333333</v>
      </c>
      <c r="AG228">
        <v>4</v>
      </c>
      <c r="AH228">
        <v>3</v>
      </c>
      <c r="AI228" s="1">
        <v>4</v>
      </c>
      <c r="AJ228" s="1">
        <v>475</v>
      </c>
      <c r="AK228" s="1" t="s">
        <v>354</v>
      </c>
      <c r="AL228" t="s">
        <v>5</v>
      </c>
      <c r="AM228" t="s">
        <v>0</v>
      </c>
      <c r="AN228">
        <v>0</v>
      </c>
      <c r="AO228">
        <v>40.444444444444443</v>
      </c>
      <c r="AP228">
        <v>546</v>
      </c>
      <c r="AQ228">
        <v>667.33333333333337</v>
      </c>
      <c r="AR228">
        <v>606.66666666666663</v>
      </c>
      <c r="AS228">
        <v>546</v>
      </c>
      <c r="AT228">
        <v>546</v>
      </c>
      <c r="AU228">
        <v>546</v>
      </c>
      <c r="AV228">
        <v>637</v>
      </c>
      <c r="AW228">
        <v>728</v>
      </c>
      <c r="AX228">
        <v>485.33333333333331</v>
      </c>
      <c r="AY228">
        <v>364</v>
      </c>
      <c r="AZ228">
        <v>0</v>
      </c>
      <c r="BA228">
        <v>0</v>
      </c>
      <c r="BB228">
        <v>364</v>
      </c>
      <c r="BC228">
        <v>473.2</v>
      </c>
      <c r="BD228">
        <v>424.66666666666669</v>
      </c>
      <c r="BE228">
        <v>424.66666666666669</v>
      </c>
      <c r="BF228">
        <v>424.66666666666669</v>
      </c>
      <c r="BG228">
        <v>364</v>
      </c>
      <c r="BH228">
        <v>273</v>
      </c>
      <c r="BI228">
        <v>0</v>
      </c>
      <c r="BJ228">
        <v>0</v>
      </c>
      <c r="BK228">
        <v>364</v>
      </c>
      <c r="BL228">
        <v>380.54545454545456</v>
      </c>
      <c r="BM228">
        <v>436.8</v>
      </c>
      <c r="BN228">
        <v>394.33333333333331</v>
      </c>
      <c r="BO228">
        <v>364</v>
      </c>
      <c r="BP228">
        <v>273</v>
      </c>
      <c r="BQ228">
        <f>(I228+J228+N228+O228)/4</f>
        <v>7.25</v>
      </c>
      <c r="BR228">
        <f>(K228+L228+M228)/3</f>
        <v>6</v>
      </c>
      <c r="BS228">
        <f>BQ228/BR228</f>
        <v>1.2083333333333333</v>
      </c>
      <c r="BT228">
        <f>AQ228/I228</f>
        <v>91.000000000000014</v>
      </c>
      <c r="BU228" t="str">
        <f>IF(OR(A228=2, A228=12), "Central", IF(A228=3, "Semi-Central", "Periférica"))</f>
        <v>Periférica</v>
      </c>
    </row>
    <row r="229" spans="1:73" x14ac:dyDescent="0.3">
      <c r="A229" s="1">
        <v>10</v>
      </c>
      <c r="B229" s="1">
        <v>1044</v>
      </c>
      <c r="C229" s="1" t="s">
        <v>346</v>
      </c>
      <c r="D229" t="s">
        <v>1</v>
      </c>
      <c r="E229" t="s">
        <v>0</v>
      </c>
      <c r="F229">
        <v>0</v>
      </c>
      <c r="G229">
        <v>0</v>
      </c>
      <c r="H229">
        <v>6</v>
      </c>
      <c r="I229">
        <v>9.3333333333333339</v>
      </c>
      <c r="J229">
        <v>6.666666666666667</v>
      </c>
      <c r="K229">
        <v>6</v>
      </c>
      <c r="L229">
        <v>6</v>
      </c>
      <c r="M229">
        <v>6</v>
      </c>
      <c r="N229">
        <v>6.5</v>
      </c>
      <c r="O229">
        <v>6.5</v>
      </c>
      <c r="P229">
        <v>6</v>
      </c>
      <c r="Q229">
        <v>3.5</v>
      </c>
      <c r="R229">
        <v>0</v>
      </c>
      <c r="S229">
        <v>0</v>
      </c>
      <c r="T229">
        <v>3</v>
      </c>
      <c r="U229">
        <v>4.4000000000000004</v>
      </c>
      <c r="V229">
        <v>5</v>
      </c>
      <c r="W229">
        <v>4.666666666666667</v>
      </c>
      <c r="X229">
        <v>4</v>
      </c>
      <c r="Y229">
        <v>3.6</v>
      </c>
      <c r="Z229">
        <v>3</v>
      </c>
      <c r="AA229">
        <v>0</v>
      </c>
      <c r="AB229">
        <v>0</v>
      </c>
      <c r="AC229">
        <v>2</v>
      </c>
      <c r="AD229">
        <v>3.454545454545455</v>
      </c>
      <c r="AE229">
        <v>4</v>
      </c>
      <c r="AF229">
        <v>4</v>
      </c>
      <c r="AG229">
        <v>4</v>
      </c>
      <c r="AH229">
        <v>2</v>
      </c>
      <c r="AI229" s="1">
        <v>10</v>
      </c>
      <c r="AJ229" s="1">
        <v>1044</v>
      </c>
      <c r="AK229" s="1" t="s">
        <v>346</v>
      </c>
      <c r="AL229" t="s">
        <v>1</v>
      </c>
      <c r="AM229" t="s">
        <v>0</v>
      </c>
      <c r="AN229">
        <v>0</v>
      </c>
      <c r="AO229">
        <v>0</v>
      </c>
      <c r="AP229">
        <v>360</v>
      </c>
      <c r="AQ229">
        <v>560</v>
      </c>
      <c r="AR229">
        <v>400</v>
      </c>
      <c r="AS229">
        <v>360</v>
      </c>
      <c r="AT229">
        <v>360</v>
      </c>
      <c r="AU229">
        <v>360</v>
      </c>
      <c r="AV229">
        <v>390</v>
      </c>
      <c r="AW229">
        <v>390</v>
      </c>
      <c r="AX229">
        <v>360</v>
      </c>
      <c r="AY229">
        <v>210</v>
      </c>
      <c r="AZ229">
        <v>0</v>
      </c>
      <c r="BA229">
        <v>0</v>
      </c>
      <c r="BB229">
        <v>180</v>
      </c>
      <c r="BC229">
        <v>264</v>
      </c>
      <c r="BD229">
        <v>300</v>
      </c>
      <c r="BE229">
        <v>280</v>
      </c>
      <c r="BF229">
        <v>240</v>
      </c>
      <c r="BG229">
        <v>216</v>
      </c>
      <c r="BH229">
        <v>180</v>
      </c>
      <c r="BI229">
        <v>0</v>
      </c>
      <c r="BJ229">
        <v>0</v>
      </c>
      <c r="BK229">
        <v>120</v>
      </c>
      <c r="BL229">
        <v>207.27272727272731</v>
      </c>
      <c r="BM229">
        <v>240</v>
      </c>
      <c r="BN229">
        <v>240</v>
      </c>
      <c r="BO229">
        <v>240</v>
      </c>
      <c r="BP229">
        <v>120</v>
      </c>
      <c r="BQ229">
        <f>(I229+J229+N229+O229)/4</f>
        <v>7.25</v>
      </c>
      <c r="BR229">
        <f>(K229+L229+M229)/3</f>
        <v>6</v>
      </c>
      <c r="BS229">
        <f>BQ229/BR229</f>
        <v>1.2083333333333333</v>
      </c>
      <c r="BT229">
        <f>AQ229/I229</f>
        <v>59.999999999999993</v>
      </c>
      <c r="BU229" t="str">
        <f>IF(OR(A229=2, A229=12), "Central", IF(A229=3, "Semi-Central", "Periférica"))</f>
        <v>Periférica</v>
      </c>
    </row>
    <row r="230" spans="1:73" x14ac:dyDescent="0.3">
      <c r="A230" s="1">
        <v>16</v>
      </c>
      <c r="B230" s="1">
        <v>1628</v>
      </c>
      <c r="C230" s="1" t="s">
        <v>28</v>
      </c>
      <c r="D230" t="s">
        <v>5</v>
      </c>
      <c r="F230">
        <v>0</v>
      </c>
      <c r="G230">
        <v>0.44444444444444442</v>
      </c>
      <c r="H230">
        <v>6</v>
      </c>
      <c r="I230">
        <v>8</v>
      </c>
      <c r="J230">
        <v>6</v>
      </c>
      <c r="K230">
        <v>5.666666666666667</v>
      </c>
      <c r="L230">
        <v>4.666666666666667</v>
      </c>
      <c r="M230">
        <v>5.2</v>
      </c>
      <c r="N230">
        <v>6</v>
      </c>
      <c r="O230">
        <v>5</v>
      </c>
      <c r="P230">
        <v>5.333333333333333</v>
      </c>
      <c r="Q230">
        <v>3</v>
      </c>
      <c r="R230">
        <v>0</v>
      </c>
      <c r="S230">
        <v>0</v>
      </c>
      <c r="T230">
        <v>4</v>
      </c>
      <c r="U230">
        <v>4</v>
      </c>
      <c r="V230">
        <v>4</v>
      </c>
      <c r="W230">
        <v>4</v>
      </c>
      <c r="X230">
        <v>4</v>
      </c>
      <c r="Y230">
        <v>4</v>
      </c>
      <c r="Z230">
        <v>3.5</v>
      </c>
      <c r="AA230">
        <v>0</v>
      </c>
      <c r="AB230">
        <v>0</v>
      </c>
      <c r="AC230">
        <v>1.5</v>
      </c>
      <c r="AD230">
        <v>3.0909090909090908</v>
      </c>
      <c r="AE230">
        <v>3</v>
      </c>
      <c r="AF230">
        <v>3</v>
      </c>
      <c r="AG230">
        <v>3</v>
      </c>
      <c r="AH230">
        <v>2.5</v>
      </c>
      <c r="AI230" s="1">
        <v>16</v>
      </c>
      <c r="AJ230" s="1">
        <v>1628</v>
      </c>
      <c r="AK230" s="1" t="s">
        <v>28</v>
      </c>
      <c r="AL230" t="s">
        <v>5</v>
      </c>
      <c r="AN230">
        <v>0</v>
      </c>
      <c r="AO230">
        <v>40</v>
      </c>
      <c r="AP230">
        <v>540</v>
      </c>
      <c r="AQ230">
        <v>720</v>
      </c>
      <c r="AR230">
        <v>540</v>
      </c>
      <c r="AS230">
        <v>510</v>
      </c>
      <c r="AT230">
        <v>420</v>
      </c>
      <c r="AU230">
        <v>468</v>
      </c>
      <c r="AV230">
        <v>540</v>
      </c>
      <c r="AW230">
        <v>450</v>
      </c>
      <c r="AX230">
        <v>480</v>
      </c>
      <c r="AY230">
        <v>270</v>
      </c>
      <c r="AZ230">
        <v>0</v>
      </c>
      <c r="BA230">
        <v>0</v>
      </c>
      <c r="BB230">
        <v>360</v>
      </c>
      <c r="BC230">
        <v>360</v>
      </c>
      <c r="BD230">
        <v>360</v>
      </c>
      <c r="BE230">
        <v>360</v>
      </c>
      <c r="BF230">
        <v>360</v>
      </c>
      <c r="BG230">
        <v>360</v>
      </c>
      <c r="BH230">
        <v>315</v>
      </c>
      <c r="BI230">
        <v>0</v>
      </c>
      <c r="BJ230">
        <v>0</v>
      </c>
      <c r="BK230">
        <v>135</v>
      </c>
      <c r="BL230">
        <v>278.18181818181819</v>
      </c>
      <c r="BM230">
        <v>270</v>
      </c>
      <c r="BN230">
        <v>270</v>
      </c>
      <c r="BO230">
        <v>270</v>
      </c>
      <c r="BP230">
        <v>225</v>
      </c>
      <c r="BQ230">
        <f>(I230+J230+N230+O230)/4</f>
        <v>6.25</v>
      </c>
      <c r="BR230">
        <f>(K230+L230+M230)/3</f>
        <v>5.177777777777778</v>
      </c>
      <c r="BS230">
        <f>BQ230/BR230</f>
        <v>1.2070815450643777</v>
      </c>
      <c r="BT230">
        <f>AQ230/I230</f>
        <v>90</v>
      </c>
      <c r="BU230" t="str">
        <f>IF(OR(A230=2, A230=12), "Central", IF(A230=3, "Semi-Central", "Periférica"))</f>
        <v>Periférica</v>
      </c>
    </row>
    <row r="231" spans="1:73" x14ac:dyDescent="0.3">
      <c r="A231" s="1">
        <v>5</v>
      </c>
      <c r="B231" s="1">
        <v>504</v>
      </c>
      <c r="C231" s="1">
        <v>504</v>
      </c>
      <c r="D231" t="s">
        <v>5</v>
      </c>
      <c r="E231" t="s">
        <v>0</v>
      </c>
      <c r="F231">
        <v>0</v>
      </c>
      <c r="G231">
        <v>0</v>
      </c>
      <c r="H231">
        <v>8</v>
      </c>
      <c r="I231">
        <v>10</v>
      </c>
      <c r="J231">
        <v>6</v>
      </c>
      <c r="K231">
        <v>5</v>
      </c>
      <c r="L231">
        <v>5.333333333333333</v>
      </c>
      <c r="M231">
        <v>6.8</v>
      </c>
      <c r="N231">
        <v>6.5</v>
      </c>
      <c r="O231">
        <v>5</v>
      </c>
      <c r="P231">
        <v>4</v>
      </c>
      <c r="Q231">
        <v>2</v>
      </c>
      <c r="R231">
        <v>0</v>
      </c>
      <c r="S231">
        <v>0</v>
      </c>
      <c r="T231">
        <v>4</v>
      </c>
      <c r="U231">
        <v>5.6</v>
      </c>
      <c r="V231">
        <v>5.666666666666667</v>
      </c>
      <c r="W231">
        <v>4.666666666666667</v>
      </c>
      <c r="X231">
        <v>4.666666666666667</v>
      </c>
      <c r="Y231">
        <v>4</v>
      </c>
      <c r="Z231">
        <v>2</v>
      </c>
      <c r="AA231">
        <v>0</v>
      </c>
      <c r="AB231">
        <v>0</v>
      </c>
      <c r="AC231">
        <v>4.5</v>
      </c>
      <c r="AD231">
        <v>4.3636363636363633</v>
      </c>
      <c r="AE231">
        <v>4</v>
      </c>
      <c r="AF231">
        <v>3.6666666666666665</v>
      </c>
      <c r="AG231">
        <v>4</v>
      </c>
      <c r="AH231">
        <v>2</v>
      </c>
      <c r="AI231" s="1">
        <v>5</v>
      </c>
      <c r="AJ231" s="1">
        <v>504</v>
      </c>
      <c r="AK231" s="1">
        <v>504</v>
      </c>
      <c r="AL231" t="s">
        <v>5</v>
      </c>
      <c r="AM231" t="s">
        <v>0</v>
      </c>
      <c r="AN231">
        <v>0</v>
      </c>
      <c r="AO231">
        <v>0</v>
      </c>
      <c r="AP231">
        <v>648</v>
      </c>
      <c r="AQ231">
        <v>810</v>
      </c>
      <c r="AR231">
        <v>486</v>
      </c>
      <c r="AS231">
        <v>405</v>
      </c>
      <c r="AT231">
        <v>432</v>
      </c>
      <c r="AU231">
        <v>550.79999999999995</v>
      </c>
      <c r="AV231">
        <v>526.5</v>
      </c>
      <c r="AW231">
        <v>405</v>
      </c>
      <c r="AX231">
        <v>324</v>
      </c>
      <c r="AY231">
        <v>162</v>
      </c>
      <c r="AZ231">
        <v>0</v>
      </c>
      <c r="BA231">
        <v>0</v>
      </c>
      <c r="BB231">
        <v>324</v>
      </c>
      <c r="BC231">
        <v>453.6</v>
      </c>
      <c r="BD231">
        <v>459</v>
      </c>
      <c r="BE231">
        <v>378</v>
      </c>
      <c r="BF231">
        <v>378</v>
      </c>
      <c r="BG231">
        <v>324</v>
      </c>
      <c r="BH231">
        <v>162</v>
      </c>
      <c r="BI231">
        <v>0</v>
      </c>
      <c r="BJ231">
        <v>0</v>
      </c>
      <c r="BK231">
        <v>364.5</v>
      </c>
      <c r="BL231">
        <v>353.45454545454544</v>
      </c>
      <c r="BM231">
        <v>324</v>
      </c>
      <c r="BN231">
        <v>297</v>
      </c>
      <c r="BO231">
        <v>324</v>
      </c>
      <c r="BP231">
        <v>162</v>
      </c>
      <c r="BQ231">
        <f>(I231+J231+N231+O231)/4</f>
        <v>6.875</v>
      </c>
      <c r="BR231">
        <f>(K231+L231+M231)/3</f>
        <v>5.7111111111111112</v>
      </c>
      <c r="BS231">
        <f>BQ231/BR231</f>
        <v>1.2037937743190661</v>
      </c>
      <c r="BT231">
        <f>AQ231/I231</f>
        <v>81</v>
      </c>
      <c r="BU231" t="str">
        <f>IF(OR(A231=2, A231=12), "Central", IF(A231=3, "Semi-Central", "Periférica"))</f>
        <v>Periférica</v>
      </c>
    </row>
    <row r="232" spans="1:73" x14ac:dyDescent="0.3">
      <c r="A232" s="1">
        <v>4</v>
      </c>
      <c r="B232" s="1">
        <v>480</v>
      </c>
      <c r="C232" s="1">
        <v>228</v>
      </c>
      <c r="D232" t="s">
        <v>5</v>
      </c>
      <c r="E232" t="s">
        <v>0</v>
      </c>
      <c r="F232">
        <v>0</v>
      </c>
      <c r="G232">
        <v>0</v>
      </c>
      <c r="H232">
        <v>7</v>
      </c>
      <c r="I232">
        <v>12.666666666666666</v>
      </c>
      <c r="J232">
        <v>9.3333333333333339</v>
      </c>
      <c r="K232">
        <v>7.333333333333333</v>
      </c>
      <c r="L232">
        <v>8.6666666666666661</v>
      </c>
      <c r="M232">
        <v>8</v>
      </c>
      <c r="N232">
        <v>7.5</v>
      </c>
      <c r="O232">
        <v>9</v>
      </c>
      <c r="P232">
        <v>6.666666666666667</v>
      </c>
      <c r="Q232">
        <v>5.5</v>
      </c>
      <c r="R232">
        <v>0</v>
      </c>
      <c r="S232">
        <v>0</v>
      </c>
      <c r="T232">
        <v>3</v>
      </c>
      <c r="U232">
        <v>6</v>
      </c>
      <c r="V232">
        <v>5.666666666666667</v>
      </c>
      <c r="W232">
        <v>6.333333333333333</v>
      </c>
      <c r="X232">
        <v>6</v>
      </c>
      <c r="Y232">
        <v>5.2</v>
      </c>
      <c r="Z232">
        <v>4</v>
      </c>
      <c r="AA232">
        <v>0</v>
      </c>
      <c r="AB232">
        <v>0</v>
      </c>
      <c r="AC232">
        <v>4</v>
      </c>
      <c r="AD232">
        <v>5.0909090909090908</v>
      </c>
      <c r="AE232">
        <v>5</v>
      </c>
      <c r="AF232">
        <v>4.666666666666667</v>
      </c>
      <c r="AG232">
        <v>5</v>
      </c>
      <c r="AH232">
        <v>4</v>
      </c>
      <c r="AI232" s="1">
        <v>4</v>
      </c>
      <c r="AJ232" s="1">
        <v>480</v>
      </c>
      <c r="AK232" s="1">
        <v>228</v>
      </c>
      <c r="AL232" t="s">
        <v>5</v>
      </c>
      <c r="AM232" t="s">
        <v>0</v>
      </c>
      <c r="AN232">
        <v>0</v>
      </c>
      <c r="AO232">
        <v>0</v>
      </c>
      <c r="AP232">
        <v>637</v>
      </c>
      <c r="AQ232">
        <v>1152.6666666666667</v>
      </c>
      <c r="AR232">
        <v>849.33333333333337</v>
      </c>
      <c r="AS232">
        <v>667.33333333333337</v>
      </c>
      <c r="AT232">
        <v>788.66666666666663</v>
      </c>
      <c r="AU232">
        <v>728</v>
      </c>
      <c r="AV232">
        <v>682.5</v>
      </c>
      <c r="AW232">
        <v>819</v>
      </c>
      <c r="AX232">
        <v>606.66666666666663</v>
      </c>
      <c r="AY232">
        <v>500.5</v>
      </c>
      <c r="AZ232">
        <v>0</v>
      </c>
      <c r="BA232">
        <v>0</v>
      </c>
      <c r="BB232">
        <v>273</v>
      </c>
      <c r="BC232">
        <v>546</v>
      </c>
      <c r="BD232">
        <v>515.66666666666663</v>
      </c>
      <c r="BE232">
        <v>576.33333333333337</v>
      </c>
      <c r="BF232">
        <v>546</v>
      </c>
      <c r="BG232">
        <v>473.2</v>
      </c>
      <c r="BH232">
        <v>364</v>
      </c>
      <c r="BI232">
        <v>0</v>
      </c>
      <c r="BJ232">
        <v>0</v>
      </c>
      <c r="BK232">
        <v>364</v>
      </c>
      <c r="BL232">
        <v>463.27272727272725</v>
      </c>
      <c r="BM232">
        <v>455</v>
      </c>
      <c r="BN232">
        <v>424.66666666666669</v>
      </c>
      <c r="BO232">
        <v>455</v>
      </c>
      <c r="BP232">
        <v>364</v>
      </c>
      <c r="BQ232">
        <f>(I232+J232+N232+O232)/4</f>
        <v>9.625</v>
      </c>
      <c r="BR232">
        <f>(K232+L232+M232)/3</f>
        <v>8</v>
      </c>
      <c r="BS232">
        <f>BQ232/BR232</f>
        <v>1.203125</v>
      </c>
      <c r="BT232">
        <f>AQ232/I232</f>
        <v>91.000000000000014</v>
      </c>
      <c r="BU232" t="str">
        <f>IF(OR(A232=2, A232=12), "Central", IF(A232=3, "Semi-Central", "Periférica"))</f>
        <v>Periférica</v>
      </c>
    </row>
    <row r="233" spans="1:73" x14ac:dyDescent="0.3">
      <c r="A233" s="1">
        <v>2</v>
      </c>
      <c r="B233" s="1">
        <v>276</v>
      </c>
      <c r="C233" s="1" t="s">
        <v>246</v>
      </c>
      <c r="D233" t="s">
        <v>5</v>
      </c>
      <c r="F233">
        <v>0</v>
      </c>
      <c r="G233">
        <v>0</v>
      </c>
      <c r="H233">
        <v>1</v>
      </c>
      <c r="I233">
        <v>1.3333333333333333</v>
      </c>
      <c r="J233">
        <v>1.3333333333333333</v>
      </c>
      <c r="K233">
        <v>1</v>
      </c>
      <c r="L233">
        <v>1.3333333333333333</v>
      </c>
      <c r="M233">
        <v>1.2</v>
      </c>
      <c r="N233">
        <v>1.5</v>
      </c>
      <c r="O233">
        <v>1.5</v>
      </c>
      <c r="P233">
        <v>1.3333333333333333</v>
      </c>
      <c r="Q233">
        <v>0.5</v>
      </c>
      <c r="R233">
        <v>0</v>
      </c>
      <c r="S233">
        <v>0</v>
      </c>
      <c r="T233">
        <v>1</v>
      </c>
      <c r="U233">
        <v>1.2</v>
      </c>
      <c r="V233">
        <v>1</v>
      </c>
      <c r="W233">
        <v>1</v>
      </c>
      <c r="X233">
        <v>1.1111111111111112</v>
      </c>
      <c r="Y233">
        <v>1.2</v>
      </c>
      <c r="Z233">
        <v>0.5</v>
      </c>
      <c r="AA233">
        <v>0</v>
      </c>
      <c r="AB233">
        <v>0</v>
      </c>
      <c r="AC233">
        <v>1</v>
      </c>
      <c r="AD233">
        <v>1.0909090909090908</v>
      </c>
      <c r="AE233">
        <v>1</v>
      </c>
      <c r="AF233">
        <v>1</v>
      </c>
      <c r="AG233">
        <v>1</v>
      </c>
      <c r="AH233">
        <v>0.5</v>
      </c>
      <c r="AI233" s="1">
        <v>2</v>
      </c>
      <c r="AJ233" s="1">
        <v>276</v>
      </c>
      <c r="AK233" s="1" t="s">
        <v>246</v>
      </c>
      <c r="AL233" t="s">
        <v>5</v>
      </c>
      <c r="AN233">
        <v>0</v>
      </c>
      <c r="AO233">
        <v>0</v>
      </c>
      <c r="AP233">
        <v>101</v>
      </c>
      <c r="AQ233">
        <v>134.66666666666666</v>
      </c>
      <c r="AR233">
        <v>134.66666666666666</v>
      </c>
      <c r="AS233">
        <v>101</v>
      </c>
      <c r="AT233">
        <v>134.66666666666666</v>
      </c>
      <c r="AU233">
        <v>121.2</v>
      </c>
      <c r="AV233">
        <v>151.5</v>
      </c>
      <c r="AW233">
        <v>151.5</v>
      </c>
      <c r="AX233">
        <v>134.66666666666666</v>
      </c>
      <c r="AY233">
        <v>50.5</v>
      </c>
      <c r="AZ233">
        <v>0</v>
      </c>
      <c r="BA233">
        <v>0</v>
      </c>
      <c r="BB233">
        <v>101</v>
      </c>
      <c r="BC233">
        <v>121.2</v>
      </c>
      <c r="BD233">
        <v>101</v>
      </c>
      <c r="BE233">
        <v>101</v>
      </c>
      <c r="BF233">
        <v>112.22222222222223</v>
      </c>
      <c r="BG233">
        <v>121.2</v>
      </c>
      <c r="BH233">
        <v>50.5</v>
      </c>
      <c r="BI233">
        <v>0</v>
      </c>
      <c r="BJ233">
        <v>0</v>
      </c>
      <c r="BK233">
        <v>101</v>
      </c>
      <c r="BL233">
        <v>110.18181818181819</v>
      </c>
      <c r="BM233">
        <v>101</v>
      </c>
      <c r="BN233">
        <v>101</v>
      </c>
      <c r="BO233">
        <v>101</v>
      </c>
      <c r="BP233">
        <v>50.5</v>
      </c>
      <c r="BQ233">
        <f>(I233+J233+N233+O233)/4</f>
        <v>1.4166666666666665</v>
      </c>
      <c r="BR233">
        <f>(K233+L233+M233)/3</f>
        <v>1.1777777777777778</v>
      </c>
      <c r="BS233">
        <f>BQ233/BR233</f>
        <v>1.2028301886792452</v>
      </c>
      <c r="BT233">
        <f>AQ233/I233</f>
        <v>101</v>
      </c>
      <c r="BU233" t="str">
        <f>IF(OR(A233=2, A233=12), "Central", IF(A233=3, "Semi-Central", "Periférica"))</f>
        <v>Central</v>
      </c>
    </row>
    <row r="234" spans="1:73" x14ac:dyDescent="0.3">
      <c r="A234" s="1">
        <v>3</v>
      </c>
      <c r="B234" s="1">
        <v>369</v>
      </c>
      <c r="C234" s="1" t="s">
        <v>315</v>
      </c>
      <c r="D234" t="s">
        <v>1</v>
      </c>
      <c r="E234" t="s">
        <v>0</v>
      </c>
      <c r="F234">
        <v>0</v>
      </c>
      <c r="G234">
        <v>0</v>
      </c>
      <c r="H234">
        <v>3</v>
      </c>
      <c r="I234">
        <v>7.333333333333333</v>
      </c>
      <c r="J234">
        <v>4</v>
      </c>
      <c r="K234">
        <v>5</v>
      </c>
      <c r="L234">
        <v>4.666666666666667</v>
      </c>
      <c r="M234">
        <v>5.2</v>
      </c>
      <c r="N234">
        <v>6</v>
      </c>
      <c r="O234">
        <v>6.5</v>
      </c>
      <c r="P234">
        <v>4.666666666666667</v>
      </c>
      <c r="Q234">
        <v>3</v>
      </c>
      <c r="R234">
        <v>0</v>
      </c>
      <c r="S234">
        <v>0</v>
      </c>
      <c r="T234">
        <v>2</v>
      </c>
      <c r="U234">
        <v>3.2</v>
      </c>
      <c r="V234">
        <v>4</v>
      </c>
      <c r="W234">
        <v>4</v>
      </c>
      <c r="X234">
        <v>4</v>
      </c>
      <c r="Y234">
        <v>3.2</v>
      </c>
      <c r="Z234">
        <v>2</v>
      </c>
      <c r="AA234">
        <v>0</v>
      </c>
      <c r="AB234">
        <v>0</v>
      </c>
      <c r="AC234">
        <v>3</v>
      </c>
      <c r="AD234">
        <v>3.0909090909090908</v>
      </c>
      <c r="AE234">
        <v>3</v>
      </c>
      <c r="AF234">
        <v>3</v>
      </c>
      <c r="AG234">
        <v>3</v>
      </c>
      <c r="AH234">
        <v>2.5</v>
      </c>
      <c r="AI234" s="1">
        <v>3</v>
      </c>
      <c r="AJ234" s="1">
        <v>369</v>
      </c>
      <c r="AK234" s="1" t="s">
        <v>315</v>
      </c>
      <c r="AL234" t="s">
        <v>1</v>
      </c>
      <c r="AM234" t="s">
        <v>0</v>
      </c>
      <c r="AN234">
        <v>0</v>
      </c>
      <c r="AO234">
        <v>0</v>
      </c>
      <c r="AP234">
        <v>294</v>
      </c>
      <c r="AQ234">
        <v>718.66666666666663</v>
      </c>
      <c r="AR234">
        <v>392</v>
      </c>
      <c r="AS234">
        <v>490</v>
      </c>
      <c r="AT234">
        <v>457.33333333333331</v>
      </c>
      <c r="AU234">
        <v>509.6</v>
      </c>
      <c r="AV234">
        <v>588</v>
      </c>
      <c r="AW234">
        <v>637</v>
      </c>
      <c r="AX234">
        <v>457.33333333333331</v>
      </c>
      <c r="AY234">
        <v>294</v>
      </c>
      <c r="AZ234">
        <v>0</v>
      </c>
      <c r="BA234">
        <v>0</v>
      </c>
      <c r="BB234">
        <v>196</v>
      </c>
      <c r="BC234">
        <v>313.60000000000002</v>
      </c>
      <c r="BD234">
        <v>392</v>
      </c>
      <c r="BE234">
        <v>392</v>
      </c>
      <c r="BF234">
        <v>392</v>
      </c>
      <c r="BG234">
        <v>313.60000000000002</v>
      </c>
      <c r="BH234">
        <v>196</v>
      </c>
      <c r="BI234">
        <v>0</v>
      </c>
      <c r="BJ234">
        <v>0</v>
      </c>
      <c r="BK234">
        <v>294</v>
      </c>
      <c r="BL234">
        <v>302.90909090909093</v>
      </c>
      <c r="BM234">
        <v>294</v>
      </c>
      <c r="BN234">
        <v>294</v>
      </c>
      <c r="BO234">
        <v>294</v>
      </c>
      <c r="BP234">
        <v>245</v>
      </c>
      <c r="BQ234">
        <f>(I234+J234+N234+O234)/4</f>
        <v>5.958333333333333</v>
      </c>
      <c r="BR234">
        <f>(K234+L234+M234)/3</f>
        <v>4.9555555555555557</v>
      </c>
      <c r="BS234">
        <f>BQ234/BR234</f>
        <v>1.2023542600896859</v>
      </c>
      <c r="BT234">
        <f>AQ234/I234</f>
        <v>98</v>
      </c>
      <c r="BU234" t="str">
        <f>IF(OR(A234=2, A234=12), "Central", IF(A234=3, "Semi-Central", "Periférica"))</f>
        <v>Semi-Central</v>
      </c>
    </row>
    <row r="235" spans="1:73" x14ac:dyDescent="0.3">
      <c r="A235" s="1">
        <v>3</v>
      </c>
      <c r="B235" s="1">
        <v>314</v>
      </c>
      <c r="C235" s="1">
        <v>314</v>
      </c>
      <c r="D235" t="s">
        <v>5</v>
      </c>
      <c r="E235" t="s">
        <v>0</v>
      </c>
      <c r="F235">
        <v>0</v>
      </c>
      <c r="G235">
        <v>0.66666666666666663</v>
      </c>
      <c r="H235">
        <v>7</v>
      </c>
      <c r="I235">
        <v>7.333333333333333</v>
      </c>
      <c r="J235">
        <v>6.666666666666667</v>
      </c>
      <c r="K235">
        <v>6</v>
      </c>
      <c r="L235">
        <v>4</v>
      </c>
      <c r="M235">
        <v>5.6</v>
      </c>
      <c r="N235">
        <v>6</v>
      </c>
      <c r="O235">
        <v>5</v>
      </c>
      <c r="P235">
        <v>4.666666666666667</v>
      </c>
      <c r="Q235">
        <v>3.5</v>
      </c>
      <c r="R235">
        <v>0</v>
      </c>
      <c r="S235">
        <v>0.22222222222222221</v>
      </c>
      <c r="T235">
        <v>4</v>
      </c>
      <c r="U235">
        <v>4.4000000000000004</v>
      </c>
      <c r="V235">
        <v>4.666666666666667</v>
      </c>
      <c r="W235">
        <v>5.333333333333333</v>
      </c>
      <c r="X235">
        <v>4</v>
      </c>
      <c r="Y235">
        <v>4</v>
      </c>
      <c r="Z235">
        <v>3</v>
      </c>
      <c r="AA235">
        <v>0</v>
      </c>
      <c r="AB235">
        <v>0.22222222222222221</v>
      </c>
      <c r="AC235">
        <v>3</v>
      </c>
      <c r="AD235">
        <v>4.1818181818181817</v>
      </c>
      <c r="AE235">
        <v>4</v>
      </c>
      <c r="AF235">
        <v>4</v>
      </c>
      <c r="AG235">
        <v>3</v>
      </c>
      <c r="AH235">
        <v>2.5</v>
      </c>
      <c r="AI235" s="1">
        <v>3</v>
      </c>
      <c r="AJ235" s="1">
        <v>314</v>
      </c>
      <c r="AK235" s="1">
        <v>314</v>
      </c>
      <c r="AL235" t="s">
        <v>5</v>
      </c>
      <c r="AM235" t="s">
        <v>0</v>
      </c>
      <c r="AN235">
        <v>0</v>
      </c>
      <c r="AO235">
        <v>62</v>
      </c>
      <c r="AP235">
        <v>651</v>
      </c>
      <c r="AQ235">
        <v>682</v>
      </c>
      <c r="AR235">
        <v>620</v>
      </c>
      <c r="AS235">
        <v>558</v>
      </c>
      <c r="AT235">
        <v>372</v>
      </c>
      <c r="AU235">
        <v>520.79999999999995</v>
      </c>
      <c r="AV235">
        <v>558</v>
      </c>
      <c r="AW235">
        <v>465</v>
      </c>
      <c r="AX235">
        <v>434</v>
      </c>
      <c r="AY235">
        <v>325.5</v>
      </c>
      <c r="AZ235">
        <v>0</v>
      </c>
      <c r="BA235">
        <v>20.666666666666668</v>
      </c>
      <c r="BB235">
        <v>372</v>
      </c>
      <c r="BC235">
        <v>409.2</v>
      </c>
      <c r="BD235">
        <v>434</v>
      </c>
      <c r="BE235">
        <v>496</v>
      </c>
      <c r="BF235">
        <v>372</v>
      </c>
      <c r="BG235">
        <v>372</v>
      </c>
      <c r="BH235">
        <v>279</v>
      </c>
      <c r="BI235">
        <v>0</v>
      </c>
      <c r="BJ235">
        <v>20.666666666666668</v>
      </c>
      <c r="BK235">
        <v>279</v>
      </c>
      <c r="BL235">
        <v>388.90909090909093</v>
      </c>
      <c r="BM235">
        <v>372</v>
      </c>
      <c r="BN235">
        <v>372</v>
      </c>
      <c r="BO235">
        <v>279</v>
      </c>
      <c r="BP235">
        <v>232.5</v>
      </c>
      <c r="BQ235">
        <f>(I235+J235+N235+O235)/4</f>
        <v>6.25</v>
      </c>
      <c r="BR235">
        <f>(K235+L235+M235)/3</f>
        <v>5.2</v>
      </c>
      <c r="BS235">
        <f>BQ235/BR235</f>
        <v>1.2019230769230769</v>
      </c>
      <c r="BT235">
        <f>AQ235/I235</f>
        <v>93</v>
      </c>
      <c r="BU235" t="str">
        <f>IF(OR(A235=2, A235=12), "Central", IF(A235=3, "Semi-Central", "Periférica"))</f>
        <v>Semi-Central</v>
      </c>
    </row>
    <row r="236" spans="1:73" x14ac:dyDescent="0.3">
      <c r="A236" s="1">
        <v>3</v>
      </c>
      <c r="B236" s="1">
        <v>319</v>
      </c>
      <c r="C236" s="1">
        <v>119</v>
      </c>
      <c r="D236" t="s">
        <v>1</v>
      </c>
      <c r="E236" t="s">
        <v>0</v>
      </c>
      <c r="F236">
        <v>2</v>
      </c>
      <c r="G236">
        <v>2</v>
      </c>
      <c r="H236">
        <v>11</v>
      </c>
      <c r="I236">
        <v>12</v>
      </c>
      <c r="J236">
        <v>8</v>
      </c>
      <c r="K236">
        <v>6.666666666666667</v>
      </c>
      <c r="L236">
        <v>5.333333333333333</v>
      </c>
      <c r="M236">
        <v>8</v>
      </c>
      <c r="N236">
        <v>7.5</v>
      </c>
      <c r="O236">
        <v>4.5</v>
      </c>
      <c r="P236">
        <v>4</v>
      </c>
      <c r="Q236">
        <v>3</v>
      </c>
      <c r="R236">
        <v>2</v>
      </c>
      <c r="S236">
        <v>2</v>
      </c>
      <c r="T236">
        <v>4</v>
      </c>
      <c r="U236">
        <v>4.4000000000000004</v>
      </c>
      <c r="V236">
        <v>4</v>
      </c>
      <c r="W236">
        <v>4</v>
      </c>
      <c r="X236">
        <v>4</v>
      </c>
      <c r="Y236">
        <v>3.6</v>
      </c>
      <c r="Z236">
        <v>2.5</v>
      </c>
      <c r="AA236">
        <v>2</v>
      </c>
      <c r="AB236">
        <v>2</v>
      </c>
      <c r="AC236">
        <v>4</v>
      </c>
      <c r="AD236">
        <v>4</v>
      </c>
      <c r="AE236">
        <v>4</v>
      </c>
      <c r="AF236">
        <v>4</v>
      </c>
      <c r="AG236">
        <v>3</v>
      </c>
      <c r="AH236">
        <v>2.5</v>
      </c>
      <c r="AI236" s="1">
        <v>3</v>
      </c>
      <c r="AJ236" s="1">
        <v>319</v>
      </c>
      <c r="AK236" s="1">
        <v>119</v>
      </c>
      <c r="AL236" t="s">
        <v>1</v>
      </c>
      <c r="AM236" t="s">
        <v>0</v>
      </c>
      <c r="AN236">
        <v>196</v>
      </c>
      <c r="AO236">
        <v>196</v>
      </c>
      <c r="AP236">
        <v>1078</v>
      </c>
      <c r="AQ236">
        <v>1176</v>
      </c>
      <c r="AR236">
        <v>784</v>
      </c>
      <c r="AS236">
        <v>653.33333333333337</v>
      </c>
      <c r="AT236">
        <v>522.66666666666663</v>
      </c>
      <c r="AU236">
        <v>784</v>
      </c>
      <c r="AV236">
        <v>735</v>
      </c>
      <c r="AW236">
        <v>441</v>
      </c>
      <c r="AX236">
        <v>392</v>
      </c>
      <c r="AY236">
        <v>294</v>
      </c>
      <c r="AZ236">
        <v>196</v>
      </c>
      <c r="BA236">
        <v>196</v>
      </c>
      <c r="BB236">
        <v>392</v>
      </c>
      <c r="BC236">
        <v>431.2</v>
      </c>
      <c r="BD236">
        <v>392</v>
      </c>
      <c r="BE236">
        <v>392</v>
      </c>
      <c r="BF236">
        <v>392</v>
      </c>
      <c r="BG236">
        <v>352.8</v>
      </c>
      <c r="BH236">
        <v>245</v>
      </c>
      <c r="BI236">
        <v>196</v>
      </c>
      <c r="BJ236">
        <v>196</v>
      </c>
      <c r="BK236">
        <v>392</v>
      </c>
      <c r="BL236">
        <v>392</v>
      </c>
      <c r="BM236">
        <v>392</v>
      </c>
      <c r="BN236">
        <v>392</v>
      </c>
      <c r="BO236">
        <v>294</v>
      </c>
      <c r="BP236">
        <v>245</v>
      </c>
      <c r="BQ236">
        <f>(I236+J236+N236+O236)/4</f>
        <v>8</v>
      </c>
      <c r="BR236">
        <f>(K236+L236+M236)/3</f>
        <v>6.666666666666667</v>
      </c>
      <c r="BS236">
        <f>BQ236/BR236</f>
        <v>1.2</v>
      </c>
      <c r="BT236">
        <f>AQ236/I236</f>
        <v>98</v>
      </c>
      <c r="BU236" t="str">
        <f>IF(OR(A236=2, A236=12), "Central", IF(A236=3, "Semi-Central", "Periférica"))</f>
        <v>Semi-Central</v>
      </c>
    </row>
    <row r="237" spans="1:73" x14ac:dyDescent="0.3">
      <c r="A237" s="1">
        <v>11</v>
      </c>
      <c r="B237" s="1">
        <v>1111</v>
      </c>
      <c r="C237" s="1" t="s">
        <v>122</v>
      </c>
      <c r="D237" t="s">
        <v>5</v>
      </c>
      <c r="F237">
        <v>0</v>
      </c>
      <c r="G237">
        <v>0</v>
      </c>
      <c r="H237">
        <v>5</v>
      </c>
      <c r="I237">
        <v>8</v>
      </c>
      <c r="J237">
        <v>7.333333333333333</v>
      </c>
      <c r="K237">
        <v>6.666666666666667</v>
      </c>
      <c r="L237">
        <v>6</v>
      </c>
      <c r="M237">
        <v>6</v>
      </c>
      <c r="N237">
        <v>7.5</v>
      </c>
      <c r="O237">
        <v>7</v>
      </c>
      <c r="P237">
        <v>5.333333333333333</v>
      </c>
      <c r="Q237">
        <v>2</v>
      </c>
      <c r="R237">
        <v>0</v>
      </c>
      <c r="S237">
        <v>0</v>
      </c>
      <c r="T237">
        <v>4</v>
      </c>
      <c r="U237">
        <v>6.8</v>
      </c>
      <c r="V237">
        <v>6.333333333333333</v>
      </c>
      <c r="W237">
        <v>5</v>
      </c>
      <c r="X237">
        <v>4.4444444444444446</v>
      </c>
      <c r="Y237">
        <v>3.6</v>
      </c>
      <c r="Z237">
        <v>1.5</v>
      </c>
      <c r="AA237">
        <v>0</v>
      </c>
      <c r="AB237">
        <v>0</v>
      </c>
      <c r="AC237">
        <v>1.5</v>
      </c>
      <c r="AD237">
        <v>4.7272727272727284</v>
      </c>
      <c r="AE237">
        <v>4.2</v>
      </c>
      <c r="AF237">
        <v>3.333333333333333</v>
      </c>
      <c r="AG237">
        <v>3</v>
      </c>
      <c r="AH237">
        <v>3</v>
      </c>
      <c r="AI237" s="1">
        <v>11</v>
      </c>
      <c r="AJ237" s="1">
        <v>1111</v>
      </c>
      <c r="AK237" s="1" t="s">
        <v>122</v>
      </c>
      <c r="AL237" t="s">
        <v>5</v>
      </c>
      <c r="AN237">
        <v>0</v>
      </c>
      <c r="AO237">
        <v>0</v>
      </c>
      <c r="AP237">
        <v>450</v>
      </c>
      <c r="AQ237">
        <v>720</v>
      </c>
      <c r="AR237">
        <v>660</v>
      </c>
      <c r="AS237">
        <v>600</v>
      </c>
      <c r="AT237">
        <v>540</v>
      </c>
      <c r="AU237">
        <v>540</v>
      </c>
      <c r="AV237">
        <v>675</v>
      </c>
      <c r="AW237">
        <v>630</v>
      </c>
      <c r="AX237">
        <v>480</v>
      </c>
      <c r="AY237">
        <v>180</v>
      </c>
      <c r="AZ237">
        <v>0</v>
      </c>
      <c r="BA237">
        <v>0</v>
      </c>
      <c r="BB237">
        <v>360</v>
      </c>
      <c r="BC237">
        <v>612</v>
      </c>
      <c r="BD237">
        <v>570</v>
      </c>
      <c r="BE237">
        <v>450</v>
      </c>
      <c r="BF237">
        <v>400</v>
      </c>
      <c r="BG237">
        <v>324</v>
      </c>
      <c r="BH237">
        <v>135</v>
      </c>
      <c r="BI237">
        <v>0</v>
      </c>
      <c r="BJ237">
        <v>0</v>
      </c>
      <c r="BK237">
        <v>135</v>
      </c>
      <c r="BL237">
        <v>425.45454545454538</v>
      </c>
      <c r="BM237">
        <v>378</v>
      </c>
      <c r="BN237">
        <v>300</v>
      </c>
      <c r="BO237">
        <v>270</v>
      </c>
      <c r="BP237">
        <v>270</v>
      </c>
      <c r="BQ237">
        <f>(I237+J237+N237+O237)/4</f>
        <v>7.458333333333333</v>
      </c>
      <c r="BR237">
        <f>(K237+L237+M237)/3</f>
        <v>6.2222222222222223</v>
      </c>
      <c r="BS237">
        <f>BQ237/BR237</f>
        <v>1.1986607142857142</v>
      </c>
      <c r="BT237">
        <f>AQ237/I237</f>
        <v>90</v>
      </c>
      <c r="BU237" t="str">
        <f>IF(OR(A237=2, A237=12), "Central", IF(A237=3, "Semi-Central", "Periférica"))</f>
        <v>Periférica</v>
      </c>
    </row>
    <row r="238" spans="1:73" x14ac:dyDescent="0.3">
      <c r="A238" s="1">
        <v>4</v>
      </c>
      <c r="B238" s="1">
        <v>436</v>
      </c>
      <c r="C238" s="1">
        <v>286</v>
      </c>
      <c r="D238" t="s">
        <v>5</v>
      </c>
      <c r="F238">
        <v>0</v>
      </c>
      <c r="G238">
        <v>0.44444444444444442</v>
      </c>
      <c r="H238">
        <v>7</v>
      </c>
      <c r="I238">
        <v>6.666666666666667</v>
      </c>
      <c r="J238">
        <v>6</v>
      </c>
      <c r="K238">
        <v>5</v>
      </c>
      <c r="L238">
        <v>5.333333333333333</v>
      </c>
      <c r="M238">
        <v>4.8</v>
      </c>
      <c r="N238">
        <v>6</v>
      </c>
      <c r="O238">
        <v>5.5</v>
      </c>
      <c r="P238">
        <v>4.666666666666667</v>
      </c>
      <c r="Q238">
        <v>3</v>
      </c>
      <c r="R238">
        <v>0</v>
      </c>
      <c r="S238">
        <v>0</v>
      </c>
      <c r="T238">
        <v>4</v>
      </c>
      <c r="U238">
        <v>5.2</v>
      </c>
      <c r="V238">
        <v>5</v>
      </c>
      <c r="W238">
        <v>5</v>
      </c>
      <c r="X238">
        <v>4</v>
      </c>
      <c r="Y238">
        <v>4</v>
      </c>
      <c r="Z238">
        <v>3</v>
      </c>
      <c r="AA238">
        <v>0</v>
      </c>
      <c r="AB238">
        <v>0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3</v>
      </c>
      <c r="AI238" s="1">
        <v>4</v>
      </c>
      <c r="AJ238" s="1">
        <v>436</v>
      </c>
      <c r="AK238" s="1">
        <v>286</v>
      </c>
      <c r="AL238" t="s">
        <v>5</v>
      </c>
      <c r="AN238">
        <v>0</v>
      </c>
      <c r="AO238">
        <v>44</v>
      </c>
      <c r="AP238">
        <v>693</v>
      </c>
      <c r="AQ238">
        <v>660</v>
      </c>
      <c r="AR238">
        <v>594</v>
      </c>
      <c r="AS238">
        <v>495</v>
      </c>
      <c r="AT238">
        <v>528</v>
      </c>
      <c r="AU238">
        <v>475.2</v>
      </c>
      <c r="AV238">
        <v>594</v>
      </c>
      <c r="AW238">
        <v>544.5</v>
      </c>
      <c r="AX238">
        <v>462</v>
      </c>
      <c r="AY238">
        <v>297</v>
      </c>
      <c r="AZ238">
        <v>0</v>
      </c>
      <c r="BA238">
        <v>0</v>
      </c>
      <c r="BB238">
        <v>396</v>
      </c>
      <c r="BC238">
        <v>514.79999999999995</v>
      </c>
      <c r="BD238">
        <v>495</v>
      </c>
      <c r="BE238">
        <v>495</v>
      </c>
      <c r="BF238">
        <v>396</v>
      </c>
      <c r="BG238">
        <v>396</v>
      </c>
      <c r="BH238">
        <v>297</v>
      </c>
      <c r="BI238">
        <v>0</v>
      </c>
      <c r="BJ238">
        <v>0</v>
      </c>
      <c r="BK238">
        <v>396</v>
      </c>
      <c r="BL238">
        <v>396</v>
      </c>
      <c r="BM238">
        <v>396</v>
      </c>
      <c r="BN238">
        <v>396</v>
      </c>
      <c r="BO238">
        <v>396</v>
      </c>
      <c r="BP238">
        <v>297</v>
      </c>
      <c r="BQ238">
        <f>(I238+J238+N238+O238)/4</f>
        <v>6.041666666666667</v>
      </c>
      <c r="BR238">
        <f>(K238+L238+M238)/3</f>
        <v>5.0444444444444443</v>
      </c>
      <c r="BS238">
        <f>BQ238/BR238</f>
        <v>1.1976872246696035</v>
      </c>
      <c r="BT238">
        <f>AQ238/I238</f>
        <v>99</v>
      </c>
      <c r="BU238" t="str">
        <f>IF(OR(A238=2, A238=12), "Central", IF(A238=3, "Semi-Central", "Periférica"))</f>
        <v>Periférica</v>
      </c>
    </row>
    <row r="239" spans="1:73" x14ac:dyDescent="0.3">
      <c r="A239" s="1">
        <v>18</v>
      </c>
      <c r="B239" s="1">
        <v>1803</v>
      </c>
      <c r="C239" s="1">
        <v>203</v>
      </c>
      <c r="D239" t="s">
        <v>5</v>
      </c>
      <c r="E239" t="s">
        <v>0</v>
      </c>
      <c r="F239">
        <v>0</v>
      </c>
      <c r="G239">
        <v>0</v>
      </c>
      <c r="H239">
        <v>6</v>
      </c>
      <c r="I239">
        <v>8</v>
      </c>
      <c r="J239">
        <v>6.666666666666667</v>
      </c>
      <c r="K239">
        <v>6</v>
      </c>
      <c r="L239">
        <v>6</v>
      </c>
      <c r="M239">
        <v>6</v>
      </c>
      <c r="N239">
        <v>8</v>
      </c>
      <c r="O239">
        <v>6</v>
      </c>
      <c r="P239">
        <v>4.666666666666667</v>
      </c>
      <c r="Q239">
        <v>3.5</v>
      </c>
      <c r="R239">
        <v>0</v>
      </c>
      <c r="S239">
        <v>0</v>
      </c>
      <c r="T239">
        <v>4</v>
      </c>
      <c r="U239">
        <v>6</v>
      </c>
      <c r="V239">
        <v>6</v>
      </c>
      <c r="W239">
        <v>6</v>
      </c>
      <c r="X239">
        <v>5.333333333333333</v>
      </c>
      <c r="Y239">
        <v>4.4000000000000004</v>
      </c>
      <c r="Z239">
        <v>3.5</v>
      </c>
      <c r="AA239">
        <v>0</v>
      </c>
      <c r="AB239">
        <v>0</v>
      </c>
      <c r="AC239">
        <v>4.5</v>
      </c>
      <c r="AD239">
        <v>4.5454545454545459</v>
      </c>
      <c r="AE239">
        <v>4.4000000000000004</v>
      </c>
      <c r="AF239">
        <v>4.333333333333333</v>
      </c>
      <c r="AG239">
        <v>5</v>
      </c>
      <c r="AH239">
        <v>3.5</v>
      </c>
      <c r="AI239" s="1">
        <v>18</v>
      </c>
      <c r="AJ239" s="1">
        <v>1803</v>
      </c>
      <c r="AK239" s="1">
        <v>203</v>
      </c>
      <c r="AL239" t="s">
        <v>5</v>
      </c>
      <c r="AM239" t="s">
        <v>0</v>
      </c>
      <c r="AN239">
        <v>0</v>
      </c>
      <c r="AO239">
        <v>0</v>
      </c>
      <c r="AP239">
        <v>900</v>
      </c>
      <c r="AQ239">
        <v>1200</v>
      </c>
      <c r="AR239">
        <v>1000</v>
      </c>
      <c r="AS239">
        <v>900</v>
      </c>
      <c r="AT239">
        <v>900</v>
      </c>
      <c r="AU239">
        <v>900</v>
      </c>
      <c r="AV239">
        <v>1200</v>
      </c>
      <c r="AW239">
        <v>900</v>
      </c>
      <c r="AX239">
        <v>700</v>
      </c>
      <c r="AY239">
        <v>525</v>
      </c>
      <c r="AZ239">
        <v>0</v>
      </c>
      <c r="BA239">
        <v>0</v>
      </c>
      <c r="BB239">
        <v>360</v>
      </c>
      <c r="BC239">
        <v>540</v>
      </c>
      <c r="BD239">
        <v>540</v>
      </c>
      <c r="BE239">
        <v>540</v>
      </c>
      <c r="BF239">
        <v>480</v>
      </c>
      <c r="BG239">
        <v>396</v>
      </c>
      <c r="BH239">
        <v>315</v>
      </c>
      <c r="BI239">
        <v>0</v>
      </c>
      <c r="BJ239">
        <v>0</v>
      </c>
      <c r="BK239">
        <v>405</v>
      </c>
      <c r="BL239">
        <v>409.09090909090912</v>
      </c>
      <c r="BM239">
        <v>396</v>
      </c>
      <c r="BN239">
        <v>390</v>
      </c>
      <c r="BO239">
        <v>450</v>
      </c>
      <c r="BP239">
        <v>315</v>
      </c>
      <c r="BQ239">
        <f>(I239+J239+N239+O239)/4</f>
        <v>7.166666666666667</v>
      </c>
      <c r="BR239">
        <f>(K239+L239+M239)/3</f>
        <v>6</v>
      </c>
      <c r="BS239">
        <f>BQ239/BR239</f>
        <v>1.1944444444444444</v>
      </c>
      <c r="BT239">
        <f>AQ239/I239</f>
        <v>150</v>
      </c>
      <c r="BU239" t="str">
        <f>IF(OR(A239=2, A239=12), "Central", IF(A239=3, "Semi-Central", "Periférica"))</f>
        <v>Periférica</v>
      </c>
    </row>
    <row r="240" spans="1:73" x14ac:dyDescent="0.3">
      <c r="A240" s="1">
        <v>4</v>
      </c>
      <c r="B240" s="1">
        <v>436</v>
      </c>
      <c r="C240" s="1">
        <v>286</v>
      </c>
      <c r="D240" t="s">
        <v>1</v>
      </c>
      <c r="F240">
        <v>2</v>
      </c>
      <c r="G240">
        <v>0</v>
      </c>
      <c r="H240">
        <v>2</v>
      </c>
      <c r="I240">
        <v>6</v>
      </c>
      <c r="J240">
        <v>6</v>
      </c>
      <c r="K240">
        <v>5.666666666666667</v>
      </c>
      <c r="L240">
        <v>4.666666666666667</v>
      </c>
      <c r="M240">
        <v>6</v>
      </c>
      <c r="N240">
        <v>7</v>
      </c>
      <c r="O240">
        <v>7</v>
      </c>
      <c r="P240">
        <v>6</v>
      </c>
      <c r="Q240">
        <v>4</v>
      </c>
      <c r="R240">
        <v>2</v>
      </c>
      <c r="S240">
        <v>0</v>
      </c>
      <c r="T240">
        <v>0</v>
      </c>
      <c r="U240">
        <v>5.2</v>
      </c>
      <c r="V240">
        <v>5</v>
      </c>
      <c r="W240">
        <v>5</v>
      </c>
      <c r="X240">
        <v>4</v>
      </c>
      <c r="Y240">
        <v>4</v>
      </c>
      <c r="Z240">
        <v>3.5</v>
      </c>
      <c r="AA240">
        <v>2</v>
      </c>
      <c r="AB240">
        <v>0</v>
      </c>
      <c r="AC240">
        <v>2</v>
      </c>
      <c r="AD240">
        <v>4.1818181818181817</v>
      </c>
      <c r="AE240">
        <v>4</v>
      </c>
      <c r="AF240">
        <v>4</v>
      </c>
      <c r="AG240">
        <v>4</v>
      </c>
      <c r="AH240">
        <v>3.5</v>
      </c>
      <c r="AI240" s="1">
        <v>4</v>
      </c>
      <c r="AJ240" s="1">
        <v>436</v>
      </c>
      <c r="AK240" s="1">
        <v>286</v>
      </c>
      <c r="AL240" t="s">
        <v>1</v>
      </c>
      <c r="AN240">
        <v>198</v>
      </c>
      <c r="AO240">
        <v>0</v>
      </c>
      <c r="AP240">
        <v>198</v>
      </c>
      <c r="AQ240">
        <v>594</v>
      </c>
      <c r="AR240">
        <v>594</v>
      </c>
      <c r="AS240">
        <v>561</v>
      </c>
      <c r="AT240">
        <v>462</v>
      </c>
      <c r="AU240">
        <v>594</v>
      </c>
      <c r="AV240">
        <v>693</v>
      </c>
      <c r="AW240">
        <v>693</v>
      </c>
      <c r="AX240">
        <v>594</v>
      </c>
      <c r="AY240">
        <v>396</v>
      </c>
      <c r="AZ240">
        <v>198</v>
      </c>
      <c r="BA240">
        <v>0</v>
      </c>
      <c r="BB240">
        <v>0</v>
      </c>
      <c r="BC240">
        <v>514.79999999999995</v>
      </c>
      <c r="BD240">
        <v>495</v>
      </c>
      <c r="BE240">
        <v>495</v>
      </c>
      <c r="BF240">
        <v>396</v>
      </c>
      <c r="BG240">
        <v>396</v>
      </c>
      <c r="BH240">
        <v>346.5</v>
      </c>
      <c r="BI240">
        <v>198</v>
      </c>
      <c r="BJ240">
        <v>0</v>
      </c>
      <c r="BK240">
        <v>198</v>
      </c>
      <c r="BL240">
        <v>414</v>
      </c>
      <c r="BM240">
        <v>396</v>
      </c>
      <c r="BN240">
        <v>396</v>
      </c>
      <c r="BO240">
        <v>396</v>
      </c>
      <c r="BP240">
        <v>346.5</v>
      </c>
      <c r="BQ240">
        <f>(I240+J240+N240+O240)/4</f>
        <v>6.5</v>
      </c>
      <c r="BR240">
        <f>(K240+L240+M240)/3</f>
        <v>5.4444444444444455</v>
      </c>
      <c r="BS240">
        <f>BQ240/BR240</f>
        <v>1.1938775510204078</v>
      </c>
      <c r="BT240">
        <f>AQ240/I240</f>
        <v>99</v>
      </c>
      <c r="BU240" t="str">
        <f>IF(OR(A240=2, A240=12), "Central", IF(A240=3, "Semi-Central", "Periférica"))</f>
        <v>Periférica</v>
      </c>
    </row>
    <row r="241" spans="1:73" x14ac:dyDescent="0.3">
      <c r="A241" s="1">
        <v>8</v>
      </c>
      <c r="B241" s="1">
        <v>824</v>
      </c>
      <c r="C241" s="1" t="s">
        <v>163</v>
      </c>
      <c r="D241" t="s">
        <v>5</v>
      </c>
      <c r="F241">
        <v>0</v>
      </c>
      <c r="G241">
        <v>0</v>
      </c>
      <c r="H241">
        <v>5</v>
      </c>
      <c r="I241">
        <v>5.333333333333333</v>
      </c>
      <c r="J241">
        <v>4.666666666666667</v>
      </c>
      <c r="K241">
        <v>4</v>
      </c>
      <c r="L241">
        <v>4</v>
      </c>
      <c r="M241">
        <v>5.2</v>
      </c>
      <c r="N241">
        <v>6</v>
      </c>
      <c r="O241">
        <v>5</v>
      </c>
      <c r="P241">
        <v>4.666666666666667</v>
      </c>
      <c r="Q241">
        <v>1.5</v>
      </c>
      <c r="R241">
        <v>0</v>
      </c>
      <c r="S241">
        <v>0</v>
      </c>
      <c r="T241">
        <v>3</v>
      </c>
      <c r="U241">
        <v>4.4000000000000004</v>
      </c>
      <c r="V241">
        <v>4.666666666666667</v>
      </c>
      <c r="W241">
        <v>3.666666666666667</v>
      </c>
      <c r="X241">
        <v>2.8888888888888888</v>
      </c>
      <c r="Y241">
        <v>3.2</v>
      </c>
      <c r="Z241">
        <v>1</v>
      </c>
      <c r="AA241">
        <v>0</v>
      </c>
      <c r="AB241">
        <v>0</v>
      </c>
      <c r="AC241">
        <v>2.5</v>
      </c>
      <c r="AD241">
        <v>3.454545454545455</v>
      </c>
      <c r="AE241">
        <v>3.4</v>
      </c>
      <c r="AF241">
        <v>3</v>
      </c>
      <c r="AG241">
        <v>2</v>
      </c>
      <c r="AH241">
        <v>1</v>
      </c>
      <c r="AI241" s="1">
        <v>8</v>
      </c>
      <c r="AJ241" s="1">
        <v>824</v>
      </c>
      <c r="AK241" s="1" t="s">
        <v>163</v>
      </c>
      <c r="AL241" t="s">
        <v>5</v>
      </c>
      <c r="AN241">
        <v>0</v>
      </c>
      <c r="AO241">
        <v>0</v>
      </c>
      <c r="AP241">
        <v>450</v>
      </c>
      <c r="AQ241">
        <v>480</v>
      </c>
      <c r="AR241">
        <v>420</v>
      </c>
      <c r="AS241">
        <v>360</v>
      </c>
      <c r="AT241">
        <v>360</v>
      </c>
      <c r="AU241">
        <v>468</v>
      </c>
      <c r="AV241">
        <v>540</v>
      </c>
      <c r="AW241">
        <v>450</v>
      </c>
      <c r="AX241">
        <v>420</v>
      </c>
      <c r="AY241">
        <v>135</v>
      </c>
      <c r="AZ241">
        <v>0</v>
      </c>
      <c r="BA241">
        <v>0</v>
      </c>
      <c r="BB241">
        <v>270</v>
      </c>
      <c r="BC241">
        <v>396</v>
      </c>
      <c r="BD241">
        <v>420</v>
      </c>
      <c r="BE241">
        <v>330</v>
      </c>
      <c r="BF241">
        <v>260</v>
      </c>
      <c r="BG241">
        <v>288</v>
      </c>
      <c r="BH241">
        <v>90</v>
      </c>
      <c r="BI241">
        <v>0</v>
      </c>
      <c r="BJ241">
        <v>0</v>
      </c>
      <c r="BK241">
        <v>225</v>
      </c>
      <c r="BL241">
        <v>310.90909090909088</v>
      </c>
      <c r="BM241">
        <v>306</v>
      </c>
      <c r="BN241">
        <v>270</v>
      </c>
      <c r="BO241">
        <v>180</v>
      </c>
      <c r="BP241">
        <v>90</v>
      </c>
      <c r="BQ241">
        <f>(I241+J241+N241+O241)/4</f>
        <v>5.25</v>
      </c>
      <c r="BR241">
        <f>(K241+L241+M241)/3</f>
        <v>4.3999999999999995</v>
      </c>
      <c r="BS241">
        <f>BQ241/BR241</f>
        <v>1.1931818181818183</v>
      </c>
      <c r="BT241">
        <f>AQ241/I241</f>
        <v>90</v>
      </c>
      <c r="BU241" t="str">
        <f>IF(OR(A241=2, A241=12), "Central", IF(A241=3, "Semi-Central", "Periférica"))</f>
        <v>Periférica</v>
      </c>
    </row>
    <row r="242" spans="1:73" x14ac:dyDescent="0.3">
      <c r="A242" s="1">
        <v>19</v>
      </c>
      <c r="B242" s="1">
        <v>1930</v>
      </c>
      <c r="C242" s="1">
        <v>230</v>
      </c>
      <c r="D242" t="s">
        <v>5</v>
      </c>
      <c r="E242" t="s">
        <v>0</v>
      </c>
      <c r="F242">
        <v>2</v>
      </c>
      <c r="G242">
        <v>2.2222222222222219</v>
      </c>
      <c r="H242">
        <v>5</v>
      </c>
      <c r="I242">
        <v>6</v>
      </c>
      <c r="J242">
        <v>5.333333333333333</v>
      </c>
      <c r="K242">
        <v>4.666666666666667</v>
      </c>
      <c r="L242">
        <v>4.666666666666667</v>
      </c>
      <c r="M242">
        <v>4.4000000000000004</v>
      </c>
      <c r="N242">
        <v>5</v>
      </c>
      <c r="O242">
        <v>5.5</v>
      </c>
      <c r="P242">
        <v>4</v>
      </c>
      <c r="Q242">
        <v>3.5</v>
      </c>
      <c r="R242">
        <v>2</v>
      </c>
      <c r="S242">
        <v>2.2222222222222219</v>
      </c>
      <c r="T242">
        <v>4</v>
      </c>
      <c r="U242">
        <v>4.4000000000000004</v>
      </c>
      <c r="V242">
        <v>4.666666666666667</v>
      </c>
      <c r="W242">
        <v>4.333333333333333</v>
      </c>
      <c r="X242">
        <v>4</v>
      </c>
      <c r="Y242">
        <v>4</v>
      </c>
      <c r="Z242">
        <v>3.5</v>
      </c>
      <c r="AA242">
        <v>2</v>
      </c>
      <c r="AB242">
        <v>2.2222222222222219</v>
      </c>
      <c r="AC242">
        <v>4</v>
      </c>
      <c r="AD242">
        <v>4</v>
      </c>
      <c r="AE242">
        <v>4</v>
      </c>
      <c r="AF242">
        <v>4.333333333333333</v>
      </c>
      <c r="AG242">
        <v>4</v>
      </c>
      <c r="AH242">
        <v>3</v>
      </c>
      <c r="AI242" s="1">
        <v>19</v>
      </c>
      <c r="AJ242" s="1">
        <v>1930</v>
      </c>
      <c r="AK242" s="1">
        <v>230</v>
      </c>
      <c r="AL242" t="s">
        <v>5</v>
      </c>
      <c r="AM242" t="s">
        <v>0</v>
      </c>
      <c r="AN242">
        <v>180</v>
      </c>
      <c r="AO242">
        <v>200</v>
      </c>
      <c r="AP242">
        <v>450</v>
      </c>
      <c r="AQ242">
        <v>540</v>
      </c>
      <c r="AR242">
        <v>480</v>
      </c>
      <c r="AS242">
        <v>420</v>
      </c>
      <c r="AT242">
        <v>420</v>
      </c>
      <c r="AU242">
        <v>396</v>
      </c>
      <c r="AV242">
        <v>450</v>
      </c>
      <c r="AW242">
        <v>495</v>
      </c>
      <c r="AX242">
        <v>360</v>
      </c>
      <c r="AY242">
        <v>315</v>
      </c>
      <c r="AZ242">
        <v>180</v>
      </c>
      <c r="BA242">
        <v>200</v>
      </c>
      <c r="BB242">
        <v>360</v>
      </c>
      <c r="BC242">
        <v>396</v>
      </c>
      <c r="BD242">
        <v>420</v>
      </c>
      <c r="BE242">
        <v>390</v>
      </c>
      <c r="BF242">
        <v>360</v>
      </c>
      <c r="BG242">
        <v>360</v>
      </c>
      <c r="BH242">
        <v>315</v>
      </c>
      <c r="BI242">
        <v>180</v>
      </c>
      <c r="BJ242">
        <v>200</v>
      </c>
      <c r="BK242">
        <v>360</v>
      </c>
      <c r="BL242">
        <v>360</v>
      </c>
      <c r="BM242">
        <v>360</v>
      </c>
      <c r="BN242">
        <v>390</v>
      </c>
      <c r="BO242">
        <v>360</v>
      </c>
      <c r="BP242">
        <v>270</v>
      </c>
      <c r="BQ242">
        <f>(I242+J242+N242+O242)/4</f>
        <v>5.458333333333333</v>
      </c>
      <c r="BR242">
        <f>(K242+L242+M242)/3</f>
        <v>4.5777777777777784</v>
      </c>
      <c r="BS242">
        <f>BQ242/BR242</f>
        <v>1.1923543689320386</v>
      </c>
      <c r="BT242">
        <f>AQ242/I242</f>
        <v>90</v>
      </c>
      <c r="BU242" t="str">
        <f>IF(OR(A242=2, A242=12), "Central", IF(A242=3, "Semi-Central", "Periférica"))</f>
        <v>Periférica</v>
      </c>
    </row>
    <row r="243" spans="1:73" x14ac:dyDescent="0.3">
      <c r="A243" s="1">
        <v>18</v>
      </c>
      <c r="B243" s="1">
        <v>1848</v>
      </c>
      <c r="C243" s="1" t="s">
        <v>326</v>
      </c>
      <c r="D243" t="s">
        <v>1</v>
      </c>
      <c r="E243" t="s">
        <v>0</v>
      </c>
      <c r="F243">
        <v>0</v>
      </c>
      <c r="G243">
        <v>0</v>
      </c>
      <c r="H243">
        <v>6</v>
      </c>
      <c r="I243">
        <v>6.666666666666667</v>
      </c>
      <c r="J243">
        <v>4.666666666666667</v>
      </c>
      <c r="K243">
        <v>4</v>
      </c>
      <c r="L243">
        <v>4</v>
      </c>
      <c r="M243">
        <v>4.8</v>
      </c>
      <c r="N243">
        <v>5</v>
      </c>
      <c r="O243">
        <v>4</v>
      </c>
      <c r="P243">
        <v>3.333333333333333</v>
      </c>
      <c r="Q243">
        <v>3.5</v>
      </c>
      <c r="R243">
        <v>0</v>
      </c>
      <c r="S243">
        <v>0</v>
      </c>
      <c r="T243">
        <v>3</v>
      </c>
      <c r="U243">
        <v>4</v>
      </c>
      <c r="V243">
        <v>3.666666666666667</v>
      </c>
      <c r="W243">
        <v>4.333333333333333</v>
      </c>
      <c r="X243">
        <v>4</v>
      </c>
      <c r="Y243">
        <v>3.2</v>
      </c>
      <c r="Z243">
        <v>3</v>
      </c>
      <c r="AA243">
        <v>0</v>
      </c>
      <c r="AB243">
        <v>0</v>
      </c>
      <c r="AC243">
        <v>2.5</v>
      </c>
      <c r="AD243">
        <v>3.0909090909090908</v>
      </c>
      <c r="AE243">
        <v>3</v>
      </c>
      <c r="AF243">
        <v>3</v>
      </c>
      <c r="AG243">
        <v>3</v>
      </c>
      <c r="AH243">
        <v>2.5</v>
      </c>
      <c r="AI243" s="1">
        <v>18</v>
      </c>
      <c r="AJ243" s="1">
        <v>1848</v>
      </c>
      <c r="AK243" s="1" t="s">
        <v>326</v>
      </c>
      <c r="AL243" t="s">
        <v>1</v>
      </c>
      <c r="AM243" t="s">
        <v>0</v>
      </c>
      <c r="AN243">
        <v>0</v>
      </c>
      <c r="AO243">
        <v>0</v>
      </c>
      <c r="AP243">
        <v>540</v>
      </c>
      <c r="AQ243">
        <v>600</v>
      </c>
      <c r="AR243">
        <v>420</v>
      </c>
      <c r="AS243">
        <v>360</v>
      </c>
      <c r="AT243">
        <v>360</v>
      </c>
      <c r="AU243">
        <v>432</v>
      </c>
      <c r="AV243">
        <v>450</v>
      </c>
      <c r="AW243">
        <v>360</v>
      </c>
      <c r="AX243">
        <v>300</v>
      </c>
      <c r="AY243">
        <v>315</v>
      </c>
      <c r="AZ243">
        <v>0</v>
      </c>
      <c r="BA243">
        <v>0</v>
      </c>
      <c r="BB243">
        <v>270</v>
      </c>
      <c r="BC243">
        <v>360</v>
      </c>
      <c r="BD243">
        <v>330</v>
      </c>
      <c r="BE243">
        <v>390</v>
      </c>
      <c r="BF243">
        <v>360</v>
      </c>
      <c r="BG243">
        <v>288</v>
      </c>
      <c r="BH243">
        <v>270</v>
      </c>
      <c r="BI243">
        <v>0</v>
      </c>
      <c r="BJ243">
        <v>0</v>
      </c>
      <c r="BK243">
        <v>225</v>
      </c>
      <c r="BL243">
        <v>278.18181818181819</v>
      </c>
      <c r="BM243">
        <v>270</v>
      </c>
      <c r="BN243">
        <v>270</v>
      </c>
      <c r="BO243">
        <v>270</v>
      </c>
      <c r="BP243">
        <v>225</v>
      </c>
      <c r="BQ243">
        <f>(I243+J243+N243+O243)/4</f>
        <v>5.0833333333333339</v>
      </c>
      <c r="BR243">
        <f>(K243+L243+M243)/3</f>
        <v>4.2666666666666666</v>
      </c>
      <c r="BS243">
        <f>BQ243/BR243</f>
        <v>1.1914062500000002</v>
      </c>
      <c r="BT243">
        <f>AQ243/I243</f>
        <v>90</v>
      </c>
      <c r="BU243" t="str">
        <f>IF(OR(A243=2, A243=12), "Central", IF(A243=3, "Semi-Central", "Periférica"))</f>
        <v>Periférica</v>
      </c>
    </row>
    <row r="244" spans="1:73" x14ac:dyDescent="0.3">
      <c r="A244" s="1">
        <v>18</v>
      </c>
      <c r="B244" s="1">
        <v>1871</v>
      </c>
      <c r="C244" s="1">
        <v>271</v>
      </c>
      <c r="D244" t="s">
        <v>1</v>
      </c>
      <c r="E244" t="s">
        <v>0</v>
      </c>
      <c r="F244">
        <v>0</v>
      </c>
      <c r="G244">
        <v>0</v>
      </c>
      <c r="H244">
        <v>5</v>
      </c>
      <c r="I244">
        <v>7.333333333333333</v>
      </c>
      <c r="J244">
        <v>6</v>
      </c>
      <c r="K244">
        <v>6</v>
      </c>
      <c r="L244">
        <v>5.333333333333333</v>
      </c>
      <c r="M244">
        <v>4</v>
      </c>
      <c r="N244">
        <v>5</v>
      </c>
      <c r="O244">
        <v>6</v>
      </c>
      <c r="P244">
        <v>4.666666666666667</v>
      </c>
      <c r="Q244">
        <v>1.5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s="1">
        <v>18</v>
      </c>
      <c r="AJ244" s="1">
        <v>1871</v>
      </c>
      <c r="AK244" s="1">
        <v>271</v>
      </c>
      <c r="AL244" t="s">
        <v>1</v>
      </c>
      <c r="AM244" t="s">
        <v>0</v>
      </c>
      <c r="AN244">
        <v>0</v>
      </c>
      <c r="AO244">
        <v>0</v>
      </c>
      <c r="AP244">
        <v>450</v>
      </c>
      <c r="AQ244">
        <v>660</v>
      </c>
      <c r="AR244">
        <v>540</v>
      </c>
      <c r="AS244">
        <v>540</v>
      </c>
      <c r="AT244">
        <v>480</v>
      </c>
      <c r="AU244">
        <v>360</v>
      </c>
      <c r="AV244">
        <v>450</v>
      </c>
      <c r="AW244">
        <v>540</v>
      </c>
      <c r="AX244">
        <v>420</v>
      </c>
      <c r="AY244">
        <v>135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f>(I244+J244+N244+O244)/4</f>
        <v>6.083333333333333</v>
      </c>
      <c r="BR244">
        <f>(K244+L244+M244)/3</f>
        <v>5.1111111111111107</v>
      </c>
      <c r="BS244">
        <f>BQ244/BR244</f>
        <v>1.1902173913043479</v>
      </c>
      <c r="BT244">
        <f>AQ244/I244</f>
        <v>90</v>
      </c>
      <c r="BU244" t="str">
        <f>IF(OR(A244=2, A244=12), "Central", IF(A244=3, "Semi-Central", "Periférica"))</f>
        <v>Periférica</v>
      </c>
    </row>
    <row r="245" spans="1:73" x14ac:dyDescent="0.3">
      <c r="A245" s="1">
        <v>15</v>
      </c>
      <c r="B245" s="1">
        <v>1544</v>
      </c>
      <c r="C245" s="1" t="s">
        <v>355</v>
      </c>
      <c r="D245" t="s">
        <v>5</v>
      </c>
      <c r="E245" t="s">
        <v>0</v>
      </c>
      <c r="F245">
        <v>0</v>
      </c>
      <c r="G245">
        <v>0</v>
      </c>
      <c r="H245">
        <v>5</v>
      </c>
      <c r="I245">
        <v>6</v>
      </c>
      <c r="J245">
        <v>4.666666666666667</v>
      </c>
      <c r="K245">
        <v>4</v>
      </c>
      <c r="L245">
        <v>4</v>
      </c>
      <c r="M245">
        <v>4.4000000000000004</v>
      </c>
      <c r="N245">
        <v>4.5</v>
      </c>
      <c r="O245">
        <v>4.5</v>
      </c>
      <c r="P245">
        <v>4</v>
      </c>
      <c r="Q245">
        <v>1.5</v>
      </c>
      <c r="R245">
        <v>0</v>
      </c>
      <c r="S245">
        <v>0</v>
      </c>
      <c r="T245">
        <v>3</v>
      </c>
      <c r="U245">
        <v>3.6</v>
      </c>
      <c r="V245">
        <v>3.666666666666667</v>
      </c>
      <c r="W245">
        <v>3.666666666666667</v>
      </c>
      <c r="X245">
        <v>3.7777777777777781</v>
      </c>
      <c r="Y245">
        <v>3.2</v>
      </c>
      <c r="Z245">
        <v>1.5</v>
      </c>
      <c r="AA245">
        <v>0</v>
      </c>
      <c r="AB245">
        <v>0</v>
      </c>
      <c r="AC245">
        <v>2</v>
      </c>
      <c r="AD245">
        <v>3.8181818181818179</v>
      </c>
      <c r="AE245">
        <v>3.6</v>
      </c>
      <c r="AF245">
        <v>3.666666666666667</v>
      </c>
      <c r="AG245">
        <v>3</v>
      </c>
      <c r="AH245">
        <v>1.5</v>
      </c>
      <c r="AI245" s="1">
        <v>15</v>
      </c>
      <c r="AJ245" s="1">
        <v>1544</v>
      </c>
      <c r="AK245" s="1" t="s">
        <v>355</v>
      </c>
      <c r="AL245" t="s">
        <v>5</v>
      </c>
      <c r="AM245" t="s">
        <v>0</v>
      </c>
      <c r="AN245">
        <v>0</v>
      </c>
      <c r="AO245">
        <v>0</v>
      </c>
      <c r="AP245">
        <v>450</v>
      </c>
      <c r="AQ245">
        <v>540</v>
      </c>
      <c r="AR245">
        <v>420</v>
      </c>
      <c r="AS245">
        <v>360</v>
      </c>
      <c r="AT245">
        <v>360</v>
      </c>
      <c r="AU245">
        <v>396</v>
      </c>
      <c r="AV245">
        <v>405</v>
      </c>
      <c r="AW245">
        <v>405</v>
      </c>
      <c r="AX245">
        <v>360</v>
      </c>
      <c r="AY245">
        <v>135</v>
      </c>
      <c r="AZ245">
        <v>0</v>
      </c>
      <c r="BA245">
        <v>0</v>
      </c>
      <c r="BB245">
        <v>270</v>
      </c>
      <c r="BC245">
        <v>324</v>
      </c>
      <c r="BD245">
        <v>330</v>
      </c>
      <c r="BE245">
        <v>330</v>
      </c>
      <c r="BF245">
        <v>340</v>
      </c>
      <c r="BG245">
        <v>288</v>
      </c>
      <c r="BH245">
        <v>135</v>
      </c>
      <c r="BI245">
        <v>0</v>
      </c>
      <c r="BJ245">
        <v>0</v>
      </c>
      <c r="BK245">
        <v>180</v>
      </c>
      <c r="BL245">
        <v>343.63636363636363</v>
      </c>
      <c r="BM245">
        <v>324</v>
      </c>
      <c r="BN245">
        <v>330</v>
      </c>
      <c r="BO245">
        <v>270</v>
      </c>
      <c r="BP245">
        <v>135</v>
      </c>
      <c r="BQ245">
        <f>(I245+J245+N245+O245)/4</f>
        <v>4.916666666666667</v>
      </c>
      <c r="BR245">
        <f>(K245+L245+M245)/3</f>
        <v>4.1333333333333337</v>
      </c>
      <c r="BS245">
        <f>BQ245/BR245</f>
        <v>1.189516129032258</v>
      </c>
      <c r="BT245">
        <f>AQ245/I245</f>
        <v>90</v>
      </c>
      <c r="BU245" t="str">
        <f>IF(OR(A245=2, A245=12), "Central", IF(A245=3, "Semi-Central", "Periférica"))</f>
        <v>Periférica</v>
      </c>
    </row>
    <row r="246" spans="1:73" x14ac:dyDescent="0.3">
      <c r="A246" s="1">
        <v>19</v>
      </c>
      <c r="B246" s="1">
        <v>1954</v>
      </c>
      <c r="C246" s="1" t="s">
        <v>347</v>
      </c>
      <c r="D246" t="s">
        <v>1</v>
      </c>
      <c r="F246">
        <v>0</v>
      </c>
      <c r="G246">
        <v>0.44444444444444442</v>
      </c>
      <c r="H246">
        <v>6</v>
      </c>
      <c r="I246">
        <v>6</v>
      </c>
      <c r="J246">
        <v>4.666666666666667</v>
      </c>
      <c r="K246">
        <v>4</v>
      </c>
      <c r="L246">
        <v>4</v>
      </c>
      <c r="M246">
        <v>4.4000000000000004</v>
      </c>
      <c r="N246">
        <v>5</v>
      </c>
      <c r="O246">
        <v>4</v>
      </c>
      <c r="P246">
        <v>4</v>
      </c>
      <c r="Q246">
        <v>2</v>
      </c>
      <c r="R246">
        <v>0</v>
      </c>
      <c r="S246">
        <v>0.44444444444444442</v>
      </c>
      <c r="T246">
        <v>4</v>
      </c>
      <c r="U246">
        <v>4.4000000000000004</v>
      </c>
      <c r="V246">
        <v>4</v>
      </c>
      <c r="W246">
        <v>4.333333333333333</v>
      </c>
      <c r="X246">
        <v>4</v>
      </c>
      <c r="Y246">
        <v>4</v>
      </c>
      <c r="Z246">
        <v>1.5</v>
      </c>
      <c r="AA246">
        <v>0</v>
      </c>
      <c r="AB246">
        <v>0.44444444444444442</v>
      </c>
      <c r="AC246">
        <v>3</v>
      </c>
      <c r="AD246">
        <v>3.0909090909090908</v>
      </c>
      <c r="AE246">
        <v>3</v>
      </c>
      <c r="AF246">
        <v>3</v>
      </c>
      <c r="AG246">
        <v>3</v>
      </c>
      <c r="AH246">
        <v>1</v>
      </c>
      <c r="AI246" s="1">
        <v>19</v>
      </c>
      <c r="AJ246" s="1">
        <v>1954</v>
      </c>
      <c r="AK246" s="1" t="s">
        <v>347</v>
      </c>
      <c r="AL246" t="s">
        <v>1</v>
      </c>
      <c r="AN246">
        <v>0</v>
      </c>
      <c r="AO246">
        <v>26.666666666666671</v>
      </c>
      <c r="AP246">
        <v>360</v>
      </c>
      <c r="AQ246">
        <v>360</v>
      </c>
      <c r="AR246">
        <v>280</v>
      </c>
      <c r="AS246">
        <v>240</v>
      </c>
      <c r="AT246">
        <v>240</v>
      </c>
      <c r="AU246">
        <v>264</v>
      </c>
      <c r="AV246">
        <v>300</v>
      </c>
      <c r="AW246">
        <v>240</v>
      </c>
      <c r="AX246">
        <v>240</v>
      </c>
      <c r="AY246">
        <v>120</v>
      </c>
      <c r="AZ246">
        <v>0</v>
      </c>
      <c r="BA246">
        <v>26.666666666666671</v>
      </c>
      <c r="BB246">
        <v>240</v>
      </c>
      <c r="BC246">
        <v>264</v>
      </c>
      <c r="BD246">
        <v>240</v>
      </c>
      <c r="BE246">
        <v>260</v>
      </c>
      <c r="BF246">
        <v>240</v>
      </c>
      <c r="BG246">
        <v>240</v>
      </c>
      <c r="BH246">
        <v>90</v>
      </c>
      <c r="BI246">
        <v>0</v>
      </c>
      <c r="BJ246">
        <v>26.666666666666671</v>
      </c>
      <c r="BK246">
        <v>180</v>
      </c>
      <c r="BL246">
        <v>185.4545454545455</v>
      </c>
      <c r="BM246">
        <v>180</v>
      </c>
      <c r="BN246">
        <v>180</v>
      </c>
      <c r="BO246">
        <v>180</v>
      </c>
      <c r="BP246">
        <v>60</v>
      </c>
      <c r="BQ246">
        <f>(I246+J246+N246+O246)/4</f>
        <v>4.916666666666667</v>
      </c>
      <c r="BR246">
        <f>(K246+L246+M246)/3</f>
        <v>4.1333333333333337</v>
      </c>
      <c r="BS246">
        <f>BQ246/BR246</f>
        <v>1.189516129032258</v>
      </c>
      <c r="BT246">
        <f>AQ246/I246</f>
        <v>60</v>
      </c>
      <c r="BU246" t="str">
        <f>IF(OR(A246=2, A246=12), "Central", IF(A246=3, "Semi-Central", "Periférica"))</f>
        <v>Periférica</v>
      </c>
    </row>
    <row r="247" spans="1:73" x14ac:dyDescent="0.3">
      <c r="A247" s="1">
        <v>10</v>
      </c>
      <c r="B247" s="1">
        <v>1021</v>
      </c>
      <c r="C247" s="1" t="s">
        <v>318</v>
      </c>
      <c r="D247" t="s">
        <v>5</v>
      </c>
      <c r="E247" t="s">
        <v>0</v>
      </c>
      <c r="F247">
        <v>2</v>
      </c>
      <c r="G247">
        <v>0</v>
      </c>
      <c r="H247">
        <v>7</v>
      </c>
      <c r="I247">
        <v>12</v>
      </c>
      <c r="J247">
        <v>8</v>
      </c>
      <c r="K247">
        <v>7.666666666666667</v>
      </c>
      <c r="L247">
        <v>6.666666666666667</v>
      </c>
      <c r="M247">
        <v>6.8</v>
      </c>
      <c r="N247">
        <v>7.5</v>
      </c>
      <c r="O247">
        <v>6</v>
      </c>
      <c r="P247">
        <v>6.666666666666667</v>
      </c>
      <c r="Q247">
        <v>3.5</v>
      </c>
      <c r="R247">
        <v>2</v>
      </c>
      <c r="S247">
        <v>0</v>
      </c>
      <c r="T247">
        <v>5</v>
      </c>
      <c r="U247">
        <v>8.8000000000000007</v>
      </c>
      <c r="V247">
        <v>8.3333333333333339</v>
      </c>
      <c r="W247">
        <v>7</v>
      </c>
      <c r="X247">
        <v>6.8888888888888893</v>
      </c>
      <c r="Y247">
        <v>5.2</v>
      </c>
      <c r="Z247">
        <v>3.5</v>
      </c>
      <c r="AA247">
        <v>2</v>
      </c>
      <c r="AB247">
        <v>0</v>
      </c>
      <c r="AC247">
        <v>4.5</v>
      </c>
      <c r="AD247">
        <v>6.3636363636363633</v>
      </c>
      <c r="AE247">
        <v>5.6</v>
      </c>
      <c r="AF247">
        <v>6.666666666666667</v>
      </c>
      <c r="AG247">
        <v>7</v>
      </c>
      <c r="AH247">
        <v>4</v>
      </c>
      <c r="AI247" s="1">
        <v>10</v>
      </c>
      <c r="AJ247" s="1">
        <v>1021</v>
      </c>
      <c r="AK247" s="1" t="s">
        <v>318</v>
      </c>
      <c r="AL247" t="s">
        <v>5</v>
      </c>
      <c r="AM247" t="s">
        <v>0</v>
      </c>
      <c r="AN247">
        <v>180</v>
      </c>
      <c r="AO247">
        <v>0</v>
      </c>
      <c r="AP247">
        <v>630</v>
      </c>
      <c r="AQ247">
        <v>1080</v>
      </c>
      <c r="AR247">
        <v>720</v>
      </c>
      <c r="AS247">
        <v>690</v>
      </c>
      <c r="AT247">
        <v>600</v>
      </c>
      <c r="AU247">
        <v>612</v>
      </c>
      <c r="AV247">
        <v>675</v>
      </c>
      <c r="AW247">
        <v>540</v>
      </c>
      <c r="AX247">
        <v>600</v>
      </c>
      <c r="AY247">
        <v>315</v>
      </c>
      <c r="AZ247">
        <v>180</v>
      </c>
      <c r="BA247">
        <v>0</v>
      </c>
      <c r="BB247">
        <v>450</v>
      </c>
      <c r="BC247">
        <v>792</v>
      </c>
      <c r="BD247">
        <v>750</v>
      </c>
      <c r="BE247">
        <v>630</v>
      </c>
      <c r="BF247">
        <v>620</v>
      </c>
      <c r="BG247">
        <v>468</v>
      </c>
      <c r="BH247">
        <v>315</v>
      </c>
      <c r="BI247">
        <v>180</v>
      </c>
      <c r="BJ247">
        <v>0</v>
      </c>
      <c r="BK247">
        <v>405</v>
      </c>
      <c r="BL247">
        <v>572.72727272727275</v>
      </c>
      <c r="BM247">
        <v>504</v>
      </c>
      <c r="BN247">
        <v>600</v>
      </c>
      <c r="BO247">
        <v>630</v>
      </c>
      <c r="BP247">
        <v>360</v>
      </c>
      <c r="BQ247">
        <f>(I247+J247+N247+O247)/4</f>
        <v>8.375</v>
      </c>
      <c r="BR247">
        <f>(K247+L247+M247)/3</f>
        <v>7.0444444444444443</v>
      </c>
      <c r="BS247">
        <f>BQ247/BR247</f>
        <v>1.1888801261829653</v>
      </c>
      <c r="BT247">
        <f>AQ247/I247</f>
        <v>90</v>
      </c>
      <c r="BU247" t="str">
        <f>IF(OR(A247=2, A247=12), "Central", IF(A247=3, "Semi-Central", "Periférica"))</f>
        <v>Periférica</v>
      </c>
    </row>
    <row r="248" spans="1:73" x14ac:dyDescent="0.3">
      <c r="A248" s="1">
        <v>4</v>
      </c>
      <c r="B248" s="1">
        <v>459</v>
      </c>
      <c r="C248" s="1" t="s">
        <v>199</v>
      </c>
      <c r="D248" s="1" t="s">
        <v>5</v>
      </c>
      <c r="F248">
        <v>0</v>
      </c>
      <c r="G248">
        <v>0</v>
      </c>
      <c r="H248">
        <v>5</v>
      </c>
      <c r="I248">
        <v>6</v>
      </c>
      <c r="J248">
        <v>6</v>
      </c>
      <c r="K248">
        <v>5</v>
      </c>
      <c r="L248">
        <v>4.666666666666667</v>
      </c>
      <c r="M248">
        <v>5.2</v>
      </c>
      <c r="N248">
        <v>5.5</v>
      </c>
      <c r="O248">
        <v>6</v>
      </c>
      <c r="P248">
        <v>5.333333333333333</v>
      </c>
      <c r="Q248">
        <v>3</v>
      </c>
      <c r="R248">
        <v>0</v>
      </c>
      <c r="S248">
        <v>0</v>
      </c>
      <c r="T248">
        <v>3</v>
      </c>
      <c r="U248">
        <v>5.2</v>
      </c>
      <c r="V248">
        <v>5</v>
      </c>
      <c r="W248">
        <v>5</v>
      </c>
      <c r="X248">
        <v>4.8888888888888893</v>
      </c>
      <c r="Y248">
        <v>4</v>
      </c>
      <c r="Z248">
        <v>2.5</v>
      </c>
      <c r="AA248">
        <v>0</v>
      </c>
      <c r="AB248">
        <v>0</v>
      </c>
      <c r="AC248">
        <v>3</v>
      </c>
      <c r="AD248">
        <v>4.7272727272727275</v>
      </c>
      <c r="AE248">
        <v>4.5999999999999996</v>
      </c>
      <c r="AF248">
        <v>4.666666666666667</v>
      </c>
      <c r="AG248">
        <v>4</v>
      </c>
      <c r="AH248">
        <v>3</v>
      </c>
      <c r="AI248" s="1">
        <v>4</v>
      </c>
      <c r="AJ248" s="1">
        <v>459</v>
      </c>
      <c r="AK248" s="1" t="s">
        <v>199</v>
      </c>
      <c r="AL248" s="1" t="s">
        <v>5</v>
      </c>
      <c r="AN248">
        <v>0</v>
      </c>
      <c r="AO248">
        <v>0</v>
      </c>
      <c r="AP248">
        <v>495</v>
      </c>
      <c r="AQ248">
        <v>594</v>
      </c>
      <c r="AR248">
        <v>594</v>
      </c>
      <c r="AS248">
        <v>495</v>
      </c>
      <c r="AT248">
        <v>462</v>
      </c>
      <c r="AU248">
        <v>514.79999999999995</v>
      </c>
      <c r="AV248">
        <v>544.5</v>
      </c>
      <c r="AW248">
        <v>594</v>
      </c>
      <c r="AX248">
        <v>528</v>
      </c>
      <c r="AY248">
        <v>297</v>
      </c>
      <c r="AZ248">
        <v>0</v>
      </c>
      <c r="BA248">
        <v>0</v>
      </c>
      <c r="BB248">
        <v>297</v>
      </c>
      <c r="BC248">
        <v>514.79999999999995</v>
      </c>
      <c r="BD248">
        <v>495</v>
      </c>
      <c r="BE248">
        <v>495</v>
      </c>
      <c r="BF248">
        <v>484</v>
      </c>
      <c r="BG248">
        <v>396</v>
      </c>
      <c r="BH248">
        <v>247.5</v>
      </c>
      <c r="BI248">
        <v>0</v>
      </c>
      <c r="BJ248">
        <v>0</v>
      </c>
      <c r="BK248">
        <v>297</v>
      </c>
      <c r="BL248">
        <v>468</v>
      </c>
      <c r="BM248">
        <v>455.4</v>
      </c>
      <c r="BN248">
        <v>462</v>
      </c>
      <c r="BO248">
        <v>396</v>
      </c>
      <c r="BP248">
        <v>297</v>
      </c>
      <c r="BQ248">
        <f>(I248+J248+N248+O248)/4</f>
        <v>5.875</v>
      </c>
      <c r="BR248">
        <f>(K248+L248+M248)/3</f>
        <v>4.9555555555555557</v>
      </c>
      <c r="BS248">
        <f>BQ248/BR248</f>
        <v>1.1855381165919283</v>
      </c>
      <c r="BT248">
        <f>AQ248/I248</f>
        <v>99</v>
      </c>
      <c r="BU248" t="str">
        <f>IF(OR(A248=2, A248=12), "Central", IF(A248=3, "Semi-Central", "Periférica"))</f>
        <v>Periférica</v>
      </c>
    </row>
    <row r="249" spans="1:73" x14ac:dyDescent="0.3">
      <c r="A249" s="1">
        <v>2</v>
      </c>
      <c r="B249" s="1">
        <v>211</v>
      </c>
      <c r="C249" s="1">
        <v>211</v>
      </c>
      <c r="D249" t="s">
        <v>1</v>
      </c>
      <c r="E249" t="s">
        <v>0</v>
      </c>
      <c r="F249">
        <v>0</v>
      </c>
      <c r="G249">
        <v>1.3333333333333333</v>
      </c>
      <c r="H249">
        <v>7</v>
      </c>
      <c r="I249">
        <v>6.666666666666667</v>
      </c>
      <c r="J249">
        <v>6.666666666666667</v>
      </c>
      <c r="K249">
        <v>5.333333333333333</v>
      </c>
      <c r="L249">
        <v>5.333333333333333</v>
      </c>
      <c r="M249">
        <v>6</v>
      </c>
      <c r="N249">
        <v>6.5</v>
      </c>
      <c r="O249">
        <v>6.5</v>
      </c>
      <c r="P249">
        <v>4.666666666666667</v>
      </c>
      <c r="Q249">
        <v>2.5</v>
      </c>
      <c r="R249">
        <v>0</v>
      </c>
      <c r="S249">
        <v>1.3333333333333333</v>
      </c>
      <c r="T249">
        <v>6</v>
      </c>
      <c r="U249">
        <v>6.4</v>
      </c>
      <c r="V249">
        <v>7.333333333333333</v>
      </c>
      <c r="W249">
        <v>7</v>
      </c>
      <c r="X249">
        <v>6.8888888888888893</v>
      </c>
      <c r="Y249">
        <v>5.2</v>
      </c>
      <c r="Z249">
        <v>2.5</v>
      </c>
      <c r="AA249">
        <v>0</v>
      </c>
      <c r="AB249">
        <v>0.66666666666666663</v>
      </c>
      <c r="AC249">
        <v>5</v>
      </c>
      <c r="AD249">
        <v>5.2727272727272725</v>
      </c>
      <c r="AE249">
        <v>5.4</v>
      </c>
      <c r="AF249">
        <v>5.333333333333333</v>
      </c>
      <c r="AG249">
        <v>5</v>
      </c>
      <c r="AH249">
        <v>2</v>
      </c>
      <c r="AI249" s="1">
        <v>2</v>
      </c>
      <c r="AJ249" s="1">
        <v>211</v>
      </c>
      <c r="AK249" s="1">
        <v>211</v>
      </c>
      <c r="AL249" t="s">
        <v>1</v>
      </c>
      <c r="AM249" t="s">
        <v>0</v>
      </c>
      <c r="AN249">
        <v>0</v>
      </c>
      <c r="AO249">
        <v>122.66666666666667</v>
      </c>
      <c r="AP249">
        <v>644</v>
      </c>
      <c r="AQ249">
        <v>613.33333333333337</v>
      </c>
      <c r="AR249">
        <v>613.33333333333337</v>
      </c>
      <c r="AS249">
        <v>490.66666666666669</v>
      </c>
      <c r="AT249">
        <v>490.66666666666669</v>
      </c>
      <c r="AU249">
        <v>552</v>
      </c>
      <c r="AV249">
        <v>598</v>
      </c>
      <c r="AW249">
        <v>598</v>
      </c>
      <c r="AX249">
        <v>429.33333333333331</v>
      </c>
      <c r="AY249">
        <v>230</v>
      </c>
      <c r="AZ249">
        <v>0</v>
      </c>
      <c r="BA249">
        <v>122.66666666666667</v>
      </c>
      <c r="BB249">
        <v>552</v>
      </c>
      <c r="BC249">
        <v>588.79999999999995</v>
      </c>
      <c r="BD249">
        <v>674.66666666666663</v>
      </c>
      <c r="BE249">
        <v>644</v>
      </c>
      <c r="BF249">
        <v>633.77777777777783</v>
      </c>
      <c r="BG249">
        <v>478.4</v>
      </c>
      <c r="BH249">
        <v>230</v>
      </c>
      <c r="BI249">
        <v>0</v>
      </c>
      <c r="BJ249">
        <v>61.333333333333336</v>
      </c>
      <c r="BK249">
        <v>460</v>
      </c>
      <c r="BL249">
        <v>485.09090909090907</v>
      </c>
      <c r="BM249">
        <v>496.8</v>
      </c>
      <c r="BN249">
        <v>490.66666666666669</v>
      </c>
      <c r="BO249">
        <v>460</v>
      </c>
      <c r="BP249">
        <v>184</v>
      </c>
      <c r="BQ249">
        <f>(I249+J249+N249+O249)/4</f>
        <v>6.5833333333333339</v>
      </c>
      <c r="BR249">
        <f>(K249+L249+M249)/3</f>
        <v>5.5555555555555545</v>
      </c>
      <c r="BS249">
        <f>BQ249/BR249</f>
        <v>1.1850000000000003</v>
      </c>
      <c r="BT249">
        <f>AQ249/I249</f>
        <v>92</v>
      </c>
      <c r="BU249" t="str">
        <f>IF(OR(A249=2, A249=12), "Central", IF(A249=3, "Semi-Central", "Periférica"))</f>
        <v>Central</v>
      </c>
    </row>
    <row r="250" spans="1:73" x14ac:dyDescent="0.3">
      <c r="A250" s="1">
        <v>13</v>
      </c>
      <c r="B250" s="1">
        <v>1335</v>
      </c>
      <c r="C250" s="1">
        <v>435</v>
      </c>
      <c r="D250" t="s">
        <v>1</v>
      </c>
      <c r="F250">
        <v>0</v>
      </c>
      <c r="G250">
        <v>0</v>
      </c>
      <c r="H250">
        <v>0</v>
      </c>
      <c r="I250">
        <v>6</v>
      </c>
      <c r="J250">
        <v>4.666666666666667</v>
      </c>
      <c r="K250">
        <v>4</v>
      </c>
      <c r="L250">
        <v>4.666666666666667</v>
      </c>
      <c r="M250">
        <v>6</v>
      </c>
      <c r="N250">
        <v>7</v>
      </c>
      <c r="O250">
        <v>5.5</v>
      </c>
      <c r="P250">
        <v>4.666666666666667</v>
      </c>
      <c r="Q250">
        <v>4</v>
      </c>
      <c r="R250">
        <v>0</v>
      </c>
      <c r="S250">
        <v>0</v>
      </c>
      <c r="T250">
        <v>0</v>
      </c>
      <c r="U250">
        <v>3.2</v>
      </c>
      <c r="V250">
        <v>3</v>
      </c>
      <c r="W250">
        <v>3.666666666666667</v>
      </c>
      <c r="X250">
        <v>2.8888888888888888</v>
      </c>
      <c r="Y250">
        <v>3.2</v>
      </c>
      <c r="Z250">
        <v>2</v>
      </c>
      <c r="AA250">
        <v>0</v>
      </c>
      <c r="AB250">
        <v>0</v>
      </c>
      <c r="AC250">
        <v>1</v>
      </c>
      <c r="AD250">
        <v>3.2727272727272729</v>
      </c>
      <c r="AE250">
        <v>3</v>
      </c>
      <c r="AF250">
        <v>3</v>
      </c>
      <c r="AG250">
        <v>2</v>
      </c>
      <c r="AH250">
        <v>2</v>
      </c>
      <c r="AI250" s="1">
        <v>13</v>
      </c>
      <c r="AJ250" s="1">
        <v>1335</v>
      </c>
      <c r="AK250" s="1">
        <v>435</v>
      </c>
      <c r="AL250" t="s">
        <v>1</v>
      </c>
      <c r="AN250">
        <v>0</v>
      </c>
      <c r="AO250">
        <v>0</v>
      </c>
      <c r="AP250">
        <v>0</v>
      </c>
      <c r="AQ250">
        <v>540</v>
      </c>
      <c r="AR250">
        <v>420</v>
      </c>
      <c r="AS250">
        <v>360</v>
      </c>
      <c r="AT250">
        <v>420</v>
      </c>
      <c r="AU250">
        <v>540</v>
      </c>
      <c r="AV250">
        <v>630</v>
      </c>
      <c r="AW250">
        <v>495</v>
      </c>
      <c r="AX250">
        <v>420</v>
      </c>
      <c r="AY250">
        <v>360</v>
      </c>
      <c r="AZ250">
        <v>0</v>
      </c>
      <c r="BA250">
        <v>0</v>
      </c>
      <c r="BB250">
        <v>0</v>
      </c>
      <c r="BC250">
        <v>288</v>
      </c>
      <c r="BD250">
        <v>270</v>
      </c>
      <c r="BE250">
        <v>330</v>
      </c>
      <c r="BF250">
        <v>260</v>
      </c>
      <c r="BG250">
        <v>288</v>
      </c>
      <c r="BH250">
        <v>180</v>
      </c>
      <c r="BI250">
        <v>0</v>
      </c>
      <c r="BJ250">
        <v>0</v>
      </c>
      <c r="BK250">
        <v>90</v>
      </c>
      <c r="BL250">
        <v>294.54545454545462</v>
      </c>
      <c r="BM250">
        <v>270</v>
      </c>
      <c r="BN250">
        <v>270</v>
      </c>
      <c r="BO250">
        <v>180</v>
      </c>
      <c r="BP250">
        <v>180</v>
      </c>
      <c r="BQ250">
        <f>(I250+J250+N250+O250)/4</f>
        <v>5.791666666666667</v>
      </c>
      <c r="BR250">
        <f>(K250+L250+M250)/3</f>
        <v>4.8888888888888893</v>
      </c>
      <c r="BS250">
        <f>BQ250/BR250</f>
        <v>1.1846590909090908</v>
      </c>
      <c r="BT250">
        <f>AQ250/I250</f>
        <v>90</v>
      </c>
      <c r="BU250" t="str">
        <f>IF(OR(A250=2, A250=12), "Central", IF(A250=3, "Semi-Central", "Periférica"))</f>
        <v>Periférica</v>
      </c>
    </row>
    <row r="251" spans="1:73" x14ac:dyDescent="0.3">
      <c r="A251" s="1">
        <v>10</v>
      </c>
      <c r="B251" s="1">
        <v>1056</v>
      </c>
      <c r="C251" s="1" t="s">
        <v>129</v>
      </c>
      <c r="D251" t="s">
        <v>5</v>
      </c>
      <c r="E251" t="s">
        <v>0</v>
      </c>
      <c r="F251">
        <v>0</v>
      </c>
      <c r="G251">
        <v>0.66666666666666663</v>
      </c>
      <c r="H251">
        <v>7</v>
      </c>
      <c r="I251">
        <v>6.666666666666667</v>
      </c>
      <c r="J251">
        <v>4.666666666666667</v>
      </c>
      <c r="K251">
        <v>5</v>
      </c>
      <c r="L251">
        <v>4.666666666666667</v>
      </c>
      <c r="M251">
        <v>4.8</v>
      </c>
      <c r="N251">
        <v>5.5</v>
      </c>
      <c r="O251">
        <v>6</v>
      </c>
      <c r="P251">
        <v>4.666666666666667</v>
      </c>
      <c r="Q251">
        <v>2</v>
      </c>
      <c r="R251">
        <v>0</v>
      </c>
      <c r="S251">
        <v>0</v>
      </c>
      <c r="T251">
        <v>2</v>
      </c>
      <c r="U251">
        <v>4.4000000000000004</v>
      </c>
      <c r="V251">
        <v>4</v>
      </c>
      <c r="W251">
        <v>4</v>
      </c>
      <c r="X251">
        <v>4</v>
      </c>
      <c r="Y251">
        <v>3.2</v>
      </c>
      <c r="Z251">
        <v>2</v>
      </c>
      <c r="AA251">
        <v>0</v>
      </c>
      <c r="AB251">
        <v>0</v>
      </c>
      <c r="AC251">
        <v>3</v>
      </c>
      <c r="AD251">
        <v>4</v>
      </c>
      <c r="AE251">
        <v>4</v>
      </c>
      <c r="AF251">
        <v>3.333333333333333</v>
      </c>
      <c r="AG251">
        <v>2</v>
      </c>
      <c r="AH251">
        <v>2</v>
      </c>
      <c r="AI251" s="1">
        <v>10</v>
      </c>
      <c r="AJ251" s="1">
        <v>1056</v>
      </c>
      <c r="AK251" s="1" t="s">
        <v>129</v>
      </c>
      <c r="AL251" t="s">
        <v>5</v>
      </c>
      <c r="AM251" t="s">
        <v>0</v>
      </c>
      <c r="AN251">
        <v>0</v>
      </c>
      <c r="AO251">
        <v>60</v>
      </c>
      <c r="AP251">
        <v>630</v>
      </c>
      <c r="AQ251">
        <v>600</v>
      </c>
      <c r="AR251">
        <v>420</v>
      </c>
      <c r="AS251">
        <v>450</v>
      </c>
      <c r="AT251">
        <v>420</v>
      </c>
      <c r="AU251">
        <v>432</v>
      </c>
      <c r="AV251">
        <v>495</v>
      </c>
      <c r="AW251">
        <v>540</v>
      </c>
      <c r="AX251">
        <v>420</v>
      </c>
      <c r="AY251">
        <v>180</v>
      </c>
      <c r="AZ251">
        <v>0</v>
      </c>
      <c r="BA251">
        <v>0</v>
      </c>
      <c r="BB251">
        <v>180</v>
      </c>
      <c r="BC251">
        <v>396</v>
      </c>
      <c r="BD251">
        <v>360</v>
      </c>
      <c r="BE251">
        <v>360</v>
      </c>
      <c r="BF251">
        <v>360</v>
      </c>
      <c r="BG251">
        <v>288</v>
      </c>
      <c r="BH251">
        <v>180</v>
      </c>
      <c r="BI251">
        <v>0</v>
      </c>
      <c r="BJ251">
        <v>0</v>
      </c>
      <c r="BK251">
        <v>270</v>
      </c>
      <c r="BL251">
        <v>360</v>
      </c>
      <c r="BM251">
        <v>360</v>
      </c>
      <c r="BN251">
        <v>300</v>
      </c>
      <c r="BO251">
        <v>180</v>
      </c>
      <c r="BP251">
        <v>180</v>
      </c>
      <c r="BQ251">
        <f>(I251+J251+N251+O251)/4</f>
        <v>5.7083333333333339</v>
      </c>
      <c r="BR251">
        <f>(K251+L251+M251)/3</f>
        <v>4.8222222222222229</v>
      </c>
      <c r="BS251">
        <f>BQ251/BR251</f>
        <v>1.1837557603686635</v>
      </c>
      <c r="BT251">
        <f>AQ251/I251</f>
        <v>90</v>
      </c>
      <c r="BU251" t="str">
        <f>IF(OR(A251=2, A251=12), "Central", IF(A251=3, "Semi-Central", "Periférica"))</f>
        <v>Periférica</v>
      </c>
    </row>
    <row r="252" spans="1:73" x14ac:dyDescent="0.3">
      <c r="A252" s="1">
        <v>15</v>
      </c>
      <c r="B252" s="1">
        <v>1531</v>
      </c>
      <c r="C252" s="1" t="s">
        <v>308</v>
      </c>
      <c r="D252" t="s">
        <v>5</v>
      </c>
      <c r="E252" t="s">
        <v>0</v>
      </c>
      <c r="F252">
        <v>0</v>
      </c>
      <c r="G252">
        <v>0</v>
      </c>
      <c r="H252">
        <v>6</v>
      </c>
      <c r="I252">
        <v>7.333333333333333</v>
      </c>
      <c r="J252">
        <v>5.333333333333333</v>
      </c>
      <c r="K252">
        <v>4</v>
      </c>
      <c r="L252">
        <v>5.333333333333333</v>
      </c>
      <c r="M252">
        <v>4.4000000000000004</v>
      </c>
      <c r="N252">
        <v>4.5</v>
      </c>
      <c r="O252">
        <v>4.5</v>
      </c>
      <c r="P252">
        <v>3.333333333333333</v>
      </c>
      <c r="Q252">
        <v>3.5</v>
      </c>
      <c r="R252">
        <v>0</v>
      </c>
      <c r="S252">
        <v>0</v>
      </c>
      <c r="T252">
        <v>4</v>
      </c>
      <c r="U252">
        <v>4.4000000000000004</v>
      </c>
      <c r="V252">
        <v>3.666666666666667</v>
      </c>
      <c r="W252">
        <v>3.666666666666667</v>
      </c>
      <c r="X252">
        <v>3.7777777777777781</v>
      </c>
      <c r="Y252">
        <v>3.6</v>
      </c>
      <c r="Z252">
        <v>3.5</v>
      </c>
      <c r="AA252">
        <v>0</v>
      </c>
      <c r="AB252">
        <v>0</v>
      </c>
      <c r="AC252">
        <v>2.5</v>
      </c>
      <c r="AD252">
        <v>3.8181818181818179</v>
      </c>
      <c r="AE252">
        <v>4</v>
      </c>
      <c r="AF252">
        <v>3.666666666666667</v>
      </c>
      <c r="AG252">
        <v>3</v>
      </c>
      <c r="AH252">
        <v>3</v>
      </c>
      <c r="AI252" s="1">
        <v>15</v>
      </c>
      <c r="AJ252" s="1">
        <v>1531</v>
      </c>
      <c r="AK252" s="1" t="s">
        <v>308</v>
      </c>
      <c r="AL252" t="s">
        <v>5</v>
      </c>
      <c r="AM252" t="s">
        <v>0</v>
      </c>
      <c r="AN252">
        <v>0</v>
      </c>
      <c r="AO252">
        <v>0</v>
      </c>
      <c r="AP252">
        <v>540</v>
      </c>
      <c r="AQ252">
        <v>660</v>
      </c>
      <c r="AR252">
        <v>480</v>
      </c>
      <c r="AS252">
        <v>360</v>
      </c>
      <c r="AT252">
        <v>480</v>
      </c>
      <c r="AU252">
        <v>396</v>
      </c>
      <c r="AV252">
        <v>405</v>
      </c>
      <c r="AW252">
        <v>405</v>
      </c>
      <c r="AX252">
        <v>300</v>
      </c>
      <c r="AY252">
        <v>315</v>
      </c>
      <c r="AZ252">
        <v>0</v>
      </c>
      <c r="BA252">
        <v>0</v>
      </c>
      <c r="BB252">
        <v>360</v>
      </c>
      <c r="BC252">
        <v>396</v>
      </c>
      <c r="BD252">
        <v>330</v>
      </c>
      <c r="BE252">
        <v>330</v>
      </c>
      <c r="BF252">
        <v>340</v>
      </c>
      <c r="BG252">
        <v>324</v>
      </c>
      <c r="BH252">
        <v>315</v>
      </c>
      <c r="BI252">
        <v>0</v>
      </c>
      <c r="BJ252">
        <v>0</v>
      </c>
      <c r="BK252">
        <v>225</v>
      </c>
      <c r="BL252">
        <v>343.63636363636363</v>
      </c>
      <c r="BM252">
        <v>360</v>
      </c>
      <c r="BN252">
        <v>330</v>
      </c>
      <c r="BO252">
        <v>270</v>
      </c>
      <c r="BP252">
        <v>270</v>
      </c>
      <c r="BQ252">
        <f>(I252+J252+N252+O252)/4</f>
        <v>5.4166666666666661</v>
      </c>
      <c r="BR252">
        <f>(K252+L252+M252)/3</f>
        <v>4.5777777777777775</v>
      </c>
      <c r="BS252">
        <f>BQ252/BR252</f>
        <v>1.183252427184466</v>
      </c>
      <c r="BT252">
        <f>AQ252/I252</f>
        <v>90</v>
      </c>
      <c r="BU252" t="str">
        <f>IF(OR(A252=2, A252=12), "Central", IF(A252=3, "Semi-Central", "Periférica"))</f>
        <v>Periférica</v>
      </c>
    </row>
    <row r="253" spans="1:73" x14ac:dyDescent="0.3">
      <c r="A253" s="1">
        <v>15</v>
      </c>
      <c r="B253" s="1">
        <v>1532</v>
      </c>
      <c r="C253" s="1" t="s">
        <v>342</v>
      </c>
      <c r="D253" t="s">
        <v>1</v>
      </c>
      <c r="E253" t="s">
        <v>0</v>
      </c>
      <c r="F253">
        <v>0</v>
      </c>
      <c r="G253">
        <v>0</v>
      </c>
      <c r="H253">
        <v>6</v>
      </c>
      <c r="I253">
        <v>6.666666666666667</v>
      </c>
      <c r="J253">
        <v>5.333333333333333</v>
      </c>
      <c r="K253">
        <v>4</v>
      </c>
      <c r="L253">
        <v>4.666666666666667</v>
      </c>
      <c r="M253">
        <v>5.6</v>
      </c>
      <c r="N253">
        <v>5.5</v>
      </c>
      <c r="O253">
        <v>5</v>
      </c>
      <c r="P253">
        <v>4</v>
      </c>
      <c r="Q253">
        <v>1.5</v>
      </c>
      <c r="R253">
        <v>0</v>
      </c>
      <c r="S253">
        <v>0</v>
      </c>
      <c r="T253">
        <v>3</v>
      </c>
      <c r="U253">
        <v>4.4000000000000004</v>
      </c>
      <c r="V253">
        <v>3.666666666666667</v>
      </c>
      <c r="W253">
        <v>4</v>
      </c>
      <c r="X253">
        <v>3.7777777777777781</v>
      </c>
      <c r="Y253">
        <v>3.2</v>
      </c>
      <c r="Z253">
        <v>1.5</v>
      </c>
      <c r="AA253">
        <v>0</v>
      </c>
      <c r="AB253">
        <v>0</v>
      </c>
      <c r="AC253">
        <v>3</v>
      </c>
      <c r="AD253">
        <v>3.8181818181818179</v>
      </c>
      <c r="AE253">
        <v>4.2</v>
      </c>
      <c r="AF253">
        <v>3.666666666666667</v>
      </c>
      <c r="AG253">
        <v>3</v>
      </c>
      <c r="AH253">
        <v>1.5</v>
      </c>
      <c r="AI253" s="1">
        <v>15</v>
      </c>
      <c r="AJ253" s="1">
        <v>1532</v>
      </c>
      <c r="AK253" s="1" t="s">
        <v>342</v>
      </c>
      <c r="AL253" t="s">
        <v>1</v>
      </c>
      <c r="AM253" t="s">
        <v>0</v>
      </c>
      <c r="AN253">
        <v>0</v>
      </c>
      <c r="AO253">
        <v>0</v>
      </c>
      <c r="AP253">
        <v>540</v>
      </c>
      <c r="AQ253">
        <v>600</v>
      </c>
      <c r="AR253">
        <v>480</v>
      </c>
      <c r="AS253">
        <v>360</v>
      </c>
      <c r="AT253">
        <v>420</v>
      </c>
      <c r="AU253">
        <v>504</v>
      </c>
      <c r="AV253">
        <v>495</v>
      </c>
      <c r="AW253">
        <v>450</v>
      </c>
      <c r="AX253">
        <v>360</v>
      </c>
      <c r="AY253">
        <v>135</v>
      </c>
      <c r="AZ253">
        <v>0</v>
      </c>
      <c r="BA253">
        <v>0</v>
      </c>
      <c r="BB253">
        <v>270</v>
      </c>
      <c r="BC253">
        <v>396</v>
      </c>
      <c r="BD253">
        <v>330</v>
      </c>
      <c r="BE253">
        <v>360</v>
      </c>
      <c r="BF253">
        <v>340</v>
      </c>
      <c r="BG253">
        <v>288</v>
      </c>
      <c r="BH253">
        <v>135</v>
      </c>
      <c r="BI253">
        <v>0</v>
      </c>
      <c r="BJ253">
        <v>0</v>
      </c>
      <c r="BK253">
        <v>270</v>
      </c>
      <c r="BL253">
        <v>343.63636363636363</v>
      </c>
      <c r="BM253">
        <v>378</v>
      </c>
      <c r="BN253">
        <v>330</v>
      </c>
      <c r="BO253">
        <v>270</v>
      </c>
      <c r="BP253">
        <v>135</v>
      </c>
      <c r="BQ253">
        <f>(I253+J253+N253+O253)/4</f>
        <v>5.625</v>
      </c>
      <c r="BR253">
        <f>(K253+L253+M253)/3</f>
        <v>4.7555555555555555</v>
      </c>
      <c r="BS253">
        <f>BQ253/BR253</f>
        <v>1.1828271028037383</v>
      </c>
      <c r="BT253">
        <f>AQ253/I253</f>
        <v>90</v>
      </c>
      <c r="BU253" t="str">
        <f>IF(OR(A253=2, A253=12), "Central", IF(A253=3, "Semi-Central", "Periférica"))</f>
        <v>Periférica</v>
      </c>
    </row>
    <row r="254" spans="1:73" x14ac:dyDescent="0.3">
      <c r="A254" s="1">
        <v>4</v>
      </c>
      <c r="B254" s="1">
        <v>475</v>
      </c>
      <c r="C254" s="1" t="s">
        <v>354</v>
      </c>
      <c r="D254" t="s">
        <v>1</v>
      </c>
      <c r="E254" t="s">
        <v>0</v>
      </c>
      <c r="F254">
        <v>0</v>
      </c>
      <c r="G254">
        <v>0.88888888888888884</v>
      </c>
      <c r="H254">
        <v>8</v>
      </c>
      <c r="I254">
        <v>7.333333333333333</v>
      </c>
      <c r="J254">
        <v>6.666666666666667</v>
      </c>
      <c r="K254">
        <v>6</v>
      </c>
      <c r="L254">
        <v>6</v>
      </c>
      <c r="M254">
        <v>6.4</v>
      </c>
      <c r="N254">
        <v>7</v>
      </c>
      <c r="O254">
        <v>8</v>
      </c>
      <c r="P254">
        <v>5.333333333333333</v>
      </c>
      <c r="Q254">
        <v>2</v>
      </c>
      <c r="R254">
        <v>0</v>
      </c>
      <c r="S254">
        <v>0.44444444444444442</v>
      </c>
      <c r="T254">
        <v>4</v>
      </c>
      <c r="U254">
        <v>5.2</v>
      </c>
      <c r="V254">
        <v>4.666666666666667</v>
      </c>
      <c r="W254">
        <v>4.666666666666667</v>
      </c>
      <c r="X254">
        <v>4.666666666666667</v>
      </c>
      <c r="Y254">
        <v>4</v>
      </c>
      <c r="Z254">
        <v>2</v>
      </c>
      <c r="AA254">
        <v>0</v>
      </c>
      <c r="AB254">
        <v>0</v>
      </c>
      <c r="AC254">
        <v>4</v>
      </c>
      <c r="AD254">
        <v>4.1818181818181817</v>
      </c>
      <c r="AE254">
        <v>4.8</v>
      </c>
      <c r="AF254">
        <v>4.333333333333333</v>
      </c>
      <c r="AG254">
        <v>4</v>
      </c>
      <c r="AH254">
        <v>2</v>
      </c>
      <c r="AI254" s="1">
        <v>4</v>
      </c>
      <c r="AJ254" s="1">
        <v>475</v>
      </c>
      <c r="AK254" s="1" t="s">
        <v>354</v>
      </c>
      <c r="AL254" t="s">
        <v>1</v>
      </c>
      <c r="AM254" t="s">
        <v>0</v>
      </c>
      <c r="AN254">
        <v>0</v>
      </c>
      <c r="AO254">
        <v>80.888888888888886</v>
      </c>
      <c r="AP254">
        <v>728</v>
      </c>
      <c r="AQ254">
        <v>667.33333333333337</v>
      </c>
      <c r="AR254">
        <v>606.66666666666663</v>
      </c>
      <c r="AS254">
        <v>546</v>
      </c>
      <c r="AT254">
        <v>546</v>
      </c>
      <c r="AU254">
        <v>582.4</v>
      </c>
      <c r="AV254">
        <v>637</v>
      </c>
      <c r="AW254">
        <v>728</v>
      </c>
      <c r="AX254">
        <v>485.33333333333331</v>
      </c>
      <c r="AY254">
        <v>182</v>
      </c>
      <c r="AZ254">
        <v>0</v>
      </c>
      <c r="BA254">
        <v>40.444444444444443</v>
      </c>
      <c r="BB254">
        <v>364</v>
      </c>
      <c r="BC254">
        <v>473.2</v>
      </c>
      <c r="BD254">
        <v>424.66666666666669</v>
      </c>
      <c r="BE254">
        <v>424.66666666666669</v>
      </c>
      <c r="BF254">
        <v>424.66666666666669</v>
      </c>
      <c r="BG254">
        <v>364</v>
      </c>
      <c r="BH254">
        <v>182</v>
      </c>
      <c r="BI254">
        <v>0</v>
      </c>
      <c r="BJ254">
        <v>0</v>
      </c>
      <c r="BK254">
        <v>364</v>
      </c>
      <c r="BL254">
        <v>380.54545454545456</v>
      </c>
      <c r="BM254">
        <v>436.8</v>
      </c>
      <c r="BN254">
        <v>394.33333333333331</v>
      </c>
      <c r="BO254">
        <v>364</v>
      </c>
      <c r="BP254">
        <v>182</v>
      </c>
      <c r="BQ254">
        <f>(I254+J254+N254+O254)/4</f>
        <v>7.25</v>
      </c>
      <c r="BR254">
        <f>(K254+L254+M254)/3</f>
        <v>6.1333333333333329</v>
      </c>
      <c r="BS254">
        <f>BQ254/BR254</f>
        <v>1.1820652173913044</v>
      </c>
      <c r="BT254">
        <f>AQ254/I254</f>
        <v>91.000000000000014</v>
      </c>
      <c r="BU254" t="str">
        <f>IF(OR(A254=2, A254=12), "Central", IF(A254=3, "Semi-Central", "Periférica"))</f>
        <v>Periférica</v>
      </c>
    </row>
    <row r="255" spans="1:73" x14ac:dyDescent="0.3">
      <c r="A255" s="1">
        <v>8</v>
      </c>
      <c r="B255" s="1">
        <v>801</v>
      </c>
      <c r="C255" s="1" t="s">
        <v>166</v>
      </c>
      <c r="D255" t="s">
        <v>5</v>
      </c>
      <c r="F255">
        <v>2</v>
      </c>
      <c r="G255">
        <v>0</v>
      </c>
      <c r="H255">
        <v>5</v>
      </c>
      <c r="I255">
        <v>6</v>
      </c>
      <c r="J255">
        <v>4.666666666666667</v>
      </c>
      <c r="K255">
        <v>4</v>
      </c>
      <c r="L255">
        <v>4</v>
      </c>
      <c r="M255">
        <v>4.8</v>
      </c>
      <c r="N255">
        <v>5</v>
      </c>
      <c r="O255">
        <v>4.5</v>
      </c>
      <c r="P255">
        <v>4</v>
      </c>
      <c r="Q255">
        <v>3.5</v>
      </c>
      <c r="R255">
        <v>2</v>
      </c>
      <c r="S255">
        <v>0</v>
      </c>
      <c r="T255">
        <v>3</v>
      </c>
      <c r="U255">
        <v>3.6</v>
      </c>
      <c r="V255">
        <v>4.333333333333333</v>
      </c>
      <c r="W255">
        <v>4.666666666666667</v>
      </c>
      <c r="X255">
        <v>3.7777777777777781</v>
      </c>
      <c r="Y255">
        <v>2.8</v>
      </c>
      <c r="Z255">
        <v>3</v>
      </c>
      <c r="AA255">
        <v>0</v>
      </c>
      <c r="AB255">
        <v>0</v>
      </c>
      <c r="AC255">
        <v>2.5</v>
      </c>
      <c r="AD255">
        <v>3.454545454545455</v>
      </c>
      <c r="AE255">
        <v>3.2</v>
      </c>
      <c r="AF255">
        <v>3</v>
      </c>
      <c r="AG255">
        <v>3</v>
      </c>
      <c r="AH255">
        <v>3</v>
      </c>
      <c r="AI255" s="1">
        <v>8</v>
      </c>
      <c r="AJ255" s="1">
        <v>801</v>
      </c>
      <c r="AK255" s="1" t="s">
        <v>166</v>
      </c>
      <c r="AL255" t="s">
        <v>5</v>
      </c>
      <c r="AN255">
        <v>180</v>
      </c>
      <c r="AO255">
        <v>0</v>
      </c>
      <c r="AP255">
        <v>450</v>
      </c>
      <c r="AQ255">
        <v>540</v>
      </c>
      <c r="AR255">
        <v>420</v>
      </c>
      <c r="AS255">
        <v>360</v>
      </c>
      <c r="AT255">
        <v>360</v>
      </c>
      <c r="AU255">
        <v>432</v>
      </c>
      <c r="AV255">
        <v>450</v>
      </c>
      <c r="AW255">
        <v>405</v>
      </c>
      <c r="AX255">
        <v>360</v>
      </c>
      <c r="AY255">
        <v>315</v>
      </c>
      <c r="AZ255">
        <v>180</v>
      </c>
      <c r="BA255">
        <v>0</v>
      </c>
      <c r="BB255">
        <v>270</v>
      </c>
      <c r="BC255">
        <v>324</v>
      </c>
      <c r="BD255">
        <v>390</v>
      </c>
      <c r="BE255">
        <v>420</v>
      </c>
      <c r="BF255">
        <v>340</v>
      </c>
      <c r="BG255">
        <v>252</v>
      </c>
      <c r="BH255">
        <v>270</v>
      </c>
      <c r="BI255">
        <v>0</v>
      </c>
      <c r="BJ255">
        <v>0</v>
      </c>
      <c r="BK255">
        <v>225</v>
      </c>
      <c r="BL255">
        <v>310.90909090909088</v>
      </c>
      <c r="BM255">
        <v>288</v>
      </c>
      <c r="BN255">
        <v>270</v>
      </c>
      <c r="BO255">
        <v>270</v>
      </c>
      <c r="BP255">
        <v>270</v>
      </c>
      <c r="BQ255">
        <f>(I255+J255+N255+O255)/4</f>
        <v>5.041666666666667</v>
      </c>
      <c r="BR255">
        <f>(K255+L255+M255)/3</f>
        <v>4.2666666666666666</v>
      </c>
      <c r="BS255">
        <f>BQ255/BR255</f>
        <v>1.181640625</v>
      </c>
      <c r="BT255">
        <f>AQ255/I255</f>
        <v>90</v>
      </c>
      <c r="BU255" t="str">
        <f>IF(OR(A255=2, A255=12), "Central", IF(A255=3, "Semi-Central", "Periférica"))</f>
        <v>Periférica</v>
      </c>
    </row>
    <row r="256" spans="1:73" x14ac:dyDescent="0.3">
      <c r="A256" s="1">
        <v>3</v>
      </c>
      <c r="B256" s="1">
        <v>372</v>
      </c>
      <c r="C256" s="1" t="s">
        <v>353</v>
      </c>
      <c r="D256" t="s">
        <v>5</v>
      </c>
      <c r="E256" t="s">
        <v>0</v>
      </c>
      <c r="F256">
        <v>0</v>
      </c>
      <c r="G256">
        <v>0.22222222222222221</v>
      </c>
      <c r="H256">
        <v>5</v>
      </c>
      <c r="I256">
        <v>5.333333333333333</v>
      </c>
      <c r="J256">
        <v>4.666666666666667</v>
      </c>
      <c r="K256">
        <v>4.666666666666667</v>
      </c>
      <c r="L256">
        <v>4.666666666666667</v>
      </c>
      <c r="M256">
        <v>4</v>
      </c>
      <c r="N256">
        <v>6</v>
      </c>
      <c r="O256">
        <v>5</v>
      </c>
      <c r="P256">
        <v>4.666666666666667</v>
      </c>
      <c r="Q256">
        <v>1.5</v>
      </c>
      <c r="R256">
        <v>0</v>
      </c>
      <c r="S256">
        <v>0</v>
      </c>
      <c r="T256">
        <v>3</v>
      </c>
      <c r="U256">
        <v>4</v>
      </c>
      <c r="V256">
        <v>4</v>
      </c>
      <c r="W256">
        <v>4</v>
      </c>
      <c r="X256">
        <v>3.7777777777777777</v>
      </c>
      <c r="Y256">
        <v>2.8</v>
      </c>
      <c r="Z256">
        <v>1.5</v>
      </c>
      <c r="AA256">
        <v>0</v>
      </c>
      <c r="AB256">
        <v>0</v>
      </c>
      <c r="AC256">
        <v>3</v>
      </c>
      <c r="AD256">
        <v>4</v>
      </c>
      <c r="AE256">
        <v>4</v>
      </c>
      <c r="AF256">
        <v>4</v>
      </c>
      <c r="AG256">
        <v>3</v>
      </c>
      <c r="AH256">
        <v>1.5</v>
      </c>
      <c r="AI256" s="1">
        <v>3</v>
      </c>
      <c r="AJ256" s="1">
        <v>372</v>
      </c>
      <c r="AK256" s="1" t="s">
        <v>353</v>
      </c>
      <c r="AL256" t="s">
        <v>5</v>
      </c>
      <c r="AM256" t="s">
        <v>0</v>
      </c>
      <c r="AN256">
        <v>0</v>
      </c>
      <c r="AO256">
        <v>20.666666666666668</v>
      </c>
      <c r="AP256">
        <v>465</v>
      </c>
      <c r="AQ256">
        <v>496</v>
      </c>
      <c r="AR256">
        <v>434</v>
      </c>
      <c r="AS256">
        <v>434</v>
      </c>
      <c r="AT256">
        <v>434</v>
      </c>
      <c r="AU256">
        <v>372</v>
      </c>
      <c r="AV256">
        <v>558</v>
      </c>
      <c r="AW256">
        <v>465</v>
      </c>
      <c r="AX256">
        <v>434</v>
      </c>
      <c r="AY256">
        <v>139.5</v>
      </c>
      <c r="AZ256">
        <v>0</v>
      </c>
      <c r="BA256">
        <v>0</v>
      </c>
      <c r="BB256">
        <v>270</v>
      </c>
      <c r="BC256">
        <v>360</v>
      </c>
      <c r="BD256">
        <v>360</v>
      </c>
      <c r="BE256">
        <v>360</v>
      </c>
      <c r="BF256">
        <v>340</v>
      </c>
      <c r="BG256">
        <v>252</v>
      </c>
      <c r="BH256">
        <v>135</v>
      </c>
      <c r="BI256">
        <v>0</v>
      </c>
      <c r="BJ256">
        <v>0</v>
      </c>
      <c r="BK256">
        <v>270</v>
      </c>
      <c r="BL256">
        <v>360</v>
      </c>
      <c r="BM256">
        <v>360</v>
      </c>
      <c r="BN256">
        <v>360</v>
      </c>
      <c r="BO256">
        <v>270</v>
      </c>
      <c r="BP256">
        <v>135</v>
      </c>
      <c r="BQ256">
        <f>(I256+J256+N256+O256)/4</f>
        <v>5.25</v>
      </c>
      <c r="BR256">
        <f>(K256+L256+M256)/3</f>
        <v>4.4444444444444446</v>
      </c>
      <c r="BS256">
        <f>BQ256/BR256</f>
        <v>1.1812499999999999</v>
      </c>
      <c r="BT256">
        <f>AQ256/I256</f>
        <v>93</v>
      </c>
      <c r="BU256" t="str">
        <f>IF(OR(A256=2, A256=12), "Central", IF(A256=3, "Semi-Central", "Periférica"))</f>
        <v>Semi-Central</v>
      </c>
    </row>
    <row r="257" spans="1:73" x14ac:dyDescent="0.3">
      <c r="A257" s="1">
        <v>15</v>
      </c>
      <c r="B257" s="1">
        <v>1568</v>
      </c>
      <c r="C257" s="1" t="s">
        <v>322</v>
      </c>
      <c r="D257" t="s">
        <v>5</v>
      </c>
      <c r="E257" t="s">
        <v>0</v>
      </c>
      <c r="F257">
        <v>0</v>
      </c>
      <c r="G257">
        <v>0.22222222222222221</v>
      </c>
      <c r="H257">
        <v>6</v>
      </c>
      <c r="I257">
        <v>8</v>
      </c>
      <c r="J257">
        <v>6.666666666666667</v>
      </c>
      <c r="K257">
        <v>5.333333333333333</v>
      </c>
      <c r="L257">
        <v>6</v>
      </c>
      <c r="M257">
        <v>7.2</v>
      </c>
      <c r="N257">
        <v>7.5</v>
      </c>
      <c r="O257">
        <v>7</v>
      </c>
      <c r="P257">
        <v>4.666666666666667</v>
      </c>
      <c r="Q257">
        <v>3</v>
      </c>
      <c r="R257">
        <v>0</v>
      </c>
      <c r="S257">
        <v>0</v>
      </c>
      <c r="T257">
        <v>4</v>
      </c>
      <c r="U257">
        <v>4.4000000000000004</v>
      </c>
      <c r="V257">
        <v>4</v>
      </c>
      <c r="W257">
        <v>4</v>
      </c>
      <c r="X257">
        <v>4.4444444444444446</v>
      </c>
      <c r="Y257">
        <v>4</v>
      </c>
      <c r="Z257">
        <v>3</v>
      </c>
      <c r="AA257">
        <v>0</v>
      </c>
      <c r="AB257">
        <v>0</v>
      </c>
      <c r="AC257">
        <v>4</v>
      </c>
      <c r="AD257">
        <v>4</v>
      </c>
      <c r="AE257">
        <v>4</v>
      </c>
      <c r="AF257">
        <v>3.666666666666667</v>
      </c>
      <c r="AG257">
        <v>4</v>
      </c>
      <c r="AH257">
        <v>3</v>
      </c>
      <c r="AI257" s="1">
        <v>15</v>
      </c>
      <c r="AJ257" s="1">
        <v>1568</v>
      </c>
      <c r="AK257" s="1" t="s">
        <v>322</v>
      </c>
      <c r="AL257" t="s">
        <v>5</v>
      </c>
      <c r="AM257" t="s">
        <v>0</v>
      </c>
      <c r="AN257">
        <v>0</v>
      </c>
      <c r="AO257">
        <v>20</v>
      </c>
      <c r="AP257">
        <v>540</v>
      </c>
      <c r="AQ257">
        <v>720</v>
      </c>
      <c r="AR257">
        <v>600</v>
      </c>
      <c r="AS257">
        <v>480</v>
      </c>
      <c r="AT257">
        <v>540</v>
      </c>
      <c r="AU257">
        <v>648</v>
      </c>
      <c r="AV257">
        <v>675</v>
      </c>
      <c r="AW257">
        <v>630</v>
      </c>
      <c r="AX257">
        <v>420</v>
      </c>
      <c r="AY257">
        <v>270</v>
      </c>
      <c r="AZ257">
        <v>0</v>
      </c>
      <c r="BA257">
        <v>0</v>
      </c>
      <c r="BB257">
        <v>360</v>
      </c>
      <c r="BC257">
        <v>396</v>
      </c>
      <c r="BD257">
        <v>360</v>
      </c>
      <c r="BE257">
        <v>360</v>
      </c>
      <c r="BF257">
        <v>400</v>
      </c>
      <c r="BG257">
        <v>360</v>
      </c>
      <c r="BH257">
        <v>270</v>
      </c>
      <c r="BI257">
        <v>0</v>
      </c>
      <c r="BJ257">
        <v>0</v>
      </c>
      <c r="BK257">
        <v>360</v>
      </c>
      <c r="BL257">
        <v>360</v>
      </c>
      <c r="BM257">
        <v>360</v>
      </c>
      <c r="BN257">
        <v>330</v>
      </c>
      <c r="BO257">
        <v>360</v>
      </c>
      <c r="BP257">
        <v>270</v>
      </c>
      <c r="BQ257">
        <f>(I257+J257+N257+O257)/4</f>
        <v>7.291666666666667</v>
      </c>
      <c r="BR257">
        <f>(K257+L257+M257)/3</f>
        <v>6.1777777777777771</v>
      </c>
      <c r="BS257">
        <f>BQ257/BR257</f>
        <v>1.1803057553956837</v>
      </c>
      <c r="BT257">
        <f>AQ257/I257</f>
        <v>90</v>
      </c>
      <c r="BU257" t="str">
        <f>IF(OR(A257=2, A257=12), "Central", IF(A257=3, "Semi-Central", "Periférica"))</f>
        <v>Periférica</v>
      </c>
    </row>
    <row r="258" spans="1:73" x14ac:dyDescent="0.3">
      <c r="A258" s="1">
        <v>14</v>
      </c>
      <c r="B258" s="1">
        <v>1401</v>
      </c>
      <c r="C258" s="1">
        <v>101</v>
      </c>
      <c r="D258" t="s">
        <v>1</v>
      </c>
      <c r="F258">
        <v>0</v>
      </c>
      <c r="G258">
        <v>0.44444444444444442</v>
      </c>
      <c r="H258">
        <v>7</v>
      </c>
      <c r="I258">
        <v>5.333333333333333</v>
      </c>
      <c r="J258">
        <v>4.666666666666667</v>
      </c>
      <c r="K258">
        <v>4</v>
      </c>
      <c r="L258">
        <v>4</v>
      </c>
      <c r="M258">
        <v>4.4000000000000004</v>
      </c>
      <c r="N258">
        <v>5</v>
      </c>
      <c r="O258">
        <v>4.5</v>
      </c>
      <c r="P258">
        <v>4</v>
      </c>
      <c r="Q258">
        <v>3.5</v>
      </c>
      <c r="R258">
        <v>0</v>
      </c>
      <c r="S258">
        <v>0</v>
      </c>
      <c r="T258">
        <v>3</v>
      </c>
      <c r="U258">
        <v>4</v>
      </c>
      <c r="V258">
        <v>4</v>
      </c>
      <c r="W258">
        <v>4</v>
      </c>
      <c r="X258">
        <v>4</v>
      </c>
      <c r="Y258">
        <v>3.2</v>
      </c>
      <c r="Z258">
        <v>2.5</v>
      </c>
      <c r="AA258">
        <v>0</v>
      </c>
      <c r="AB258">
        <v>0</v>
      </c>
      <c r="AC258">
        <v>3</v>
      </c>
      <c r="AD258">
        <v>3.6363636363636358</v>
      </c>
      <c r="AE258">
        <v>3.4</v>
      </c>
      <c r="AF258">
        <v>3</v>
      </c>
      <c r="AG258">
        <v>3</v>
      </c>
      <c r="AH258">
        <v>2.5</v>
      </c>
      <c r="AI258" s="1">
        <v>14</v>
      </c>
      <c r="AJ258" s="1">
        <v>1401</v>
      </c>
      <c r="AK258" s="1">
        <v>101</v>
      </c>
      <c r="AL258" t="s">
        <v>1</v>
      </c>
      <c r="AN258">
        <v>0</v>
      </c>
      <c r="AO258">
        <v>40</v>
      </c>
      <c r="AP258">
        <v>630</v>
      </c>
      <c r="AQ258">
        <v>480</v>
      </c>
      <c r="AR258">
        <v>420</v>
      </c>
      <c r="AS258">
        <v>360</v>
      </c>
      <c r="AT258">
        <v>360</v>
      </c>
      <c r="AU258">
        <v>396</v>
      </c>
      <c r="AV258">
        <v>450</v>
      </c>
      <c r="AW258">
        <v>405</v>
      </c>
      <c r="AX258">
        <v>360</v>
      </c>
      <c r="AY258">
        <v>315</v>
      </c>
      <c r="AZ258">
        <v>0</v>
      </c>
      <c r="BA258">
        <v>0</v>
      </c>
      <c r="BB258">
        <v>270</v>
      </c>
      <c r="BC258">
        <v>360</v>
      </c>
      <c r="BD258">
        <v>360</v>
      </c>
      <c r="BE258">
        <v>360</v>
      </c>
      <c r="BF258">
        <v>360</v>
      </c>
      <c r="BG258">
        <v>288</v>
      </c>
      <c r="BH258">
        <v>225</v>
      </c>
      <c r="BI258">
        <v>0</v>
      </c>
      <c r="BJ258">
        <v>0</v>
      </c>
      <c r="BK258">
        <v>270</v>
      </c>
      <c r="BL258">
        <v>327.27272727272731</v>
      </c>
      <c r="BM258">
        <v>306</v>
      </c>
      <c r="BN258">
        <v>270</v>
      </c>
      <c r="BO258">
        <v>270</v>
      </c>
      <c r="BP258">
        <v>225</v>
      </c>
      <c r="BQ258">
        <f>(I258+J258+N258+O258)/4</f>
        <v>4.875</v>
      </c>
      <c r="BR258">
        <f>(K258+L258+M258)/3</f>
        <v>4.1333333333333337</v>
      </c>
      <c r="BS258">
        <f>BQ258/BR258</f>
        <v>1.1794354838709675</v>
      </c>
      <c r="BT258">
        <f>AQ258/I258</f>
        <v>90</v>
      </c>
      <c r="BU258" t="str">
        <f>IF(OR(A258=2, A258=12), "Central", IF(A258=3, "Semi-Central", "Periférica"))</f>
        <v>Periférica</v>
      </c>
    </row>
    <row r="259" spans="1:73" x14ac:dyDescent="0.3">
      <c r="A259" s="1">
        <v>16</v>
      </c>
      <c r="B259" s="1">
        <v>1623</v>
      </c>
      <c r="C259" s="1">
        <v>323</v>
      </c>
      <c r="D259" t="s">
        <v>5</v>
      </c>
      <c r="E259" t="s">
        <v>0</v>
      </c>
      <c r="F259">
        <v>0</v>
      </c>
      <c r="G259">
        <v>0</v>
      </c>
      <c r="H259">
        <v>4</v>
      </c>
      <c r="I259">
        <v>5.333333333333333</v>
      </c>
      <c r="J259">
        <v>6</v>
      </c>
      <c r="K259">
        <v>5</v>
      </c>
      <c r="L259">
        <v>4.666666666666667</v>
      </c>
      <c r="M259">
        <v>5.2</v>
      </c>
      <c r="N259">
        <v>6</v>
      </c>
      <c r="O259">
        <v>6</v>
      </c>
      <c r="P259">
        <v>4.666666666666667</v>
      </c>
      <c r="Q259">
        <v>2</v>
      </c>
      <c r="R259">
        <v>0</v>
      </c>
      <c r="S259">
        <v>0</v>
      </c>
      <c r="T259">
        <v>2</v>
      </c>
      <c r="U259">
        <v>4</v>
      </c>
      <c r="V259">
        <v>4.666666666666667</v>
      </c>
      <c r="W259">
        <v>5</v>
      </c>
      <c r="X259">
        <v>4.8888888888888893</v>
      </c>
      <c r="Y259">
        <v>4.4000000000000004</v>
      </c>
      <c r="Z259">
        <v>1.5</v>
      </c>
      <c r="AA259">
        <v>0</v>
      </c>
      <c r="AB259">
        <v>0</v>
      </c>
      <c r="AC259">
        <v>1</v>
      </c>
      <c r="AD259">
        <v>2.9090909090909092</v>
      </c>
      <c r="AE259">
        <v>3</v>
      </c>
      <c r="AF259">
        <v>3</v>
      </c>
      <c r="AG259">
        <v>3</v>
      </c>
      <c r="AH259">
        <v>1.5</v>
      </c>
      <c r="AI259" s="1">
        <v>16</v>
      </c>
      <c r="AJ259" s="1">
        <v>1623</v>
      </c>
      <c r="AK259" s="1">
        <v>323</v>
      </c>
      <c r="AL259" t="s">
        <v>5</v>
      </c>
      <c r="AM259" t="s">
        <v>0</v>
      </c>
      <c r="AN259">
        <v>0</v>
      </c>
      <c r="AO259">
        <v>0</v>
      </c>
      <c r="AP259">
        <v>240</v>
      </c>
      <c r="AQ259">
        <v>320</v>
      </c>
      <c r="AR259">
        <v>360</v>
      </c>
      <c r="AS259">
        <v>300</v>
      </c>
      <c r="AT259">
        <v>280</v>
      </c>
      <c r="AU259">
        <v>312</v>
      </c>
      <c r="AV259">
        <v>360</v>
      </c>
      <c r="AW259">
        <v>360</v>
      </c>
      <c r="AX259">
        <v>280</v>
      </c>
      <c r="AY259">
        <v>120</v>
      </c>
      <c r="AZ259">
        <v>0</v>
      </c>
      <c r="BA259">
        <v>0</v>
      </c>
      <c r="BB259">
        <v>120</v>
      </c>
      <c r="BC259">
        <v>240</v>
      </c>
      <c r="BD259">
        <v>280</v>
      </c>
      <c r="BE259">
        <v>300</v>
      </c>
      <c r="BF259">
        <v>293.33333333333331</v>
      </c>
      <c r="BG259">
        <v>264</v>
      </c>
      <c r="BH259">
        <v>90</v>
      </c>
      <c r="BI259">
        <v>0</v>
      </c>
      <c r="BJ259">
        <v>0</v>
      </c>
      <c r="BK259">
        <v>60</v>
      </c>
      <c r="BL259">
        <v>174.5454545454545</v>
      </c>
      <c r="BM259">
        <v>180</v>
      </c>
      <c r="BN259">
        <v>180</v>
      </c>
      <c r="BO259">
        <v>180</v>
      </c>
      <c r="BP259">
        <v>90</v>
      </c>
      <c r="BQ259">
        <f>(I259+J259+N259+O259)/4</f>
        <v>5.833333333333333</v>
      </c>
      <c r="BR259">
        <f>(K259+L259+M259)/3</f>
        <v>4.9555555555555557</v>
      </c>
      <c r="BS259">
        <f>BQ259/BR259</f>
        <v>1.1771300448430493</v>
      </c>
      <c r="BT259">
        <f>AQ259/I259</f>
        <v>60</v>
      </c>
      <c r="BU259" t="str">
        <f>IF(OR(A259=2, A259=12), "Central", IF(A259=3, "Semi-Central", "Periférica"))</f>
        <v>Periférica</v>
      </c>
    </row>
    <row r="260" spans="1:73" x14ac:dyDescent="0.3">
      <c r="A260" s="1">
        <v>4</v>
      </c>
      <c r="B260" s="1">
        <v>487</v>
      </c>
      <c r="C260" s="1" t="s">
        <v>352</v>
      </c>
      <c r="D260" t="s">
        <v>5</v>
      </c>
      <c r="E260" t="s">
        <v>0</v>
      </c>
      <c r="F260">
        <v>0</v>
      </c>
      <c r="G260">
        <v>0</v>
      </c>
      <c r="H260">
        <v>5</v>
      </c>
      <c r="I260">
        <v>5.333333333333333</v>
      </c>
      <c r="J260">
        <v>4</v>
      </c>
      <c r="K260">
        <v>4</v>
      </c>
      <c r="L260">
        <v>4</v>
      </c>
      <c r="M260">
        <v>4</v>
      </c>
      <c r="N260">
        <v>4.5</v>
      </c>
      <c r="O260">
        <v>5</v>
      </c>
      <c r="P260">
        <v>4</v>
      </c>
      <c r="Q260">
        <v>3.5</v>
      </c>
      <c r="R260">
        <v>0</v>
      </c>
      <c r="S260">
        <v>0</v>
      </c>
      <c r="T260">
        <v>3</v>
      </c>
      <c r="U260">
        <v>4.4000000000000004</v>
      </c>
      <c r="V260">
        <v>4</v>
      </c>
      <c r="W260">
        <v>4.666666666666667</v>
      </c>
      <c r="X260">
        <v>4.2222222222222223</v>
      </c>
      <c r="Y260">
        <v>4</v>
      </c>
      <c r="Z260">
        <v>2.5</v>
      </c>
      <c r="AA260">
        <v>0</v>
      </c>
      <c r="AB260">
        <v>0</v>
      </c>
      <c r="AC260">
        <v>3</v>
      </c>
      <c r="AD260">
        <v>4.5454545454545459</v>
      </c>
      <c r="AE260">
        <v>4.2</v>
      </c>
      <c r="AF260">
        <v>4.666666666666667</v>
      </c>
      <c r="AG260">
        <v>3</v>
      </c>
      <c r="AH260">
        <v>2.5</v>
      </c>
      <c r="AI260" s="1">
        <v>4</v>
      </c>
      <c r="AJ260" s="1">
        <v>487</v>
      </c>
      <c r="AK260" s="1" t="s">
        <v>352</v>
      </c>
      <c r="AL260" t="s">
        <v>5</v>
      </c>
      <c r="AM260" t="s">
        <v>0</v>
      </c>
      <c r="AN260">
        <v>0</v>
      </c>
      <c r="AO260">
        <v>0</v>
      </c>
      <c r="AP260">
        <v>455</v>
      </c>
      <c r="AQ260">
        <v>485.33333333333331</v>
      </c>
      <c r="AR260">
        <v>364</v>
      </c>
      <c r="AS260">
        <v>364</v>
      </c>
      <c r="AT260">
        <v>364</v>
      </c>
      <c r="AU260">
        <v>364</v>
      </c>
      <c r="AV260">
        <v>409.5</v>
      </c>
      <c r="AW260">
        <v>455</v>
      </c>
      <c r="AX260">
        <v>364</v>
      </c>
      <c r="AY260">
        <v>318.5</v>
      </c>
      <c r="AZ260">
        <v>0</v>
      </c>
      <c r="BA260">
        <v>0</v>
      </c>
      <c r="BB260">
        <v>273</v>
      </c>
      <c r="BC260">
        <v>400.4</v>
      </c>
      <c r="BD260">
        <v>364</v>
      </c>
      <c r="BE260">
        <v>424.66666666666669</v>
      </c>
      <c r="BF260">
        <v>384.22222222222223</v>
      </c>
      <c r="BG260">
        <v>364</v>
      </c>
      <c r="BH260">
        <v>227.5</v>
      </c>
      <c r="BI260">
        <v>0</v>
      </c>
      <c r="BJ260">
        <v>0</v>
      </c>
      <c r="BK260">
        <v>273</v>
      </c>
      <c r="BL260">
        <v>413.63636363636363</v>
      </c>
      <c r="BM260">
        <v>382.2</v>
      </c>
      <c r="BN260">
        <v>424.66666666666669</v>
      </c>
      <c r="BO260">
        <v>273</v>
      </c>
      <c r="BP260">
        <v>227.5</v>
      </c>
      <c r="BQ260">
        <f>(I260+J260+N260+O260)/4</f>
        <v>4.708333333333333</v>
      </c>
      <c r="BR260">
        <f>(K260+L260+M260)/3</f>
        <v>4</v>
      </c>
      <c r="BS260">
        <f>BQ260/BR260</f>
        <v>1.1770833333333333</v>
      </c>
      <c r="BT260">
        <f>AQ260/I260</f>
        <v>91</v>
      </c>
      <c r="BU260" t="str">
        <f>IF(OR(A260=2, A260=12), "Central", IF(A260=3, "Semi-Central", "Periférica"))</f>
        <v>Periférica</v>
      </c>
    </row>
    <row r="261" spans="1:73" x14ac:dyDescent="0.3">
      <c r="A261" s="1">
        <v>4</v>
      </c>
      <c r="B261" s="1">
        <v>487</v>
      </c>
      <c r="C261" s="1" t="s">
        <v>352</v>
      </c>
      <c r="D261" t="s">
        <v>1</v>
      </c>
      <c r="E261" t="s">
        <v>0</v>
      </c>
      <c r="F261">
        <v>0</v>
      </c>
      <c r="G261">
        <v>0</v>
      </c>
      <c r="H261">
        <v>5</v>
      </c>
      <c r="I261">
        <v>5.333333333333333</v>
      </c>
      <c r="J261">
        <v>4</v>
      </c>
      <c r="K261">
        <v>4</v>
      </c>
      <c r="L261">
        <v>4</v>
      </c>
      <c r="M261">
        <v>4</v>
      </c>
      <c r="N261">
        <v>4.5</v>
      </c>
      <c r="O261">
        <v>5</v>
      </c>
      <c r="P261">
        <v>4</v>
      </c>
      <c r="Q261">
        <v>2</v>
      </c>
      <c r="R261">
        <v>0</v>
      </c>
      <c r="S261">
        <v>0</v>
      </c>
      <c r="T261">
        <v>3</v>
      </c>
      <c r="U261">
        <v>4</v>
      </c>
      <c r="V261">
        <v>4.333333333333333</v>
      </c>
      <c r="W261">
        <v>4.333333333333333</v>
      </c>
      <c r="X261">
        <v>4.4444444444444446</v>
      </c>
      <c r="Y261">
        <v>3.6</v>
      </c>
      <c r="Z261">
        <v>1.5</v>
      </c>
      <c r="AA261">
        <v>0</v>
      </c>
      <c r="AB261">
        <v>0</v>
      </c>
      <c r="AC261">
        <v>3</v>
      </c>
      <c r="AD261">
        <v>4.3636363636363633</v>
      </c>
      <c r="AE261">
        <v>4</v>
      </c>
      <c r="AF261">
        <v>4</v>
      </c>
      <c r="AG261">
        <v>3</v>
      </c>
      <c r="AH261">
        <v>1.5</v>
      </c>
      <c r="AI261" s="1">
        <v>4</v>
      </c>
      <c r="AJ261" s="1">
        <v>487</v>
      </c>
      <c r="AK261" s="1" t="s">
        <v>352</v>
      </c>
      <c r="AL261" t="s">
        <v>1</v>
      </c>
      <c r="AM261" t="s">
        <v>0</v>
      </c>
      <c r="AN261">
        <v>0</v>
      </c>
      <c r="AO261">
        <v>0</v>
      </c>
      <c r="AP261">
        <v>455</v>
      </c>
      <c r="AQ261">
        <v>485.33333333333331</v>
      </c>
      <c r="AR261">
        <v>364</v>
      </c>
      <c r="AS261">
        <v>364</v>
      </c>
      <c r="AT261">
        <v>364</v>
      </c>
      <c r="AU261">
        <v>364</v>
      </c>
      <c r="AV261">
        <v>409.5</v>
      </c>
      <c r="AW261">
        <v>455</v>
      </c>
      <c r="AX261">
        <v>364</v>
      </c>
      <c r="AY261">
        <v>182</v>
      </c>
      <c r="AZ261">
        <v>0</v>
      </c>
      <c r="BA261">
        <v>0</v>
      </c>
      <c r="BB261">
        <v>273</v>
      </c>
      <c r="BC261">
        <v>364</v>
      </c>
      <c r="BD261">
        <v>394.33333333333331</v>
      </c>
      <c r="BE261">
        <v>394.33333333333331</v>
      </c>
      <c r="BF261">
        <v>404.44444444444446</v>
      </c>
      <c r="BG261">
        <v>327.60000000000002</v>
      </c>
      <c r="BH261">
        <v>136.5</v>
      </c>
      <c r="BI261">
        <v>0</v>
      </c>
      <c r="BJ261">
        <v>0</v>
      </c>
      <c r="BK261">
        <v>273</v>
      </c>
      <c r="BL261">
        <v>397.09090909090907</v>
      </c>
      <c r="BM261">
        <v>364</v>
      </c>
      <c r="BN261">
        <v>364</v>
      </c>
      <c r="BO261">
        <v>273</v>
      </c>
      <c r="BP261">
        <v>136.5</v>
      </c>
      <c r="BQ261">
        <f>(I261+J261+N261+O261)/4</f>
        <v>4.708333333333333</v>
      </c>
      <c r="BR261">
        <f>(K261+L261+M261)/3</f>
        <v>4</v>
      </c>
      <c r="BS261">
        <f>BQ261/BR261</f>
        <v>1.1770833333333333</v>
      </c>
      <c r="BT261">
        <f>AQ261/I261</f>
        <v>91</v>
      </c>
      <c r="BU261" t="str">
        <f>IF(OR(A261=2, A261=12), "Central", IF(A261=3, "Semi-Central", "Periférica"))</f>
        <v>Periférica</v>
      </c>
    </row>
    <row r="262" spans="1:73" x14ac:dyDescent="0.3">
      <c r="A262" s="1">
        <v>4</v>
      </c>
      <c r="B262" s="1">
        <v>479</v>
      </c>
      <c r="C262" t="s">
        <v>198</v>
      </c>
      <c r="D262" t="s">
        <v>5</v>
      </c>
      <c r="F262">
        <v>0</v>
      </c>
      <c r="G262">
        <v>0</v>
      </c>
      <c r="H262">
        <v>5</v>
      </c>
      <c r="I262">
        <v>5.333333333333333</v>
      </c>
      <c r="J262">
        <v>4</v>
      </c>
      <c r="K262">
        <v>4</v>
      </c>
      <c r="L262">
        <v>4</v>
      </c>
      <c r="M262">
        <v>4</v>
      </c>
      <c r="N262">
        <v>4.5</v>
      </c>
      <c r="O262">
        <v>5</v>
      </c>
      <c r="P262">
        <v>4</v>
      </c>
      <c r="Q262">
        <v>1.5</v>
      </c>
      <c r="R262">
        <v>0</v>
      </c>
      <c r="S262">
        <v>0</v>
      </c>
      <c r="T262">
        <v>3</v>
      </c>
      <c r="U262">
        <v>4.4000000000000004</v>
      </c>
      <c r="V262">
        <v>4.333333333333333</v>
      </c>
      <c r="W262">
        <v>4.666666666666667</v>
      </c>
      <c r="X262">
        <v>4.2222222222222223</v>
      </c>
      <c r="Y262">
        <v>3.6</v>
      </c>
      <c r="Z262">
        <v>1.5</v>
      </c>
      <c r="AA262">
        <v>0</v>
      </c>
      <c r="AB262">
        <v>0</v>
      </c>
      <c r="AC262">
        <v>3</v>
      </c>
      <c r="AD262">
        <v>3.6363636363636362</v>
      </c>
      <c r="AE262">
        <v>3.4</v>
      </c>
      <c r="AF262">
        <v>3.3333333333333335</v>
      </c>
      <c r="AG262">
        <v>3</v>
      </c>
      <c r="AH262">
        <v>1.5</v>
      </c>
      <c r="AI262" s="1">
        <v>4</v>
      </c>
      <c r="AJ262" s="1">
        <v>479</v>
      </c>
      <c r="AK262" t="s">
        <v>198</v>
      </c>
      <c r="AL262" t="s">
        <v>5</v>
      </c>
      <c r="AN262">
        <v>0</v>
      </c>
      <c r="AO262">
        <v>0</v>
      </c>
      <c r="AP262">
        <v>455</v>
      </c>
      <c r="AQ262">
        <v>485.33333333333331</v>
      </c>
      <c r="AR262">
        <v>364</v>
      </c>
      <c r="AS262">
        <v>364</v>
      </c>
      <c r="AT262">
        <v>364</v>
      </c>
      <c r="AU262">
        <v>364</v>
      </c>
      <c r="AV262">
        <v>409.5</v>
      </c>
      <c r="AW262">
        <v>455</v>
      </c>
      <c r="AX262">
        <v>364</v>
      </c>
      <c r="AY262">
        <v>136.5</v>
      </c>
      <c r="AZ262">
        <v>0</v>
      </c>
      <c r="BA262">
        <v>0</v>
      </c>
      <c r="BB262">
        <v>273</v>
      </c>
      <c r="BC262">
        <v>400.4</v>
      </c>
      <c r="BD262">
        <v>394.33333333333331</v>
      </c>
      <c r="BE262">
        <v>424.66666666666669</v>
      </c>
      <c r="BF262">
        <v>384.22222222222223</v>
      </c>
      <c r="BG262">
        <v>327.60000000000002</v>
      </c>
      <c r="BH262">
        <v>136.5</v>
      </c>
      <c r="BI262">
        <v>0</v>
      </c>
      <c r="BJ262">
        <v>0</v>
      </c>
      <c r="BK262">
        <v>273</v>
      </c>
      <c r="BL262">
        <v>330.90909090909093</v>
      </c>
      <c r="BM262">
        <v>309.39999999999998</v>
      </c>
      <c r="BN262">
        <v>303.33333333333331</v>
      </c>
      <c r="BO262">
        <v>273</v>
      </c>
      <c r="BP262">
        <v>136.5</v>
      </c>
      <c r="BQ262">
        <f>(I262+J262+N262+O262)/4</f>
        <v>4.708333333333333</v>
      </c>
      <c r="BR262">
        <f>(K262+L262+M262)/3</f>
        <v>4</v>
      </c>
      <c r="BS262">
        <f>BQ262/BR262</f>
        <v>1.1770833333333333</v>
      </c>
      <c r="BT262">
        <f>AQ262/I262</f>
        <v>91</v>
      </c>
      <c r="BU262" t="str">
        <f>IF(OR(A262=2, A262=12), "Central", IF(A262=3, "Semi-Central", "Periférica"))</f>
        <v>Periférica</v>
      </c>
    </row>
    <row r="263" spans="1:73" x14ac:dyDescent="0.3">
      <c r="A263" s="1">
        <v>14</v>
      </c>
      <c r="B263" s="1">
        <v>1457</v>
      </c>
      <c r="C263" s="1" t="s">
        <v>351</v>
      </c>
      <c r="D263" t="s">
        <v>5</v>
      </c>
      <c r="E263" t="s">
        <v>0</v>
      </c>
      <c r="F263">
        <v>0</v>
      </c>
      <c r="G263">
        <v>0</v>
      </c>
      <c r="H263">
        <v>3</v>
      </c>
      <c r="I263">
        <v>5.333333333333333</v>
      </c>
      <c r="J263">
        <v>4</v>
      </c>
      <c r="K263">
        <v>4</v>
      </c>
      <c r="L263">
        <v>4</v>
      </c>
      <c r="M263">
        <v>4</v>
      </c>
      <c r="N263">
        <v>4.5</v>
      </c>
      <c r="O263">
        <v>5</v>
      </c>
      <c r="P263">
        <v>4</v>
      </c>
      <c r="Q263">
        <v>4</v>
      </c>
      <c r="R263">
        <v>0</v>
      </c>
      <c r="S263">
        <v>0</v>
      </c>
      <c r="T263">
        <v>3</v>
      </c>
      <c r="U263">
        <v>4.4000000000000004</v>
      </c>
      <c r="V263">
        <v>3.666666666666667</v>
      </c>
      <c r="W263">
        <v>3.666666666666667</v>
      </c>
      <c r="X263">
        <v>3.7777777777777781</v>
      </c>
      <c r="Y263">
        <v>4</v>
      </c>
      <c r="Z263">
        <v>3</v>
      </c>
      <c r="AA263">
        <v>0</v>
      </c>
      <c r="AB263">
        <v>0</v>
      </c>
      <c r="AC263">
        <v>2.5</v>
      </c>
      <c r="AD263">
        <v>3.8181818181818179</v>
      </c>
      <c r="AE263">
        <v>3.6</v>
      </c>
      <c r="AF263">
        <v>3.666666666666667</v>
      </c>
      <c r="AG263">
        <v>3</v>
      </c>
      <c r="AH263">
        <v>2.5</v>
      </c>
      <c r="AI263" s="1">
        <v>14</v>
      </c>
      <c r="AJ263" s="1">
        <v>1457</v>
      </c>
      <c r="AK263" s="1" t="s">
        <v>351</v>
      </c>
      <c r="AL263" t="s">
        <v>5</v>
      </c>
      <c r="AM263" t="s">
        <v>0</v>
      </c>
      <c r="AN263">
        <v>0</v>
      </c>
      <c r="AO263">
        <v>0</v>
      </c>
      <c r="AP263">
        <v>270</v>
      </c>
      <c r="AQ263">
        <v>480</v>
      </c>
      <c r="AR263">
        <v>360</v>
      </c>
      <c r="AS263">
        <v>360</v>
      </c>
      <c r="AT263">
        <v>360</v>
      </c>
      <c r="AU263">
        <v>360</v>
      </c>
      <c r="AV263">
        <v>405</v>
      </c>
      <c r="AW263">
        <v>450</v>
      </c>
      <c r="AX263">
        <v>360</v>
      </c>
      <c r="AY263">
        <v>360</v>
      </c>
      <c r="AZ263">
        <v>0</v>
      </c>
      <c r="BA263">
        <v>0</v>
      </c>
      <c r="BB263">
        <v>270</v>
      </c>
      <c r="BC263">
        <v>396</v>
      </c>
      <c r="BD263">
        <v>330</v>
      </c>
      <c r="BE263">
        <v>330</v>
      </c>
      <c r="BF263">
        <v>340</v>
      </c>
      <c r="BG263">
        <v>360</v>
      </c>
      <c r="BH263">
        <v>270</v>
      </c>
      <c r="BI263">
        <v>0</v>
      </c>
      <c r="BJ263">
        <v>0</v>
      </c>
      <c r="BK263">
        <v>225</v>
      </c>
      <c r="BL263">
        <v>343.63636363636363</v>
      </c>
      <c r="BM263">
        <v>324</v>
      </c>
      <c r="BN263">
        <v>330</v>
      </c>
      <c r="BO263">
        <v>270</v>
      </c>
      <c r="BP263">
        <v>225</v>
      </c>
      <c r="BQ263">
        <f>(I263+J263+N263+O263)/4</f>
        <v>4.708333333333333</v>
      </c>
      <c r="BR263">
        <f>(K263+L263+M263)/3</f>
        <v>4</v>
      </c>
      <c r="BS263">
        <f>BQ263/BR263</f>
        <v>1.1770833333333333</v>
      </c>
      <c r="BT263">
        <f>AQ263/I263</f>
        <v>90</v>
      </c>
      <c r="BU263" t="str">
        <f>IF(OR(A263=2, A263=12), "Central", IF(A263=3, "Semi-Central", "Periférica"))</f>
        <v>Periférica</v>
      </c>
    </row>
    <row r="264" spans="1:73" x14ac:dyDescent="0.3">
      <c r="A264" s="1">
        <v>3</v>
      </c>
      <c r="B264" s="1">
        <v>380</v>
      </c>
      <c r="C264" s="1" t="s">
        <v>340</v>
      </c>
      <c r="D264" t="s">
        <v>5</v>
      </c>
      <c r="E264" t="s">
        <v>0</v>
      </c>
      <c r="F264">
        <v>0</v>
      </c>
      <c r="G264">
        <v>0</v>
      </c>
      <c r="H264">
        <v>7</v>
      </c>
      <c r="I264">
        <v>9.3333333333333339</v>
      </c>
      <c r="J264">
        <v>6.666666666666667</v>
      </c>
      <c r="K264">
        <v>7</v>
      </c>
      <c r="L264">
        <v>6</v>
      </c>
      <c r="M264">
        <v>6.8</v>
      </c>
      <c r="N264">
        <v>8</v>
      </c>
      <c r="O264">
        <v>7</v>
      </c>
      <c r="P264">
        <v>4</v>
      </c>
      <c r="Q264">
        <v>4</v>
      </c>
      <c r="R264">
        <v>0</v>
      </c>
      <c r="S264">
        <v>0</v>
      </c>
      <c r="T264">
        <v>3</v>
      </c>
      <c r="U264">
        <v>4.4000000000000004</v>
      </c>
      <c r="V264">
        <v>4.333333333333333</v>
      </c>
      <c r="W264">
        <v>4.333333333333333</v>
      </c>
      <c r="X264">
        <v>4.2222222222222223</v>
      </c>
      <c r="Y264">
        <v>4</v>
      </c>
      <c r="Z264">
        <v>3.5</v>
      </c>
      <c r="AA264">
        <v>0</v>
      </c>
      <c r="AB264">
        <v>0</v>
      </c>
      <c r="AC264">
        <v>3</v>
      </c>
      <c r="AD264">
        <v>4</v>
      </c>
      <c r="AE264">
        <v>4</v>
      </c>
      <c r="AF264">
        <v>4</v>
      </c>
      <c r="AG264">
        <v>3</v>
      </c>
      <c r="AH264">
        <v>3</v>
      </c>
      <c r="AI264" s="1">
        <v>3</v>
      </c>
      <c r="AJ264" s="1">
        <v>380</v>
      </c>
      <c r="AK264" s="1" t="s">
        <v>340</v>
      </c>
      <c r="AL264" t="s">
        <v>5</v>
      </c>
      <c r="AM264" t="s">
        <v>0</v>
      </c>
      <c r="AN264">
        <v>0</v>
      </c>
      <c r="AO264">
        <v>0</v>
      </c>
      <c r="AP264">
        <v>686</v>
      </c>
      <c r="AQ264">
        <v>914.66666666666663</v>
      </c>
      <c r="AR264">
        <v>653.33333333333337</v>
      </c>
      <c r="AS264">
        <v>686</v>
      </c>
      <c r="AT264">
        <v>588</v>
      </c>
      <c r="AU264">
        <v>666.4</v>
      </c>
      <c r="AV264">
        <v>784</v>
      </c>
      <c r="AW264">
        <v>686</v>
      </c>
      <c r="AX264">
        <v>392</v>
      </c>
      <c r="AY264">
        <v>392</v>
      </c>
      <c r="AZ264">
        <v>0</v>
      </c>
      <c r="BA264">
        <v>0</v>
      </c>
      <c r="BB264">
        <v>294</v>
      </c>
      <c r="BC264">
        <v>431.2</v>
      </c>
      <c r="BD264">
        <v>424.66666666666669</v>
      </c>
      <c r="BE264">
        <v>424.66666666666669</v>
      </c>
      <c r="BF264">
        <v>413.77777777777777</v>
      </c>
      <c r="BG264">
        <v>392</v>
      </c>
      <c r="BH264">
        <v>343</v>
      </c>
      <c r="BI264">
        <v>0</v>
      </c>
      <c r="BJ264">
        <v>0</v>
      </c>
      <c r="BK264">
        <v>294</v>
      </c>
      <c r="BL264">
        <v>392</v>
      </c>
      <c r="BM264">
        <v>392</v>
      </c>
      <c r="BN264">
        <v>392</v>
      </c>
      <c r="BO264">
        <v>294</v>
      </c>
      <c r="BP264">
        <v>294</v>
      </c>
      <c r="BQ264">
        <f>(I264+J264+N264+O264)/4</f>
        <v>7.75</v>
      </c>
      <c r="BR264">
        <f>(K264+L264+M264)/3</f>
        <v>6.6000000000000005</v>
      </c>
      <c r="BS264">
        <f>BQ264/BR264</f>
        <v>1.1742424242424241</v>
      </c>
      <c r="BT264">
        <f>AQ264/I264</f>
        <v>97.999999999999986</v>
      </c>
      <c r="BU264" t="str">
        <f>IF(OR(A264=2, A264=12), "Central", IF(A264=3, "Semi-Central", "Periférica"))</f>
        <v>Semi-Central</v>
      </c>
    </row>
    <row r="265" spans="1:73" x14ac:dyDescent="0.3">
      <c r="A265" s="1">
        <v>8</v>
      </c>
      <c r="B265" s="1">
        <v>808</v>
      </c>
      <c r="C265" s="1" t="s">
        <v>337</v>
      </c>
      <c r="D265" t="s">
        <v>1</v>
      </c>
      <c r="F265">
        <v>0</v>
      </c>
      <c r="G265">
        <v>0.66666666666666663</v>
      </c>
      <c r="H265">
        <v>5</v>
      </c>
      <c r="I265">
        <v>6</v>
      </c>
      <c r="J265">
        <v>4.666666666666667</v>
      </c>
      <c r="K265">
        <v>5</v>
      </c>
      <c r="L265">
        <v>5.333333333333333</v>
      </c>
      <c r="M265">
        <v>4.8</v>
      </c>
      <c r="N265">
        <v>6.5</v>
      </c>
      <c r="O265">
        <v>6.5</v>
      </c>
      <c r="P265">
        <v>4.666666666666667</v>
      </c>
      <c r="Q265">
        <v>3</v>
      </c>
      <c r="R265">
        <v>0</v>
      </c>
      <c r="S265">
        <v>0.44444444444444442</v>
      </c>
      <c r="T265">
        <v>3</v>
      </c>
      <c r="U265">
        <v>4</v>
      </c>
      <c r="V265">
        <v>5</v>
      </c>
      <c r="W265">
        <v>5</v>
      </c>
      <c r="X265">
        <v>4.8888888888888893</v>
      </c>
      <c r="Y265">
        <v>4.4000000000000004</v>
      </c>
      <c r="Z265">
        <v>3</v>
      </c>
      <c r="AA265">
        <v>0</v>
      </c>
      <c r="AB265">
        <v>0.44444444444444442</v>
      </c>
      <c r="AC265">
        <v>3</v>
      </c>
      <c r="AD265">
        <v>3.0909090909090908</v>
      </c>
      <c r="AE265">
        <v>3</v>
      </c>
      <c r="AF265">
        <v>3</v>
      </c>
      <c r="AG265">
        <v>3</v>
      </c>
      <c r="AH265">
        <v>2.5</v>
      </c>
      <c r="AI265" s="1">
        <v>8</v>
      </c>
      <c r="AJ265" s="1">
        <v>808</v>
      </c>
      <c r="AK265" s="1" t="s">
        <v>337</v>
      </c>
      <c r="AL265" t="s">
        <v>1</v>
      </c>
      <c r="AN265">
        <v>0</v>
      </c>
      <c r="AO265">
        <v>40</v>
      </c>
      <c r="AP265">
        <v>300</v>
      </c>
      <c r="AQ265">
        <v>360</v>
      </c>
      <c r="AR265">
        <v>280</v>
      </c>
      <c r="AS265">
        <v>300</v>
      </c>
      <c r="AT265">
        <v>320</v>
      </c>
      <c r="AU265">
        <v>288</v>
      </c>
      <c r="AV265">
        <v>390</v>
      </c>
      <c r="AW265">
        <v>390</v>
      </c>
      <c r="AX265">
        <v>280</v>
      </c>
      <c r="AY265">
        <v>180</v>
      </c>
      <c r="AZ265">
        <v>0</v>
      </c>
      <c r="BA265">
        <v>26.666666666666671</v>
      </c>
      <c r="BB265">
        <v>180</v>
      </c>
      <c r="BC265">
        <v>240</v>
      </c>
      <c r="BD265">
        <v>300</v>
      </c>
      <c r="BE265">
        <v>300</v>
      </c>
      <c r="BF265">
        <v>293.33333333333331</v>
      </c>
      <c r="BG265">
        <v>264</v>
      </c>
      <c r="BH265">
        <v>180</v>
      </c>
      <c r="BI265">
        <v>0</v>
      </c>
      <c r="BJ265">
        <v>26.666666666666671</v>
      </c>
      <c r="BK265">
        <v>180</v>
      </c>
      <c r="BL265">
        <v>185.4545454545455</v>
      </c>
      <c r="BM265">
        <v>180</v>
      </c>
      <c r="BN265">
        <v>180</v>
      </c>
      <c r="BO265">
        <v>180</v>
      </c>
      <c r="BP265">
        <v>150</v>
      </c>
      <c r="BQ265">
        <f>(I265+J265+N265+O265)/4</f>
        <v>5.916666666666667</v>
      </c>
      <c r="BR265">
        <f>(K265+L265+M265)/3</f>
        <v>5.0444444444444443</v>
      </c>
      <c r="BS265">
        <f>BQ265/BR265</f>
        <v>1.1729074889867843</v>
      </c>
      <c r="BT265">
        <f>AQ265/I265</f>
        <v>60</v>
      </c>
      <c r="BU265" t="str">
        <f>IF(OR(A265=2, A265=12), "Central", IF(A265=3, "Semi-Central", "Periférica"))</f>
        <v>Periférica</v>
      </c>
    </row>
    <row r="266" spans="1:73" x14ac:dyDescent="0.3">
      <c r="A266" s="1">
        <v>9</v>
      </c>
      <c r="B266" s="1">
        <v>938</v>
      </c>
      <c r="C266" s="1" t="s">
        <v>336</v>
      </c>
      <c r="D266" t="s">
        <v>5</v>
      </c>
      <c r="F266">
        <v>0</v>
      </c>
      <c r="G266">
        <v>1.1111111111111109</v>
      </c>
      <c r="H266">
        <v>9</v>
      </c>
      <c r="I266">
        <v>9.3333333333333339</v>
      </c>
      <c r="J266">
        <v>6</v>
      </c>
      <c r="K266">
        <v>5.666666666666667</v>
      </c>
      <c r="L266">
        <v>5.333333333333333</v>
      </c>
      <c r="M266">
        <v>5.2</v>
      </c>
      <c r="N266">
        <v>5</v>
      </c>
      <c r="O266">
        <v>5</v>
      </c>
      <c r="P266">
        <v>4.666666666666667</v>
      </c>
      <c r="Q266">
        <v>2</v>
      </c>
      <c r="R266">
        <v>0</v>
      </c>
      <c r="S266">
        <v>0.22222222222222221</v>
      </c>
      <c r="T266">
        <v>5</v>
      </c>
      <c r="U266">
        <v>6</v>
      </c>
      <c r="V266">
        <v>4</v>
      </c>
      <c r="W266">
        <v>4</v>
      </c>
      <c r="X266">
        <v>4</v>
      </c>
      <c r="Y266">
        <v>3.6</v>
      </c>
      <c r="Z266">
        <v>1.5</v>
      </c>
      <c r="AA266">
        <v>0</v>
      </c>
      <c r="AB266">
        <v>0.22222222222222221</v>
      </c>
      <c r="AC266">
        <v>3.5</v>
      </c>
      <c r="AD266">
        <v>3.454545454545455</v>
      </c>
      <c r="AE266">
        <v>3</v>
      </c>
      <c r="AF266">
        <v>3</v>
      </c>
      <c r="AG266">
        <v>3</v>
      </c>
      <c r="AH266">
        <v>2.5</v>
      </c>
      <c r="AI266" s="1">
        <v>9</v>
      </c>
      <c r="AJ266" s="1">
        <v>938</v>
      </c>
      <c r="AK266" s="1" t="s">
        <v>336</v>
      </c>
      <c r="AL266" t="s">
        <v>5</v>
      </c>
      <c r="AN266">
        <v>0</v>
      </c>
      <c r="AO266">
        <v>100</v>
      </c>
      <c r="AP266">
        <v>810</v>
      </c>
      <c r="AQ266">
        <v>840</v>
      </c>
      <c r="AR266">
        <v>540</v>
      </c>
      <c r="AS266">
        <v>510</v>
      </c>
      <c r="AT266">
        <v>480</v>
      </c>
      <c r="AU266">
        <v>468</v>
      </c>
      <c r="AV266">
        <v>450</v>
      </c>
      <c r="AW266">
        <v>450</v>
      </c>
      <c r="AX266">
        <v>420</v>
      </c>
      <c r="AY266">
        <v>180</v>
      </c>
      <c r="AZ266">
        <v>0</v>
      </c>
      <c r="BA266">
        <v>20</v>
      </c>
      <c r="BB266">
        <v>450</v>
      </c>
      <c r="BC266">
        <v>540</v>
      </c>
      <c r="BD266">
        <v>360</v>
      </c>
      <c r="BE266">
        <v>360</v>
      </c>
      <c r="BF266">
        <v>360</v>
      </c>
      <c r="BG266">
        <v>324</v>
      </c>
      <c r="BH266">
        <v>135</v>
      </c>
      <c r="BI266">
        <v>0</v>
      </c>
      <c r="BJ266">
        <v>20</v>
      </c>
      <c r="BK266">
        <v>315</v>
      </c>
      <c r="BL266">
        <v>310.90909090909088</v>
      </c>
      <c r="BM266">
        <v>270</v>
      </c>
      <c r="BN266">
        <v>270</v>
      </c>
      <c r="BO266">
        <v>270</v>
      </c>
      <c r="BP266">
        <v>225</v>
      </c>
      <c r="BQ266">
        <f>(I266+J266+N266+O266)/4</f>
        <v>6.3333333333333339</v>
      </c>
      <c r="BR266">
        <f>(K266+L266+M266)/3</f>
        <v>5.3999999999999995</v>
      </c>
      <c r="BS266">
        <f>BQ266/BR266</f>
        <v>1.1728395061728398</v>
      </c>
      <c r="BT266">
        <f>AQ266/I266</f>
        <v>90</v>
      </c>
      <c r="BU266" t="str">
        <f>IF(OR(A266=2, A266=12), "Central", IF(A266=3, "Semi-Central", "Periférica"))</f>
        <v>Periférica</v>
      </c>
    </row>
    <row r="267" spans="1:73" x14ac:dyDescent="0.3">
      <c r="A267" s="1">
        <v>5</v>
      </c>
      <c r="B267" s="1">
        <v>572</v>
      </c>
      <c r="C267" s="1">
        <v>422</v>
      </c>
      <c r="D267" t="s">
        <v>5</v>
      </c>
      <c r="E267" t="s">
        <v>0</v>
      </c>
      <c r="F267">
        <v>0</v>
      </c>
      <c r="G267">
        <v>0</v>
      </c>
      <c r="H267">
        <v>7</v>
      </c>
      <c r="I267">
        <v>7.333333333333333</v>
      </c>
      <c r="J267">
        <v>5.333333333333333</v>
      </c>
      <c r="K267">
        <v>5</v>
      </c>
      <c r="L267">
        <v>5.333333333333333</v>
      </c>
      <c r="M267">
        <v>6.4</v>
      </c>
      <c r="N267">
        <v>8</v>
      </c>
      <c r="O267">
        <v>5.5</v>
      </c>
      <c r="P267">
        <v>4</v>
      </c>
      <c r="Q267">
        <v>2.5</v>
      </c>
      <c r="R267">
        <v>0</v>
      </c>
      <c r="S267">
        <v>0</v>
      </c>
      <c r="T267">
        <v>3</v>
      </c>
      <c r="U267">
        <v>4</v>
      </c>
      <c r="V267">
        <v>4</v>
      </c>
      <c r="W267">
        <v>4</v>
      </c>
      <c r="X267">
        <v>4</v>
      </c>
      <c r="Y267">
        <v>4.4000000000000004</v>
      </c>
      <c r="Z267">
        <v>2.5</v>
      </c>
      <c r="AA267">
        <v>0</v>
      </c>
      <c r="AB267">
        <v>0</v>
      </c>
      <c r="AC267">
        <v>3.5</v>
      </c>
      <c r="AD267">
        <v>4</v>
      </c>
      <c r="AE267">
        <v>4</v>
      </c>
      <c r="AF267">
        <v>4</v>
      </c>
      <c r="AG267">
        <v>3</v>
      </c>
      <c r="AH267">
        <v>1.5</v>
      </c>
      <c r="AI267" s="1">
        <v>5</v>
      </c>
      <c r="AJ267" s="1">
        <v>572</v>
      </c>
      <c r="AK267" s="1">
        <v>422</v>
      </c>
      <c r="AL267" t="s">
        <v>5</v>
      </c>
      <c r="AM267" t="s">
        <v>0</v>
      </c>
      <c r="AN267">
        <v>0</v>
      </c>
      <c r="AO267">
        <v>0</v>
      </c>
      <c r="AP267">
        <v>567</v>
      </c>
      <c r="AQ267">
        <v>594</v>
      </c>
      <c r="AR267">
        <v>432</v>
      </c>
      <c r="AS267">
        <v>405</v>
      </c>
      <c r="AT267">
        <v>432</v>
      </c>
      <c r="AU267">
        <v>518.4</v>
      </c>
      <c r="AV267">
        <v>648</v>
      </c>
      <c r="AW267">
        <v>445.5</v>
      </c>
      <c r="AX267">
        <v>324</v>
      </c>
      <c r="AY267">
        <v>202.5</v>
      </c>
      <c r="AZ267">
        <v>0</v>
      </c>
      <c r="BA267">
        <v>0</v>
      </c>
      <c r="BB267">
        <v>243</v>
      </c>
      <c r="BC267">
        <v>324</v>
      </c>
      <c r="BD267">
        <v>324</v>
      </c>
      <c r="BE267">
        <v>324</v>
      </c>
      <c r="BF267">
        <v>324</v>
      </c>
      <c r="BG267">
        <v>356.4</v>
      </c>
      <c r="BH267">
        <v>202.5</v>
      </c>
      <c r="BI267">
        <v>0</v>
      </c>
      <c r="BJ267">
        <v>0</v>
      </c>
      <c r="BK267">
        <v>283.5</v>
      </c>
      <c r="BL267">
        <v>324</v>
      </c>
      <c r="BM267">
        <v>324</v>
      </c>
      <c r="BN267">
        <v>324</v>
      </c>
      <c r="BO267">
        <v>243</v>
      </c>
      <c r="BP267">
        <v>121.5</v>
      </c>
      <c r="BQ267">
        <f>(I267+J267+N267+O267)/4</f>
        <v>6.5416666666666661</v>
      </c>
      <c r="BR267">
        <f>(K267+L267+M267)/3</f>
        <v>5.5777777777777784</v>
      </c>
      <c r="BS267">
        <f>BQ267/BR267</f>
        <v>1.1728087649402388</v>
      </c>
      <c r="BT267">
        <f>AQ267/I267</f>
        <v>81</v>
      </c>
      <c r="BU267" t="str">
        <f>IF(OR(A267=2, A267=12), "Central", IF(A267=3, "Semi-Central", "Periférica"))</f>
        <v>Periférica</v>
      </c>
    </row>
    <row r="268" spans="1:73" x14ac:dyDescent="0.3">
      <c r="A268" s="1">
        <v>12</v>
      </c>
      <c r="B268" s="1">
        <v>1237</v>
      </c>
      <c r="C268" s="1">
        <v>117</v>
      </c>
      <c r="D268" t="s">
        <v>5</v>
      </c>
      <c r="E268" t="s">
        <v>0</v>
      </c>
      <c r="F268">
        <v>0</v>
      </c>
      <c r="G268">
        <v>0</v>
      </c>
      <c r="H268">
        <v>5</v>
      </c>
      <c r="I268">
        <v>6.666666666666667</v>
      </c>
      <c r="J268">
        <v>6.666666666666667</v>
      </c>
      <c r="K268">
        <v>5.333333333333333</v>
      </c>
      <c r="L268">
        <v>6</v>
      </c>
      <c r="M268">
        <v>5.2</v>
      </c>
      <c r="N268">
        <v>7</v>
      </c>
      <c r="O268">
        <v>5.5</v>
      </c>
      <c r="P268">
        <v>5.333333333333333</v>
      </c>
      <c r="Q268">
        <v>3.5</v>
      </c>
      <c r="R268">
        <v>0</v>
      </c>
      <c r="S268">
        <v>0</v>
      </c>
      <c r="T268">
        <v>3</v>
      </c>
      <c r="U268">
        <v>4.8</v>
      </c>
      <c r="V268">
        <v>5</v>
      </c>
      <c r="W268">
        <v>5</v>
      </c>
      <c r="X268">
        <v>3.7777777777777781</v>
      </c>
      <c r="Y268">
        <v>3.2</v>
      </c>
      <c r="Z268">
        <v>3</v>
      </c>
      <c r="AA268">
        <v>0</v>
      </c>
      <c r="AB268">
        <v>0</v>
      </c>
      <c r="AC268">
        <v>2</v>
      </c>
      <c r="AD268">
        <v>4</v>
      </c>
      <c r="AE268">
        <v>4</v>
      </c>
      <c r="AF268">
        <v>3</v>
      </c>
      <c r="AG268">
        <v>3</v>
      </c>
      <c r="AH268">
        <v>3</v>
      </c>
      <c r="AI268" s="1">
        <v>12</v>
      </c>
      <c r="AJ268" s="1">
        <v>1237</v>
      </c>
      <c r="AK268" s="1">
        <v>117</v>
      </c>
      <c r="AL268" t="s">
        <v>5</v>
      </c>
      <c r="AM268" t="s">
        <v>0</v>
      </c>
      <c r="AN268">
        <v>0</v>
      </c>
      <c r="AO268">
        <v>0</v>
      </c>
      <c r="AP268">
        <v>450</v>
      </c>
      <c r="AQ268">
        <v>600</v>
      </c>
      <c r="AR268">
        <v>600</v>
      </c>
      <c r="AS268">
        <v>480</v>
      </c>
      <c r="AT268">
        <v>540</v>
      </c>
      <c r="AU268">
        <v>468</v>
      </c>
      <c r="AV268">
        <v>630</v>
      </c>
      <c r="AW268">
        <v>495</v>
      </c>
      <c r="AX268">
        <v>480</v>
      </c>
      <c r="AY268">
        <v>315</v>
      </c>
      <c r="AZ268">
        <v>0</v>
      </c>
      <c r="BA268">
        <v>0</v>
      </c>
      <c r="BB268">
        <v>270</v>
      </c>
      <c r="BC268">
        <v>432</v>
      </c>
      <c r="BD268">
        <v>450</v>
      </c>
      <c r="BE268">
        <v>450</v>
      </c>
      <c r="BF268">
        <v>340</v>
      </c>
      <c r="BG268">
        <v>288</v>
      </c>
      <c r="BH268">
        <v>270</v>
      </c>
      <c r="BI268">
        <v>0</v>
      </c>
      <c r="BJ268">
        <v>0</v>
      </c>
      <c r="BK268">
        <v>180</v>
      </c>
      <c r="BL268">
        <v>360</v>
      </c>
      <c r="BM268">
        <v>360</v>
      </c>
      <c r="BN268">
        <v>270</v>
      </c>
      <c r="BO268">
        <v>270</v>
      </c>
      <c r="BP268">
        <v>270</v>
      </c>
      <c r="BQ268">
        <f>(I268+J268+N268+O268)/4</f>
        <v>6.4583333333333339</v>
      </c>
      <c r="BR268">
        <f>(K268+L268+M268)/3</f>
        <v>5.5111111111111102</v>
      </c>
      <c r="BS268">
        <f>BQ268/BR268</f>
        <v>1.1718750000000002</v>
      </c>
      <c r="BT268">
        <f>AQ268/I268</f>
        <v>90</v>
      </c>
      <c r="BU268" t="str">
        <f>IF(OR(A268=2, A268=12), "Central", IF(A268=3, "Semi-Central", "Periférica"))</f>
        <v>Central</v>
      </c>
    </row>
    <row r="269" spans="1:73" x14ac:dyDescent="0.3">
      <c r="A269" s="1">
        <v>4</v>
      </c>
      <c r="B269" s="1">
        <v>485</v>
      </c>
      <c r="C269" s="1" t="s">
        <v>350</v>
      </c>
      <c r="D269" t="s">
        <v>5</v>
      </c>
      <c r="F269">
        <v>0</v>
      </c>
      <c r="G269">
        <v>0</v>
      </c>
      <c r="H269">
        <v>7</v>
      </c>
      <c r="I269">
        <v>8</v>
      </c>
      <c r="J269">
        <v>8</v>
      </c>
      <c r="K269">
        <v>8</v>
      </c>
      <c r="L269">
        <v>8</v>
      </c>
      <c r="M269">
        <v>9.6</v>
      </c>
      <c r="N269">
        <v>12</v>
      </c>
      <c r="O269">
        <v>12</v>
      </c>
      <c r="P269">
        <v>8</v>
      </c>
      <c r="Q269">
        <v>3.5</v>
      </c>
      <c r="R269">
        <v>0</v>
      </c>
      <c r="S269">
        <v>0</v>
      </c>
      <c r="T269">
        <v>0</v>
      </c>
      <c r="U269">
        <v>6</v>
      </c>
      <c r="V269">
        <v>6</v>
      </c>
      <c r="W269">
        <v>6</v>
      </c>
      <c r="X269">
        <v>4.8888888888888893</v>
      </c>
      <c r="Y269">
        <v>4.4000000000000004</v>
      </c>
      <c r="Z269">
        <v>2</v>
      </c>
      <c r="AA269">
        <v>0</v>
      </c>
      <c r="AB269">
        <v>0</v>
      </c>
      <c r="AC269">
        <v>0</v>
      </c>
      <c r="AD269">
        <v>4</v>
      </c>
      <c r="AE269">
        <v>4</v>
      </c>
      <c r="AF269">
        <v>4</v>
      </c>
      <c r="AG269">
        <v>3</v>
      </c>
      <c r="AH269">
        <v>1.5</v>
      </c>
      <c r="AI269" s="1">
        <v>4</v>
      </c>
      <c r="AJ269" s="1">
        <v>485</v>
      </c>
      <c r="AK269" s="1" t="s">
        <v>350</v>
      </c>
      <c r="AL269" t="s">
        <v>5</v>
      </c>
      <c r="AN269">
        <v>0</v>
      </c>
      <c r="AO269">
        <v>0</v>
      </c>
      <c r="AP269">
        <v>532</v>
      </c>
      <c r="AQ269">
        <v>608</v>
      </c>
      <c r="AR269">
        <v>608</v>
      </c>
      <c r="AS269">
        <v>608</v>
      </c>
      <c r="AT269">
        <v>608</v>
      </c>
      <c r="AU269">
        <v>729.6</v>
      </c>
      <c r="AV269">
        <v>912</v>
      </c>
      <c r="AW269">
        <v>912</v>
      </c>
      <c r="AX269">
        <v>608</v>
      </c>
      <c r="AY269">
        <v>266</v>
      </c>
      <c r="AZ269">
        <v>0</v>
      </c>
      <c r="BA269">
        <v>0</v>
      </c>
      <c r="BB269">
        <v>0</v>
      </c>
      <c r="BC269">
        <v>456</v>
      </c>
      <c r="BD269">
        <v>456</v>
      </c>
      <c r="BE269">
        <v>456</v>
      </c>
      <c r="BF269">
        <v>371.55555555555554</v>
      </c>
      <c r="BG269">
        <v>334.4</v>
      </c>
      <c r="BH269">
        <v>152</v>
      </c>
      <c r="BI269">
        <v>0</v>
      </c>
      <c r="BJ269">
        <v>0</v>
      </c>
      <c r="BK269">
        <v>0</v>
      </c>
      <c r="BL269">
        <v>304</v>
      </c>
      <c r="BM269">
        <v>304</v>
      </c>
      <c r="BN269">
        <v>304</v>
      </c>
      <c r="BO269">
        <v>228</v>
      </c>
      <c r="BP269">
        <v>114</v>
      </c>
      <c r="BQ269">
        <f>(I269+J269+N269+O269)/4</f>
        <v>10</v>
      </c>
      <c r="BR269">
        <f>(K269+L269+M269)/3</f>
        <v>8.5333333333333332</v>
      </c>
      <c r="BS269">
        <f>BQ269/BR269</f>
        <v>1.171875</v>
      </c>
      <c r="BT269">
        <f>AQ269/I269</f>
        <v>76</v>
      </c>
      <c r="BU269" t="str">
        <f>IF(OR(A269=2, A269=12), "Central", IF(A269=3, "Semi-Central", "Periférica"))</f>
        <v>Periférica</v>
      </c>
    </row>
    <row r="270" spans="1:73" x14ac:dyDescent="0.3">
      <c r="A270" s="1">
        <v>14</v>
      </c>
      <c r="B270" s="1">
        <v>1411</v>
      </c>
      <c r="C270" s="1">
        <v>401</v>
      </c>
      <c r="D270" t="s">
        <v>1</v>
      </c>
      <c r="F270">
        <v>4</v>
      </c>
      <c r="G270">
        <v>2</v>
      </c>
      <c r="H270">
        <v>4</v>
      </c>
      <c r="I270">
        <v>5.333333333333333</v>
      </c>
      <c r="J270">
        <v>5.333333333333333</v>
      </c>
      <c r="K270">
        <v>6</v>
      </c>
      <c r="L270">
        <v>5.333333333333333</v>
      </c>
      <c r="M270">
        <v>6.4</v>
      </c>
      <c r="N270">
        <v>10.5</v>
      </c>
      <c r="O270">
        <v>6.5</v>
      </c>
      <c r="P270">
        <v>4.666666666666667</v>
      </c>
      <c r="Q270">
        <v>4.5</v>
      </c>
      <c r="R270">
        <v>4</v>
      </c>
      <c r="S270">
        <v>2</v>
      </c>
      <c r="T270">
        <v>3</v>
      </c>
      <c r="U270">
        <v>4.8</v>
      </c>
      <c r="V270">
        <v>5.333333333333333</v>
      </c>
      <c r="W270">
        <v>5</v>
      </c>
      <c r="X270">
        <v>5.1111111111111107</v>
      </c>
      <c r="Y270">
        <v>4.8</v>
      </c>
      <c r="Z270">
        <v>4</v>
      </c>
      <c r="AA270">
        <v>4</v>
      </c>
      <c r="AB270">
        <v>2</v>
      </c>
      <c r="AC270">
        <v>4</v>
      </c>
      <c r="AD270">
        <v>4</v>
      </c>
      <c r="AE270">
        <v>4.2</v>
      </c>
      <c r="AF270">
        <v>4.666666666666667</v>
      </c>
      <c r="AG270">
        <v>4</v>
      </c>
      <c r="AH270">
        <v>4</v>
      </c>
      <c r="AI270" s="1">
        <v>14</v>
      </c>
      <c r="AJ270" s="1">
        <v>1411</v>
      </c>
      <c r="AK270" s="1">
        <v>401</v>
      </c>
      <c r="AL270" t="s">
        <v>1</v>
      </c>
      <c r="AN270">
        <v>600</v>
      </c>
      <c r="AO270">
        <v>300</v>
      </c>
      <c r="AP270">
        <v>600</v>
      </c>
      <c r="AQ270">
        <v>800</v>
      </c>
      <c r="AR270">
        <v>800</v>
      </c>
      <c r="AS270">
        <v>900</v>
      </c>
      <c r="AT270">
        <v>800</v>
      </c>
      <c r="AU270">
        <v>960</v>
      </c>
      <c r="AV270">
        <v>1575</v>
      </c>
      <c r="AW270">
        <v>975</v>
      </c>
      <c r="AX270">
        <v>700</v>
      </c>
      <c r="AY270">
        <v>675</v>
      </c>
      <c r="AZ270">
        <v>600</v>
      </c>
      <c r="BA270">
        <v>180</v>
      </c>
      <c r="BB270">
        <v>270</v>
      </c>
      <c r="BC270">
        <v>432</v>
      </c>
      <c r="BD270">
        <v>480</v>
      </c>
      <c r="BE270">
        <v>450</v>
      </c>
      <c r="BF270">
        <v>460</v>
      </c>
      <c r="BG270">
        <v>432</v>
      </c>
      <c r="BH270">
        <v>360</v>
      </c>
      <c r="BI270">
        <v>360</v>
      </c>
      <c r="BJ270">
        <v>180</v>
      </c>
      <c r="BK270">
        <v>360</v>
      </c>
      <c r="BL270">
        <v>360</v>
      </c>
      <c r="BM270">
        <v>378</v>
      </c>
      <c r="BN270">
        <v>420</v>
      </c>
      <c r="BO270">
        <v>360</v>
      </c>
      <c r="BP270">
        <v>360</v>
      </c>
      <c r="BQ270">
        <f>(I270+J270+N270+O270)/4</f>
        <v>6.9166666666666661</v>
      </c>
      <c r="BR270">
        <f>(K270+L270+M270)/3</f>
        <v>5.9111111111111114</v>
      </c>
      <c r="BS270">
        <f>BQ270/BR270</f>
        <v>1.1701127819548871</v>
      </c>
      <c r="BT270">
        <f>AQ270/I270</f>
        <v>150</v>
      </c>
      <c r="BU270" t="str">
        <f>IF(OR(A270=2, A270=12), "Central", IF(A270=3, "Semi-Central", "Periférica"))</f>
        <v>Periférica</v>
      </c>
    </row>
    <row r="271" spans="1:73" x14ac:dyDescent="0.3">
      <c r="A271" s="1">
        <v>10</v>
      </c>
      <c r="B271" s="1">
        <v>1040</v>
      </c>
      <c r="C271" s="1" t="s">
        <v>334</v>
      </c>
      <c r="D271" t="s">
        <v>1</v>
      </c>
      <c r="E271" t="s">
        <v>0</v>
      </c>
      <c r="F271">
        <v>2</v>
      </c>
      <c r="G271">
        <v>1.333333333333333</v>
      </c>
      <c r="H271">
        <v>7</v>
      </c>
      <c r="I271">
        <v>8.6666666666666661</v>
      </c>
      <c r="J271">
        <v>7.333333333333333</v>
      </c>
      <c r="K271">
        <v>6.333333333333333</v>
      </c>
      <c r="L271">
        <v>6.666666666666667</v>
      </c>
      <c r="M271">
        <v>7.2</v>
      </c>
      <c r="N271">
        <v>7.5</v>
      </c>
      <c r="O271">
        <v>8</v>
      </c>
      <c r="P271">
        <v>6.666666666666667</v>
      </c>
      <c r="Q271">
        <v>4</v>
      </c>
      <c r="R271">
        <v>2</v>
      </c>
      <c r="S271">
        <v>0.22222222222222221</v>
      </c>
      <c r="T271">
        <v>4</v>
      </c>
      <c r="U271">
        <v>4.8</v>
      </c>
      <c r="V271">
        <v>4.666666666666667</v>
      </c>
      <c r="W271">
        <v>4.666666666666667</v>
      </c>
      <c r="X271">
        <v>4.666666666666667</v>
      </c>
      <c r="Y271">
        <v>4</v>
      </c>
      <c r="Z271">
        <v>3.5</v>
      </c>
      <c r="AA271">
        <v>2</v>
      </c>
      <c r="AB271">
        <v>0.44444444444444442</v>
      </c>
      <c r="AC271">
        <v>3.5</v>
      </c>
      <c r="AD271">
        <v>4.3636363636363633</v>
      </c>
      <c r="AE271">
        <v>4.2</v>
      </c>
      <c r="AF271">
        <v>3.666666666666667</v>
      </c>
      <c r="AG271">
        <v>3</v>
      </c>
      <c r="AH271">
        <v>3</v>
      </c>
      <c r="AI271" s="1">
        <v>10</v>
      </c>
      <c r="AJ271" s="1">
        <v>1040</v>
      </c>
      <c r="AK271" s="1" t="s">
        <v>334</v>
      </c>
      <c r="AL271" t="s">
        <v>1</v>
      </c>
      <c r="AM271" t="s">
        <v>0</v>
      </c>
      <c r="AN271">
        <v>180</v>
      </c>
      <c r="AO271">
        <v>120</v>
      </c>
      <c r="AP271">
        <v>630</v>
      </c>
      <c r="AQ271">
        <v>780</v>
      </c>
      <c r="AR271">
        <v>660</v>
      </c>
      <c r="AS271">
        <v>570</v>
      </c>
      <c r="AT271">
        <v>600</v>
      </c>
      <c r="AU271">
        <v>648</v>
      </c>
      <c r="AV271">
        <v>675</v>
      </c>
      <c r="AW271">
        <v>720</v>
      </c>
      <c r="AX271">
        <v>600</v>
      </c>
      <c r="AY271">
        <v>360</v>
      </c>
      <c r="AZ271">
        <v>180</v>
      </c>
      <c r="BA271">
        <v>20</v>
      </c>
      <c r="BB271">
        <v>360</v>
      </c>
      <c r="BC271">
        <v>432</v>
      </c>
      <c r="BD271">
        <v>420</v>
      </c>
      <c r="BE271">
        <v>420</v>
      </c>
      <c r="BF271">
        <v>420</v>
      </c>
      <c r="BG271">
        <v>360</v>
      </c>
      <c r="BH271">
        <v>315</v>
      </c>
      <c r="BI271">
        <v>180</v>
      </c>
      <c r="BJ271">
        <v>40</v>
      </c>
      <c r="BK271">
        <v>315</v>
      </c>
      <c r="BL271">
        <v>392.72727272727269</v>
      </c>
      <c r="BM271">
        <v>378</v>
      </c>
      <c r="BN271">
        <v>330</v>
      </c>
      <c r="BO271">
        <v>270</v>
      </c>
      <c r="BP271">
        <v>270</v>
      </c>
      <c r="BQ271">
        <f>(I271+J271+N271+O271)/4</f>
        <v>7.875</v>
      </c>
      <c r="BR271">
        <f>(K271+L271+M271)/3</f>
        <v>6.7333333333333334</v>
      </c>
      <c r="BS271">
        <f>BQ271/BR271</f>
        <v>1.1695544554455446</v>
      </c>
      <c r="BT271">
        <f>AQ271/I271</f>
        <v>90</v>
      </c>
      <c r="BU271" t="str">
        <f>IF(OR(A271=2, A271=12), "Central", IF(A271=3, "Semi-Central", "Periférica"))</f>
        <v>Periférica</v>
      </c>
    </row>
    <row r="272" spans="1:73" x14ac:dyDescent="0.3">
      <c r="A272" s="1">
        <v>13</v>
      </c>
      <c r="B272" s="1">
        <v>1318</v>
      </c>
      <c r="C272" s="1">
        <v>418</v>
      </c>
      <c r="D272" t="s">
        <v>5</v>
      </c>
      <c r="F272">
        <v>2</v>
      </c>
      <c r="G272">
        <v>2.2222222222222219</v>
      </c>
      <c r="H272">
        <v>6</v>
      </c>
      <c r="I272">
        <v>7.333333333333333</v>
      </c>
      <c r="J272">
        <v>5.333333333333333</v>
      </c>
      <c r="K272">
        <v>5</v>
      </c>
      <c r="L272">
        <v>4.666666666666667</v>
      </c>
      <c r="M272">
        <v>5.2</v>
      </c>
      <c r="N272">
        <v>5.5</v>
      </c>
      <c r="O272">
        <v>5</v>
      </c>
      <c r="P272">
        <v>4</v>
      </c>
      <c r="Q272">
        <v>2.5</v>
      </c>
      <c r="R272">
        <v>2</v>
      </c>
      <c r="S272">
        <v>2.2222222222222219</v>
      </c>
      <c r="T272">
        <v>4</v>
      </c>
      <c r="U272">
        <v>5.2</v>
      </c>
      <c r="V272">
        <v>5</v>
      </c>
      <c r="W272">
        <v>5</v>
      </c>
      <c r="X272">
        <v>4.2222222222222223</v>
      </c>
      <c r="Y272">
        <v>3.2</v>
      </c>
      <c r="Z272">
        <v>2</v>
      </c>
      <c r="AA272">
        <v>2</v>
      </c>
      <c r="AB272">
        <v>2</v>
      </c>
      <c r="AC272">
        <v>3</v>
      </c>
      <c r="AD272">
        <v>3.6363636363636358</v>
      </c>
      <c r="AE272">
        <v>4</v>
      </c>
      <c r="AF272">
        <v>3.333333333333333</v>
      </c>
      <c r="AG272">
        <v>3</v>
      </c>
      <c r="AH272">
        <v>2.5</v>
      </c>
      <c r="AI272" s="1">
        <v>13</v>
      </c>
      <c r="AJ272" s="1">
        <v>1318</v>
      </c>
      <c r="AK272" s="1">
        <v>418</v>
      </c>
      <c r="AL272" t="s">
        <v>5</v>
      </c>
      <c r="AN272">
        <v>180</v>
      </c>
      <c r="AO272">
        <v>200</v>
      </c>
      <c r="AP272">
        <v>540</v>
      </c>
      <c r="AQ272">
        <v>660</v>
      </c>
      <c r="AR272">
        <v>480</v>
      </c>
      <c r="AS272">
        <v>450</v>
      </c>
      <c r="AT272">
        <v>420</v>
      </c>
      <c r="AU272">
        <v>468</v>
      </c>
      <c r="AV272">
        <v>495</v>
      </c>
      <c r="AW272">
        <v>450</v>
      </c>
      <c r="AX272">
        <v>360</v>
      </c>
      <c r="AY272">
        <v>225</v>
      </c>
      <c r="AZ272">
        <v>180</v>
      </c>
      <c r="BA272">
        <v>200</v>
      </c>
      <c r="BB272">
        <v>360</v>
      </c>
      <c r="BC272">
        <v>468</v>
      </c>
      <c r="BD272">
        <v>450</v>
      </c>
      <c r="BE272">
        <v>450</v>
      </c>
      <c r="BF272">
        <v>380</v>
      </c>
      <c r="BG272">
        <v>288</v>
      </c>
      <c r="BH272">
        <v>180</v>
      </c>
      <c r="BI272">
        <v>180</v>
      </c>
      <c r="BJ272">
        <v>180</v>
      </c>
      <c r="BK272">
        <v>270</v>
      </c>
      <c r="BL272">
        <v>327.27272727272731</v>
      </c>
      <c r="BM272">
        <v>360</v>
      </c>
      <c r="BN272">
        <v>300</v>
      </c>
      <c r="BO272">
        <v>270</v>
      </c>
      <c r="BP272">
        <v>225</v>
      </c>
      <c r="BQ272">
        <f>(I272+J272+N272+O272)/4</f>
        <v>5.7916666666666661</v>
      </c>
      <c r="BR272">
        <f>(K272+L272+M272)/3</f>
        <v>4.9555555555555557</v>
      </c>
      <c r="BS272">
        <f>BQ272/BR272</f>
        <v>1.1687219730941703</v>
      </c>
      <c r="BT272">
        <f>AQ272/I272</f>
        <v>90</v>
      </c>
      <c r="BU272" t="str">
        <f>IF(OR(A272=2, A272=12), "Central", IF(A272=3, "Semi-Central", "Periférica"))</f>
        <v>Periférica</v>
      </c>
    </row>
    <row r="273" spans="1:73" x14ac:dyDescent="0.3">
      <c r="A273" s="1">
        <v>15</v>
      </c>
      <c r="B273" s="1">
        <v>1508</v>
      </c>
      <c r="C273" s="1">
        <v>408</v>
      </c>
      <c r="D273" t="s">
        <v>5</v>
      </c>
      <c r="E273" t="s">
        <v>0</v>
      </c>
      <c r="F273">
        <v>0</v>
      </c>
      <c r="G273">
        <v>0</v>
      </c>
      <c r="H273">
        <v>7</v>
      </c>
      <c r="I273">
        <v>11.33333333333333</v>
      </c>
      <c r="J273">
        <v>8.6666666666666661</v>
      </c>
      <c r="K273">
        <v>7</v>
      </c>
      <c r="L273">
        <v>6.666666666666667</v>
      </c>
      <c r="M273">
        <v>7.2</v>
      </c>
      <c r="N273">
        <v>6</v>
      </c>
      <c r="O273">
        <v>6.5</v>
      </c>
      <c r="P273">
        <v>4</v>
      </c>
      <c r="Q273">
        <v>3</v>
      </c>
      <c r="R273">
        <v>0</v>
      </c>
      <c r="S273">
        <v>0</v>
      </c>
      <c r="T273">
        <v>3</v>
      </c>
      <c r="U273">
        <v>5.2</v>
      </c>
      <c r="V273">
        <v>4.666666666666667</v>
      </c>
      <c r="W273">
        <v>4.333333333333333</v>
      </c>
      <c r="X273">
        <v>4.2222222222222223</v>
      </c>
      <c r="Y273">
        <v>4</v>
      </c>
      <c r="Z273">
        <v>2.5</v>
      </c>
      <c r="AA273">
        <v>0</v>
      </c>
      <c r="AB273">
        <v>0</v>
      </c>
      <c r="AC273">
        <v>3.5</v>
      </c>
      <c r="AD273">
        <v>3.6363636363636358</v>
      </c>
      <c r="AE273">
        <v>3.6</v>
      </c>
      <c r="AF273">
        <v>3.666666666666667</v>
      </c>
      <c r="AG273">
        <v>3</v>
      </c>
      <c r="AH273">
        <v>2.5</v>
      </c>
      <c r="AI273" s="1">
        <v>15</v>
      </c>
      <c r="AJ273" s="1">
        <v>1508</v>
      </c>
      <c r="AK273" s="1">
        <v>408</v>
      </c>
      <c r="AL273" t="s">
        <v>5</v>
      </c>
      <c r="AM273" t="s">
        <v>0</v>
      </c>
      <c r="AN273">
        <v>0</v>
      </c>
      <c r="AO273">
        <v>0</v>
      </c>
      <c r="AP273">
        <v>1050</v>
      </c>
      <c r="AQ273">
        <v>1700</v>
      </c>
      <c r="AR273">
        <v>1300</v>
      </c>
      <c r="AS273">
        <v>1050</v>
      </c>
      <c r="AT273">
        <v>1000</v>
      </c>
      <c r="AU273">
        <v>1080</v>
      </c>
      <c r="AV273">
        <v>900</v>
      </c>
      <c r="AW273">
        <v>975</v>
      </c>
      <c r="AX273">
        <v>600</v>
      </c>
      <c r="AY273">
        <v>450</v>
      </c>
      <c r="AZ273">
        <v>0</v>
      </c>
      <c r="BA273">
        <v>0</v>
      </c>
      <c r="BB273">
        <v>450</v>
      </c>
      <c r="BC273">
        <v>780</v>
      </c>
      <c r="BD273">
        <v>700</v>
      </c>
      <c r="BE273">
        <v>650</v>
      </c>
      <c r="BF273">
        <v>633.33333333333337</v>
      </c>
      <c r="BG273">
        <v>600</v>
      </c>
      <c r="BH273">
        <v>375</v>
      </c>
      <c r="BI273">
        <v>0</v>
      </c>
      <c r="BJ273">
        <v>0</v>
      </c>
      <c r="BK273">
        <v>315</v>
      </c>
      <c r="BL273">
        <v>327.27272727272731</v>
      </c>
      <c r="BM273">
        <v>324</v>
      </c>
      <c r="BN273">
        <v>330</v>
      </c>
      <c r="BO273">
        <v>270</v>
      </c>
      <c r="BP273">
        <v>225</v>
      </c>
      <c r="BQ273">
        <f>(I273+J273+N273+O273)/4</f>
        <v>8.125</v>
      </c>
      <c r="BR273">
        <f>(K273+L273+M273)/3</f>
        <v>6.9555555555555557</v>
      </c>
      <c r="BS273">
        <f>BQ273/BR273</f>
        <v>1.1681309904153354</v>
      </c>
      <c r="BT273">
        <f>AQ273/I273</f>
        <v>150.00000000000003</v>
      </c>
      <c r="BU273" t="str">
        <f>IF(OR(A273=2, A273=12), "Central", IF(A273=3, "Semi-Central", "Periférica"))</f>
        <v>Periférica</v>
      </c>
    </row>
    <row r="274" spans="1:73" x14ac:dyDescent="0.3">
      <c r="A274" s="1">
        <v>15</v>
      </c>
      <c r="B274" s="1">
        <v>1538</v>
      </c>
      <c r="C274" s="1" t="s">
        <v>341</v>
      </c>
      <c r="D274" t="s">
        <v>1</v>
      </c>
      <c r="E274" t="s">
        <v>0</v>
      </c>
      <c r="F274">
        <v>0</v>
      </c>
      <c r="G274">
        <v>0</v>
      </c>
      <c r="H274">
        <v>3</v>
      </c>
      <c r="I274">
        <v>4.666666666666667</v>
      </c>
      <c r="J274">
        <v>4</v>
      </c>
      <c r="K274">
        <v>4</v>
      </c>
      <c r="L274">
        <v>4</v>
      </c>
      <c r="M274">
        <v>4</v>
      </c>
      <c r="N274">
        <v>4.5</v>
      </c>
      <c r="O274">
        <v>5.5</v>
      </c>
      <c r="P274">
        <v>5.333333333333333</v>
      </c>
      <c r="Q274">
        <v>4</v>
      </c>
      <c r="R274">
        <v>0</v>
      </c>
      <c r="S274">
        <v>0</v>
      </c>
      <c r="T274">
        <v>2</v>
      </c>
      <c r="U274">
        <v>4.4000000000000004</v>
      </c>
      <c r="V274">
        <v>3.666666666666667</v>
      </c>
      <c r="W274">
        <v>3.666666666666667</v>
      </c>
      <c r="X274">
        <v>3.7777777777777781</v>
      </c>
      <c r="Y274">
        <v>3.2</v>
      </c>
      <c r="Z274">
        <v>3</v>
      </c>
      <c r="AA274">
        <v>0</v>
      </c>
      <c r="AB274">
        <v>0</v>
      </c>
      <c r="AC274">
        <v>2</v>
      </c>
      <c r="AD274">
        <v>3.8181818181818179</v>
      </c>
      <c r="AE274">
        <v>3.8</v>
      </c>
      <c r="AF274">
        <v>3.666666666666667</v>
      </c>
      <c r="AG274">
        <v>3</v>
      </c>
      <c r="AH274">
        <v>3</v>
      </c>
      <c r="AI274" s="1">
        <v>15</v>
      </c>
      <c r="AJ274" s="1">
        <v>1538</v>
      </c>
      <c r="AK274" s="1" t="s">
        <v>341</v>
      </c>
      <c r="AL274" t="s">
        <v>1</v>
      </c>
      <c r="AM274" t="s">
        <v>0</v>
      </c>
      <c r="AN274">
        <v>0</v>
      </c>
      <c r="AO274">
        <v>0</v>
      </c>
      <c r="AP274">
        <v>270</v>
      </c>
      <c r="AQ274">
        <v>420</v>
      </c>
      <c r="AR274">
        <v>360</v>
      </c>
      <c r="AS274">
        <v>360</v>
      </c>
      <c r="AT274">
        <v>360</v>
      </c>
      <c r="AU274">
        <v>360</v>
      </c>
      <c r="AV274">
        <v>405</v>
      </c>
      <c r="AW274">
        <v>495</v>
      </c>
      <c r="AX274">
        <v>480</v>
      </c>
      <c r="AY274">
        <v>360</v>
      </c>
      <c r="AZ274">
        <v>0</v>
      </c>
      <c r="BA274">
        <v>0</v>
      </c>
      <c r="BB274">
        <v>180</v>
      </c>
      <c r="BC274">
        <v>396</v>
      </c>
      <c r="BD274">
        <v>330</v>
      </c>
      <c r="BE274">
        <v>330</v>
      </c>
      <c r="BF274">
        <v>340</v>
      </c>
      <c r="BG274">
        <v>288</v>
      </c>
      <c r="BH274">
        <v>270</v>
      </c>
      <c r="BI274">
        <v>0</v>
      </c>
      <c r="BJ274">
        <v>0</v>
      </c>
      <c r="BK274">
        <v>180</v>
      </c>
      <c r="BL274">
        <v>343.63636363636363</v>
      </c>
      <c r="BM274">
        <v>342</v>
      </c>
      <c r="BN274">
        <v>330</v>
      </c>
      <c r="BO274">
        <v>270</v>
      </c>
      <c r="BP274">
        <v>270</v>
      </c>
      <c r="BQ274">
        <f>(I274+J274+N274+O274)/4</f>
        <v>4.666666666666667</v>
      </c>
      <c r="BR274">
        <f>(K274+L274+M274)/3</f>
        <v>4</v>
      </c>
      <c r="BS274">
        <f>BQ274/BR274</f>
        <v>1.1666666666666667</v>
      </c>
      <c r="BT274">
        <f>AQ274/I274</f>
        <v>90</v>
      </c>
      <c r="BU274" t="str">
        <f>IF(OR(A274=2, A274=12), "Central", IF(A274=3, "Semi-Central", "Periférica"))</f>
        <v>Periférica</v>
      </c>
    </row>
    <row r="275" spans="1:73" x14ac:dyDescent="0.3">
      <c r="A275" s="1">
        <v>15</v>
      </c>
      <c r="B275" s="1">
        <v>1535</v>
      </c>
      <c r="C275" s="1" t="s">
        <v>349</v>
      </c>
      <c r="D275" t="s">
        <v>5</v>
      </c>
      <c r="F275">
        <v>0</v>
      </c>
      <c r="G275">
        <v>0.44444444444444442</v>
      </c>
      <c r="H275">
        <v>4</v>
      </c>
      <c r="I275">
        <v>4.666666666666667</v>
      </c>
      <c r="J275">
        <v>4</v>
      </c>
      <c r="K275">
        <v>4</v>
      </c>
      <c r="L275">
        <v>4</v>
      </c>
      <c r="M275">
        <v>4</v>
      </c>
      <c r="N275">
        <v>5</v>
      </c>
      <c r="O275">
        <v>5</v>
      </c>
      <c r="P275">
        <v>4</v>
      </c>
      <c r="Q275">
        <v>2.5</v>
      </c>
      <c r="R275">
        <v>0</v>
      </c>
      <c r="S275">
        <v>0.44444444444444442</v>
      </c>
      <c r="T275">
        <v>3</v>
      </c>
      <c r="U275">
        <v>2.8</v>
      </c>
      <c r="V275">
        <v>3</v>
      </c>
      <c r="W275">
        <v>3</v>
      </c>
      <c r="X275">
        <v>3.1111111111111112</v>
      </c>
      <c r="Y275">
        <v>2.8</v>
      </c>
      <c r="Z275">
        <v>2.5</v>
      </c>
      <c r="AA275">
        <v>0</v>
      </c>
      <c r="AB275">
        <v>0</v>
      </c>
      <c r="AC275">
        <v>3</v>
      </c>
      <c r="AD275">
        <v>2.9090909090909092</v>
      </c>
      <c r="AE275">
        <v>3</v>
      </c>
      <c r="AF275">
        <v>3</v>
      </c>
      <c r="AG275">
        <v>3</v>
      </c>
      <c r="AH275">
        <v>2.5</v>
      </c>
      <c r="AI275" s="1">
        <v>15</v>
      </c>
      <c r="AJ275" s="1">
        <v>1535</v>
      </c>
      <c r="AK275" s="1" t="s">
        <v>349</v>
      </c>
      <c r="AL275" t="s">
        <v>5</v>
      </c>
      <c r="AN275">
        <v>0</v>
      </c>
      <c r="AO275">
        <v>40</v>
      </c>
      <c r="AP275">
        <v>360</v>
      </c>
      <c r="AQ275">
        <v>420</v>
      </c>
      <c r="AR275">
        <v>360</v>
      </c>
      <c r="AS275">
        <v>360</v>
      </c>
      <c r="AT275">
        <v>360</v>
      </c>
      <c r="AU275">
        <v>360</v>
      </c>
      <c r="AV275">
        <v>450</v>
      </c>
      <c r="AW275">
        <v>450</v>
      </c>
      <c r="AX275">
        <v>360</v>
      </c>
      <c r="AY275">
        <v>225</v>
      </c>
      <c r="AZ275">
        <v>0</v>
      </c>
      <c r="BA275">
        <v>40</v>
      </c>
      <c r="BB275">
        <v>270</v>
      </c>
      <c r="BC275">
        <v>252</v>
      </c>
      <c r="BD275">
        <v>270</v>
      </c>
      <c r="BE275">
        <v>270</v>
      </c>
      <c r="BF275">
        <v>280</v>
      </c>
      <c r="BG275">
        <v>252</v>
      </c>
      <c r="BH275">
        <v>225</v>
      </c>
      <c r="BI275">
        <v>0</v>
      </c>
      <c r="BJ275">
        <v>0</v>
      </c>
      <c r="BK275">
        <v>270</v>
      </c>
      <c r="BL275">
        <v>261.81818181818181</v>
      </c>
      <c r="BM275">
        <v>270</v>
      </c>
      <c r="BN275">
        <v>270</v>
      </c>
      <c r="BO275">
        <v>270</v>
      </c>
      <c r="BP275">
        <v>225</v>
      </c>
      <c r="BQ275">
        <f>(I275+J275+N275+O275)/4</f>
        <v>4.666666666666667</v>
      </c>
      <c r="BR275">
        <f>(K275+L275+M275)/3</f>
        <v>4</v>
      </c>
      <c r="BS275">
        <f>BQ275/BR275</f>
        <v>1.1666666666666667</v>
      </c>
      <c r="BT275">
        <f>AQ275/I275</f>
        <v>90</v>
      </c>
      <c r="BU275" t="str">
        <f>IF(OR(A275=2, A275=12), "Central", IF(A275=3, "Semi-Central", "Periférica"))</f>
        <v>Periférica</v>
      </c>
    </row>
    <row r="276" spans="1:73" x14ac:dyDescent="0.3">
      <c r="A276" s="1">
        <v>15</v>
      </c>
      <c r="B276" s="1">
        <v>1535</v>
      </c>
      <c r="C276" s="1" t="s">
        <v>349</v>
      </c>
      <c r="D276" t="s">
        <v>1</v>
      </c>
      <c r="F276">
        <v>2</v>
      </c>
      <c r="G276">
        <v>0</v>
      </c>
      <c r="H276">
        <v>4</v>
      </c>
      <c r="I276">
        <v>4.666666666666667</v>
      </c>
      <c r="J276">
        <v>4</v>
      </c>
      <c r="K276">
        <v>4</v>
      </c>
      <c r="L276">
        <v>4</v>
      </c>
      <c r="M276">
        <v>4</v>
      </c>
      <c r="N276">
        <v>5</v>
      </c>
      <c r="O276">
        <v>5</v>
      </c>
      <c r="P276">
        <v>4</v>
      </c>
      <c r="Q276">
        <v>3.5</v>
      </c>
      <c r="R276">
        <v>2</v>
      </c>
      <c r="S276">
        <v>0</v>
      </c>
      <c r="T276">
        <v>3</v>
      </c>
      <c r="U276">
        <v>2.8</v>
      </c>
      <c r="V276">
        <v>3</v>
      </c>
      <c r="W276">
        <v>3</v>
      </c>
      <c r="X276">
        <v>3.1111111111111112</v>
      </c>
      <c r="Y276">
        <v>2.8</v>
      </c>
      <c r="Z276">
        <v>2.5</v>
      </c>
      <c r="AA276">
        <v>2</v>
      </c>
      <c r="AB276">
        <v>0</v>
      </c>
      <c r="AC276">
        <v>3</v>
      </c>
      <c r="AD276">
        <v>2.9090909090909092</v>
      </c>
      <c r="AE276">
        <v>3</v>
      </c>
      <c r="AF276">
        <v>3</v>
      </c>
      <c r="AG276">
        <v>3</v>
      </c>
      <c r="AH276">
        <v>2.5</v>
      </c>
      <c r="AI276" s="1">
        <v>15</v>
      </c>
      <c r="AJ276" s="1">
        <v>1535</v>
      </c>
      <c r="AK276" s="1" t="s">
        <v>349</v>
      </c>
      <c r="AL276" t="s">
        <v>1</v>
      </c>
      <c r="AN276">
        <v>180</v>
      </c>
      <c r="AO276">
        <v>0</v>
      </c>
      <c r="AP276">
        <v>360</v>
      </c>
      <c r="AQ276">
        <v>420</v>
      </c>
      <c r="AR276">
        <v>360</v>
      </c>
      <c r="AS276">
        <v>360</v>
      </c>
      <c r="AT276">
        <v>360</v>
      </c>
      <c r="AU276">
        <v>360</v>
      </c>
      <c r="AV276">
        <v>450</v>
      </c>
      <c r="AW276">
        <v>450</v>
      </c>
      <c r="AX276">
        <v>360</v>
      </c>
      <c r="AY276">
        <v>315</v>
      </c>
      <c r="AZ276">
        <v>180</v>
      </c>
      <c r="BA276">
        <v>0</v>
      </c>
      <c r="BB276">
        <v>270</v>
      </c>
      <c r="BC276">
        <v>252</v>
      </c>
      <c r="BD276">
        <v>270</v>
      </c>
      <c r="BE276">
        <v>270</v>
      </c>
      <c r="BF276">
        <v>280</v>
      </c>
      <c r="BG276">
        <v>252</v>
      </c>
      <c r="BH276">
        <v>225</v>
      </c>
      <c r="BI276">
        <v>180</v>
      </c>
      <c r="BJ276">
        <v>0</v>
      </c>
      <c r="BK276">
        <v>270</v>
      </c>
      <c r="BL276">
        <v>261.81818181818181</v>
      </c>
      <c r="BM276">
        <v>270</v>
      </c>
      <c r="BN276">
        <v>270</v>
      </c>
      <c r="BO276">
        <v>270</v>
      </c>
      <c r="BP276">
        <v>225</v>
      </c>
      <c r="BQ276">
        <f>(I276+J276+N276+O276)/4</f>
        <v>4.666666666666667</v>
      </c>
      <c r="BR276">
        <f>(K276+L276+M276)/3</f>
        <v>4</v>
      </c>
      <c r="BS276">
        <f>BQ276/BR276</f>
        <v>1.1666666666666667</v>
      </c>
      <c r="BT276">
        <f>AQ276/I276</f>
        <v>90</v>
      </c>
      <c r="BU276" t="str">
        <f>IF(OR(A276=2, A276=12), "Central", IF(A276=3, "Semi-Central", "Periférica"))</f>
        <v>Periférica</v>
      </c>
    </row>
    <row r="277" spans="1:73" x14ac:dyDescent="0.3">
      <c r="A277" s="1">
        <v>16</v>
      </c>
      <c r="B277" s="1">
        <v>1634</v>
      </c>
      <c r="C277" s="1">
        <v>234</v>
      </c>
      <c r="D277" t="s">
        <v>5</v>
      </c>
      <c r="F277">
        <v>0</v>
      </c>
      <c r="G277">
        <v>0</v>
      </c>
      <c r="H277">
        <v>4</v>
      </c>
      <c r="I277">
        <v>6.666666666666667</v>
      </c>
      <c r="J277">
        <v>5.333333333333333</v>
      </c>
      <c r="K277">
        <v>4.666666666666667</v>
      </c>
      <c r="L277">
        <v>5.333333333333333</v>
      </c>
      <c r="M277">
        <v>4.8</v>
      </c>
      <c r="N277">
        <v>6</v>
      </c>
      <c r="O277">
        <v>5</v>
      </c>
      <c r="P277">
        <v>4.666666666666667</v>
      </c>
      <c r="Q277">
        <v>4</v>
      </c>
      <c r="R277">
        <v>0</v>
      </c>
      <c r="S277">
        <v>0</v>
      </c>
      <c r="T277">
        <v>4</v>
      </c>
      <c r="U277">
        <v>4</v>
      </c>
      <c r="V277">
        <v>4</v>
      </c>
      <c r="W277">
        <v>4</v>
      </c>
      <c r="X277">
        <v>4</v>
      </c>
      <c r="Y277">
        <v>4</v>
      </c>
      <c r="Z277">
        <v>3.5</v>
      </c>
      <c r="AA277">
        <v>0</v>
      </c>
      <c r="AB277">
        <v>0</v>
      </c>
      <c r="AC277">
        <v>3</v>
      </c>
      <c r="AD277">
        <v>3.0909090909090908</v>
      </c>
      <c r="AE277">
        <v>3</v>
      </c>
      <c r="AF277">
        <v>3</v>
      </c>
      <c r="AG277">
        <v>3</v>
      </c>
      <c r="AH277">
        <v>2.5</v>
      </c>
      <c r="AI277" s="1">
        <v>16</v>
      </c>
      <c r="AJ277" s="1">
        <v>1634</v>
      </c>
      <c r="AK277" s="1">
        <v>234</v>
      </c>
      <c r="AL277" t="s">
        <v>5</v>
      </c>
      <c r="AN277">
        <v>0</v>
      </c>
      <c r="AO277">
        <v>0</v>
      </c>
      <c r="AP277">
        <v>600</v>
      </c>
      <c r="AQ277">
        <v>1000</v>
      </c>
      <c r="AR277">
        <v>800</v>
      </c>
      <c r="AS277">
        <v>700</v>
      </c>
      <c r="AT277">
        <v>800</v>
      </c>
      <c r="AU277">
        <v>720</v>
      </c>
      <c r="AV277">
        <v>900</v>
      </c>
      <c r="AW277">
        <v>750</v>
      </c>
      <c r="AX277">
        <v>700</v>
      </c>
      <c r="AY277">
        <v>600</v>
      </c>
      <c r="AZ277">
        <v>0</v>
      </c>
      <c r="BA277">
        <v>0</v>
      </c>
      <c r="BB277">
        <v>600</v>
      </c>
      <c r="BC277">
        <v>600</v>
      </c>
      <c r="BD277">
        <v>600</v>
      </c>
      <c r="BE277">
        <v>600</v>
      </c>
      <c r="BF277">
        <v>600</v>
      </c>
      <c r="BG277">
        <v>600</v>
      </c>
      <c r="BH277">
        <v>525</v>
      </c>
      <c r="BI277">
        <v>0</v>
      </c>
      <c r="BJ277">
        <v>0</v>
      </c>
      <c r="BK277">
        <v>450</v>
      </c>
      <c r="BL277">
        <v>463.63636363636363</v>
      </c>
      <c r="BM277">
        <v>450</v>
      </c>
      <c r="BN277">
        <v>450</v>
      </c>
      <c r="BO277">
        <v>450</v>
      </c>
      <c r="BP277">
        <v>375</v>
      </c>
      <c r="BQ277">
        <f>(I277+J277+N277+O277)/4</f>
        <v>5.75</v>
      </c>
      <c r="BR277">
        <f>(K277+L277+M277)/3</f>
        <v>4.9333333333333336</v>
      </c>
      <c r="BS277">
        <f>BQ277/BR277</f>
        <v>1.1655405405405406</v>
      </c>
      <c r="BT277">
        <f>AQ277/I277</f>
        <v>150</v>
      </c>
      <c r="BU277" t="str">
        <f>IF(OR(A277=2, A277=12), "Central", IF(A277=3, "Semi-Central", "Periférica"))</f>
        <v>Periférica</v>
      </c>
    </row>
    <row r="278" spans="1:73" x14ac:dyDescent="0.3">
      <c r="A278" s="1">
        <v>8</v>
      </c>
      <c r="B278" s="1">
        <v>816</v>
      </c>
      <c r="C278" s="1" t="s">
        <v>348</v>
      </c>
      <c r="D278" t="s">
        <v>5</v>
      </c>
      <c r="F278">
        <v>0</v>
      </c>
      <c r="G278">
        <v>0.44444444444444442</v>
      </c>
      <c r="H278">
        <v>5</v>
      </c>
      <c r="I278">
        <v>7.333333333333333</v>
      </c>
      <c r="J278">
        <v>6.666666666666667</v>
      </c>
      <c r="K278">
        <v>5.666666666666667</v>
      </c>
      <c r="L278">
        <v>4.666666666666667</v>
      </c>
      <c r="M278">
        <v>6.4</v>
      </c>
      <c r="N278">
        <v>6.5</v>
      </c>
      <c r="O278">
        <v>5.5</v>
      </c>
      <c r="P278">
        <v>4.666666666666667</v>
      </c>
      <c r="Q278">
        <v>3</v>
      </c>
      <c r="R278">
        <v>0</v>
      </c>
      <c r="S278">
        <v>0.22222222222222221</v>
      </c>
      <c r="T278">
        <v>2</v>
      </c>
      <c r="U278">
        <v>3.2</v>
      </c>
      <c r="V278">
        <v>3.333333333333333</v>
      </c>
      <c r="W278">
        <v>4.666666666666667</v>
      </c>
      <c r="X278">
        <v>3.7777777777777781</v>
      </c>
      <c r="Y278">
        <v>2.8</v>
      </c>
      <c r="Z278">
        <v>2.5</v>
      </c>
      <c r="AA278">
        <v>0</v>
      </c>
      <c r="AB278">
        <v>0.22222222222222221</v>
      </c>
      <c r="AC278">
        <v>2.5</v>
      </c>
      <c r="AD278">
        <v>3.0909090909090908</v>
      </c>
      <c r="AE278">
        <v>3</v>
      </c>
      <c r="AF278">
        <v>3</v>
      </c>
      <c r="AG278">
        <v>3</v>
      </c>
      <c r="AH278">
        <v>2</v>
      </c>
      <c r="AI278" s="1">
        <v>8</v>
      </c>
      <c r="AJ278" s="1">
        <v>816</v>
      </c>
      <c r="AK278" s="1" t="s">
        <v>348</v>
      </c>
      <c r="AL278" t="s">
        <v>5</v>
      </c>
      <c r="AN278">
        <v>0</v>
      </c>
      <c r="AO278">
        <v>40</v>
      </c>
      <c r="AP278">
        <v>450</v>
      </c>
      <c r="AQ278">
        <v>660</v>
      </c>
      <c r="AR278">
        <v>600</v>
      </c>
      <c r="AS278">
        <v>510</v>
      </c>
      <c r="AT278">
        <v>420</v>
      </c>
      <c r="AU278">
        <v>576</v>
      </c>
      <c r="AV278">
        <v>585</v>
      </c>
      <c r="AW278">
        <v>495</v>
      </c>
      <c r="AX278">
        <v>420</v>
      </c>
      <c r="AY278">
        <v>270</v>
      </c>
      <c r="AZ278">
        <v>0</v>
      </c>
      <c r="BA278">
        <v>20</v>
      </c>
      <c r="BB278">
        <v>180</v>
      </c>
      <c r="BC278">
        <v>288</v>
      </c>
      <c r="BD278">
        <v>300</v>
      </c>
      <c r="BE278">
        <v>420</v>
      </c>
      <c r="BF278">
        <v>340</v>
      </c>
      <c r="BG278">
        <v>252</v>
      </c>
      <c r="BH278">
        <v>225</v>
      </c>
      <c r="BI278">
        <v>0</v>
      </c>
      <c r="BJ278">
        <v>20</v>
      </c>
      <c r="BK278">
        <v>225</v>
      </c>
      <c r="BL278">
        <v>278.18181818181819</v>
      </c>
      <c r="BM278">
        <v>270</v>
      </c>
      <c r="BN278">
        <v>270</v>
      </c>
      <c r="BO278">
        <v>270</v>
      </c>
      <c r="BP278">
        <v>180</v>
      </c>
      <c r="BQ278">
        <f>(I278+J278+N278+O278)/4</f>
        <v>6.5</v>
      </c>
      <c r="BR278">
        <f>(K278+L278+M278)/3</f>
        <v>5.5777777777777784</v>
      </c>
      <c r="BS278">
        <f>BQ278/BR278</f>
        <v>1.1653386454183265</v>
      </c>
      <c r="BT278">
        <f>AQ278/I278</f>
        <v>90</v>
      </c>
      <c r="BU278" t="str">
        <f>IF(OR(A278=2, A278=12), "Central", IF(A278=3, "Semi-Central", "Periférica"))</f>
        <v>Periférica</v>
      </c>
    </row>
    <row r="279" spans="1:73" x14ac:dyDescent="0.3">
      <c r="A279" s="1">
        <v>19</v>
      </c>
      <c r="B279" s="1">
        <v>1954</v>
      </c>
      <c r="C279" s="1" t="s">
        <v>347</v>
      </c>
      <c r="D279" t="s">
        <v>5</v>
      </c>
      <c r="F279">
        <v>0</v>
      </c>
      <c r="G279">
        <v>0</v>
      </c>
      <c r="H279">
        <v>5</v>
      </c>
      <c r="I279">
        <v>6</v>
      </c>
      <c r="J279">
        <v>4.666666666666667</v>
      </c>
      <c r="K279">
        <v>4</v>
      </c>
      <c r="L279">
        <v>4.666666666666667</v>
      </c>
      <c r="M279">
        <v>4</v>
      </c>
      <c r="N279">
        <v>5</v>
      </c>
      <c r="O279">
        <v>4</v>
      </c>
      <c r="P279">
        <v>4</v>
      </c>
      <c r="Q279">
        <v>3</v>
      </c>
      <c r="R279">
        <v>0</v>
      </c>
      <c r="S279">
        <v>0</v>
      </c>
      <c r="T279">
        <v>4</v>
      </c>
      <c r="U279">
        <v>4.4000000000000004</v>
      </c>
      <c r="V279">
        <v>4.333333333333333</v>
      </c>
      <c r="W279">
        <v>4.333333333333333</v>
      </c>
      <c r="X279">
        <v>4</v>
      </c>
      <c r="Y279">
        <v>4</v>
      </c>
      <c r="Z279">
        <v>3</v>
      </c>
      <c r="AA279">
        <v>0</v>
      </c>
      <c r="AB279">
        <v>0</v>
      </c>
      <c r="AC279">
        <v>3</v>
      </c>
      <c r="AD279">
        <v>3.0909090909090908</v>
      </c>
      <c r="AE279">
        <v>3</v>
      </c>
      <c r="AF279">
        <v>3</v>
      </c>
      <c r="AG279">
        <v>3</v>
      </c>
      <c r="AH279">
        <v>2.5</v>
      </c>
      <c r="AI279" s="1">
        <v>19</v>
      </c>
      <c r="AJ279" s="1">
        <v>1954</v>
      </c>
      <c r="AK279" s="1" t="s">
        <v>347</v>
      </c>
      <c r="AL279" t="s">
        <v>5</v>
      </c>
      <c r="AN279">
        <v>0</v>
      </c>
      <c r="AO279">
        <v>0</v>
      </c>
      <c r="AP279">
        <v>300</v>
      </c>
      <c r="AQ279">
        <v>360</v>
      </c>
      <c r="AR279">
        <v>280</v>
      </c>
      <c r="AS279">
        <v>240</v>
      </c>
      <c r="AT279">
        <v>280</v>
      </c>
      <c r="AU279">
        <v>240</v>
      </c>
      <c r="AV279">
        <v>300</v>
      </c>
      <c r="AW279">
        <v>240</v>
      </c>
      <c r="AX279">
        <v>240</v>
      </c>
      <c r="AY279">
        <v>180</v>
      </c>
      <c r="AZ279">
        <v>0</v>
      </c>
      <c r="BA279">
        <v>0</v>
      </c>
      <c r="BB279">
        <v>240</v>
      </c>
      <c r="BC279">
        <v>264</v>
      </c>
      <c r="BD279">
        <v>260</v>
      </c>
      <c r="BE279">
        <v>260</v>
      </c>
      <c r="BF279">
        <v>240</v>
      </c>
      <c r="BG279">
        <v>240</v>
      </c>
      <c r="BH279">
        <v>180</v>
      </c>
      <c r="BI279">
        <v>0</v>
      </c>
      <c r="BJ279">
        <v>0</v>
      </c>
      <c r="BK279">
        <v>180</v>
      </c>
      <c r="BL279">
        <v>185.4545454545455</v>
      </c>
      <c r="BM279">
        <v>180</v>
      </c>
      <c r="BN279">
        <v>180</v>
      </c>
      <c r="BO279">
        <v>180</v>
      </c>
      <c r="BP279">
        <v>150</v>
      </c>
      <c r="BQ279">
        <f>(I279+J279+N279+O279)/4</f>
        <v>4.916666666666667</v>
      </c>
      <c r="BR279">
        <f>(K279+L279+M279)/3</f>
        <v>4.2222222222222223</v>
      </c>
      <c r="BS279">
        <f>BQ279/BR279</f>
        <v>1.1644736842105263</v>
      </c>
      <c r="BT279">
        <f>AQ279/I279</f>
        <v>60</v>
      </c>
      <c r="BU279" t="str">
        <f>IF(OR(A279=2, A279=12), "Central", IF(A279=3, "Semi-Central", "Periférica"))</f>
        <v>Periférica</v>
      </c>
    </row>
    <row r="280" spans="1:73" x14ac:dyDescent="0.3">
      <c r="A280" s="1">
        <v>13</v>
      </c>
      <c r="B280" s="1">
        <v>1318</v>
      </c>
      <c r="C280" s="1">
        <v>418</v>
      </c>
      <c r="D280" t="s">
        <v>1</v>
      </c>
      <c r="F280">
        <v>2</v>
      </c>
      <c r="G280">
        <v>2.2222222222222219</v>
      </c>
      <c r="H280">
        <v>4</v>
      </c>
      <c r="I280">
        <v>6</v>
      </c>
      <c r="J280">
        <v>4.666666666666667</v>
      </c>
      <c r="K280">
        <v>5</v>
      </c>
      <c r="L280">
        <v>4</v>
      </c>
      <c r="M280">
        <v>5.6</v>
      </c>
      <c r="N280">
        <v>6.5</v>
      </c>
      <c r="O280">
        <v>5.5</v>
      </c>
      <c r="P280">
        <v>4</v>
      </c>
      <c r="Q280">
        <v>3</v>
      </c>
      <c r="R280">
        <v>2</v>
      </c>
      <c r="S280">
        <v>2.2222222222222219</v>
      </c>
      <c r="T280">
        <v>2</v>
      </c>
      <c r="U280">
        <v>4.4000000000000004</v>
      </c>
      <c r="V280">
        <v>5.333333333333333</v>
      </c>
      <c r="W280">
        <v>5</v>
      </c>
      <c r="X280">
        <v>4.2222222222222223</v>
      </c>
      <c r="Y280">
        <v>3.6</v>
      </c>
      <c r="Z280">
        <v>2.5</v>
      </c>
      <c r="AA280">
        <v>2</v>
      </c>
      <c r="AB280">
        <v>2</v>
      </c>
      <c r="AC280">
        <v>3</v>
      </c>
      <c r="AD280">
        <v>3.6363636363636358</v>
      </c>
      <c r="AE280">
        <v>4</v>
      </c>
      <c r="AF280">
        <v>3.333333333333333</v>
      </c>
      <c r="AG280">
        <v>3</v>
      </c>
      <c r="AH280">
        <v>2.5</v>
      </c>
      <c r="AI280" s="1">
        <v>13</v>
      </c>
      <c r="AJ280" s="1">
        <v>1318</v>
      </c>
      <c r="AK280" s="1">
        <v>418</v>
      </c>
      <c r="AL280" t="s">
        <v>1</v>
      </c>
      <c r="AN280">
        <v>180</v>
      </c>
      <c r="AO280">
        <v>200</v>
      </c>
      <c r="AP280">
        <v>360</v>
      </c>
      <c r="AQ280">
        <v>540</v>
      </c>
      <c r="AR280">
        <v>420</v>
      </c>
      <c r="AS280">
        <v>450</v>
      </c>
      <c r="AT280">
        <v>360</v>
      </c>
      <c r="AU280">
        <v>504</v>
      </c>
      <c r="AV280">
        <v>585</v>
      </c>
      <c r="AW280">
        <v>495</v>
      </c>
      <c r="AX280">
        <v>360</v>
      </c>
      <c r="AY280">
        <v>270</v>
      </c>
      <c r="AZ280">
        <v>180</v>
      </c>
      <c r="BA280">
        <v>200</v>
      </c>
      <c r="BB280">
        <v>180</v>
      </c>
      <c r="BC280">
        <v>396</v>
      </c>
      <c r="BD280">
        <v>480</v>
      </c>
      <c r="BE280">
        <v>450</v>
      </c>
      <c r="BF280">
        <v>380</v>
      </c>
      <c r="BG280">
        <v>324</v>
      </c>
      <c r="BH280">
        <v>225</v>
      </c>
      <c r="BI280">
        <v>180</v>
      </c>
      <c r="BJ280">
        <v>180</v>
      </c>
      <c r="BK280">
        <v>270</v>
      </c>
      <c r="BL280">
        <v>327.27272727272731</v>
      </c>
      <c r="BM280">
        <v>360</v>
      </c>
      <c r="BN280">
        <v>300</v>
      </c>
      <c r="BO280">
        <v>270</v>
      </c>
      <c r="BP280">
        <v>225</v>
      </c>
      <c r="BQ280">
        <f>(I280+J280+N280+O280)/4</f>
        <v>5.666666666666667</v>
      </c>
      <c r="BR280">
        <f>(K280+L280+M280)/3</f>
        <v>4.8666666666666663</v>
      </c>
      <c r="BS280">
        <f>BQ280/BR280</f>
        <v>1.1643835616438358</v>
      </c>
      <c r="BT280">
        <f>AQ280/I280</f>
        <v>90</v>
      </c>
      <c r="BU280" t="str">
        <f>IF(OR(A280=2, A280=12), "Central", IF(A280=3, "Semi-Central", "Periférica"))</f>
        <v>Periférica</v>
      </c>
    </row>
    <row r="281" spans="1:73" x14ac:dyDescent="0.3">
      <c r="A281" s="1">
        <v>15</v>
      </c>
      <c r="B281" s="1">
        <v>1505</v>
      </c>
      <c r="C281" s="1">
        <v>505</v>
      </c>
      <c r="D281" t="s">
        <v>5</v>
      </c>
      <c r="E281" t="s">
        <v>0</v>
      </c>
      <c r="F281">
        <v>0</v>
      </c>
      <c r="G281">
        <v>0.44444444444444442</v>
      </c>
      <c r="H281">
        <v>8</v>
      </c>
      <c r="I281">
        <v>11.33333333333333</v>
      </c>
      <c r="J281">
        <v>8.6666666666666661</v>
      </c>
      <c r="K281">
        <v>6</v>
      </c>
      <c r="L281">
        <v>8</v>
      </c>
      <c r="M281">
        <v>8</v>
      </c>
      <c r="N281">
        <v>7</v>
      </c>
      <c r="O281">
        <v>7</v>
      </c>
      <c r="P281">
        <v>6</v>
      </c>
      <c r="Q281">
        <v>3.5</v>
      </c>
      <c r="R281">
        <v>0</v>
      </c>
      <c r="S281">
        <v>0.22222222222222221</v>
      </c>
      <c r="T281">
        <v>4</v>
      </c>
      <c r="U281">
        <v>4.8</v>
      </c>
      <c r="V281">
        <v>5</v>
      </c>
      <c r="W281">
        <v>4</v>
      </c>
      <c r="X281">
        <v>4</v>
      </c>
      <c r="Y281">
        <v>4</v>
      </c>
      <c r="Z281">
        <v>3</v>
      </c>
      <c r="AA281">
        <v>0</v>
      </c>
      <c r="AB281">
        <v>0.22222222222222221</v>
      </c>
      <c r="AC281">
        <v>4</v>
      </c>
      <c r="AD281">
        <v>3.8181818181818179</v>
      </c>
      <c r="AE281">
        <v>3.8</v>
      </c>
      <c r="AF281">
        <v>4</v>
      </c>
      <c r="AG281">
        <v>4</v>
      </c>
      <c r="AH281">
        <v>3.5</v>
      </c>
      <c r="AI281" s="1">
        <v>15</v>
      </c>
      <c r="AJ281" s="1">
        <v>1505</v>
      </c>
      <c r="AK281" s="1">
        <v>505</v>
      </c>
      <c r="AL281" t="s">
        <v>5</v>
      </c>
      <c r="AM281" t="s">
        <v>0</v>
      </c>
      <c r="AN281">
        <v>0</v>
      </c>
      <c r="AO281">
        <v>66.666666666666671</v>
      </c>
      <c r="AP281">
        <v>1200</v>
      </c>
      <c r="AQ281">
        <v>1700</v>
      </c>
      <c r="AR281">
        <v>1300</v>
      </c>
      <c r="AS281">
        <v>900</v>
      </c>
      <c r="AT281">
        <v>1200</v>
      </c>
      <c r="AU281">
        <v>1200</v>
      </c>
      <c r="AV281">
        <v>1050</v>
      </c>
      <c r="AW281">
        <v>1050</v>
      </c>
      <c r="AX281">
        <v>900</v>
      </c>
      <c r="AY281">
        <v>525</v>
      </c>
      <c r="AZ281">
        <v>0</v>
      </c>
      <c r="BA281">
        <v>33.333333333333343</v>
      </c>
      <c r="BB281">
        <v>600</v>
      </c>
      <c r="BC281">
        <v>720</v>
      </c>
      <c r="BD281">
        <v>750</v>
      </c>
      <c r="BE281">
        <v>600</v>
      </c>
      <c r="BF281">
        <v>600</v>
      </c>
      <c r="BG281">
        <v>600</v>
      </c>
      <c r="BH281">
        <v>450</v>
      </c>
      <c r="BI281">
        <v>0</v>
      </c>
      <c r="BJ281">
        <v>20</v>
      </c>
      <c r="BK281">
        <v>360</v>
      </c>
      <c r="BL281">
        <v>343.63636363636363</v>
      </c>
      <c r="BM281">
        <v>342</v>
      </c>
      <c r="BN281">
        <v>360</v>
      </c>
      <c r="BO281">
        <v>360</v>
      </c>
      <c r="BP281">
        <v>315</v>
      </c>
      <c r="BQ281">
        <f>(I281+J281+N281+O281)/4</f>
        <v>8.5</v>
      </c>
      <c r="BR281">
        <f>(K281+L281+M281)/3</f>
        <v>7.333333333333333</v>
      </c>
      <c r="BS281">
        <f>BQ281/BR281</f>
        <v>1.1590909090909092</v>
      </c>
      <c r="BT281">
        <f>AQ281/I281</f>
        <v>150.00000000000003</v>
      </c>
      <c r="BU281" t="str">
        <f>IF(OR(A281=2, A281=12), "Central", IF(A281=3, "Semi-Central", "Periférica"))</f>
        <v>Periférica</v>
      </c>
    </row>
    <row r="282" spans="1:73" x14ac:dyDescent="0.3">
      <c r="A282" s="1">
        <v>8</v>
      </c>
      <c r="B282" s="1">
        <v>841</v>
      </c>
      <c r="C282" s="1">
        <v>410</v>
      </c>
      <c r="D282" t="s">
        <v>5</v>
      </c>
      <c r="F282">
        <v>0</v>
      </c>
      <c r="G282">
        <v>0.66666666666666663</v>
      </c>
      <c r="H282">
        <v>10</v>
      </c>
      <c r="I282">
        <v>9.3333333333333339</v>
      </c>
      <c r="J282">
        <v>8</v>
      </c>
      <c r="K282">
        <v>7</v>
      </c>
      <c r="L282">
        <v>6</v>
      </c>
      <c r="M282">
        <v>6</v>
      </c>
      <c r="N282">
        <v>6</v>
      </c>
      <c r="O282">
        <v>6</v>
      </c>
      <c r="P282">
        <v>3.333333333333333</v>
      </c>
      <c r="Q282">
        <v>2.5</v>
      </c>
      <c r="R282">
        <v>0</v>
      </c>
      <c r="S282">
        <v>0.66666666666666663</v>
      </c>
      <c r="T282">
        <v>6</v>
      </c>
      <c r="U282">
        <v>7.2</v>
      </c>
      <c r="V282">
        <v>5.666666666666667</v>
      </c>
      <c r="W282">
        <v>5</v>
      </c>
      <c r="X282">
        <v>3.5555555555555549</v>
      </c>
      <c r="Y282">
        <v>2.8</v>
      </c>
      <c r="Z282">
        <v>2.5</v>
      </c>
      <c r="AA282">
        <v>0</v>
      </c>
      <c r="AB282">
        <v>0.22222222222222221</v>
      </c>
      <c r="AC282">
        <v>3.5</v>
      </c>
      <c r="AD282">
        <v>3.8181818181818179</v>
      </c>
      <c r="AE282">
        <v>3</v>
      </c>
      <c r="AF282">
        <v>3</v>
      </c>
      <c r="AG282">
        <v>3</v>
      </c>
      <c r="AH282">
        <v>3</v>
      </c>
      <c r="AI282" s="1">
        <v>8</v>
      </c>
      <c r="AJ282" s="1">
        <v>841</v>
      </c>
      <c r="AK282" s="1">
        <v>410</v>
      </c>
      <c r="AL282" t="s">
        <v>5</v>
      </c>
      <c r="AN282">
        <v>0</v>
      </c>
      <c r="AO282">
        <v>100</v>
      </c>
      <c r="AP282">
        <v>1500</v>
      </c>
      <c r="AQ282">
        <v>1400</v>
      </c>
      <c r="AR282">
        <v>1200</v>
      </c>
      <c r="AS282">
        <v>1050</v>
      </c>
      <c r="AT282">
        <v>900</v>
      </c>
      <c r="AU282">
        <v>900</v>
      </c>
      <c r="AV282">
        <v>900</v>
      </c>
      <c r="AW282">
        <v>900</v>
      </c>
      <c r="AX282">
        <v>500</v>
      </c>
      <c r="AY282">
        <v>375</v>
      </c>
      <c r="AZ282">
        <v>0</v>
      </c>
      <c r="BA282">
        <v>100</v>
      </c>
      <c r="BB282">
        <v>900</v>
      </c>
      <c r="BC282">
        <v>1080</v>
      </c>
      <c r="BD282">
        <v>850</v>
      </c>
      <c r="BE282">
        <v>750</v>
      </c>
      <c r="BF282">
        <v>533.33333333333337</v>
      </c>
      <c r="BG282">
        <v>420</v>
      </c>
      <c r="BH282">
        <v>375</v>
      </c>
      <c r="BI282">
        <v>0</v>
      </c>
      <c r="BJ282">
        <v>20</v>
      </c>
      <c r="BK282">
        <v>315</v>
      </c>
      <c r="BL282">
        <v>343.63636363636363</v>
      </c>
      <c r="BM282">
        <v>270</v>
      </c>
      <c r="BN282">
        <v>270</v>
      </c>
      <c r="BO282">
        <v>270</v>
      </c>
      <c r="BP282">
        <v>270</v>
      </c>
      <c r="BQ282">
        <f>(I282+J282+N282+O282)/4</f>
        <v>7.3333333333333339</v>
      </c>
      <c r="BR282">
        <f>(K282+L282+M282)/3</f>
        <v>6.333333333333333</v>
      </c>
      <c r="BS282">
        <f>BQ282/BR282</f>
        <v>1.1578947368421053</v>
      </c>
      <c r="BT282">
        <f>AQ282/I282</f>
        <v>150</v>
      </c>
      <c r="BU282" t="str">
        <f>IF(OR(A282=2, A282=12), "Central", IF(A282=3, "Semi-Central", "Periférica"))</f>
        <v>Periférica</v>
      </c>
    </row>
    <row r="283" spans="1:73" x14ac:dyDescent="0.3">
      <c r="A283" s="1">
        <v>11</v>
      </c>
      <c r="B283" s="1">
        <v>1142</v>
      </c>
      <c r="C283" s="1" t="s">
        <v>335</v>
      </c>
      <c r="D283" t="s">
        <v>1</v>
      </c>
      <c r="F283">
        <v>0</v>
      </c>
      <c r="G283">
        <v>0</v>
      </c>
      <c r="H283">
        <v>4</v>
      </c>
      <c r="I283">
        <v>6</v>
      </c>
      <c r="J283">
        <v>5.333333333333333</v>
      </c>
      <c r="K283">
        <v>5</v>
      </c>
      <c r="L283">
        <v>4.666666666666667</v>
      </c>
      <c r="M283">
        <v>4.8</v>
      </c>
      <c r="N283">
        <v>5.5</v>
      </c>
      <c r="O283">
        <v>5.5</v>
      </c>
      <c r="P283">
        <v>3.333333333333333</v>
      </c>
      <c r="Q283">
        <v>3</v>
      </c>
      <c r="R283">
        <v>0</v>
      </c>
      <c r="S283">
        <v>0</v>
      </c>
      <c r="T283">
        <v>2</v>
      </c>
      <c r="U283">
        <v>3.6</v>
      </c>
      <c r="V283">
        <v>4</v>
      </c>
      <c r="W283">
        <v>4</v>
      </c>
      <c r="X283">
        <v>3.5555555555555549</v>
      </c>
      <c r="Y283">
        <v>2.8</v>
      </c>
      <c r="Z283">
        <v>3</v>
      </c>
      <c r="AA283">
        <v>0</v>
      </c>
      <c r="AB283">
        <v>0</v>
      </c>
      <c r="AC283">
        <v>2.5</v>
      </c>
      <c r="AD283">
        <v>3.0909090909090908</v>
      </c>
      <c r="AE283">
        <v>3</v>
      </c>
      <c r="AF283">
        <v>3</v>
      </c>
      <c r="AG283">
        <v>2</v>
      </c>
      <c r="AH283">
        <v>2</v>
      </c>
      <c r="AI283" s="1">
        <v>11</v>
      </c>
      <c r="AJ283" s="1">
        <v>1142</v>
      </c>
      <c r="AK283" s="1" t="s">
        <v>335</v>
      </c>
      <c r="AL283" t="s">
        <v>1</v>
      </c>
      <c r="AN283">
        <v>0</v>
      </c>
      <c r="AO283">
        <v>0</v>
      </c>
      <c r="AP283">
        <v>240</v>
      </c>
      <c r="AQ283">
        <v>360</v>
      </c>
      <c r="AR283">
        <v>320</v>
      </c>
      <c r="AS283">
        <v>300</v>
      </c>
      <c r="AT283">
        <v>280</v>
      </c>
      <c r="AU283">
        <v>288</v>
      </c>
      <c r="AV283">
        <v>330</v>
      </c>
      <c r="AW283">
        <v>330</v>
      </c>
      <c r="AX283">
        <v>200</v>
      </c>
      <c r="AY283">
        <v>180</v>
      </c>
      <c r="AZ283">
        <v>0</v>
      </c>
      <c r="BA283">
        <v>0</v>
      </c>
      <c r="BB283">
        <v>120</v>
      </c>
      <c r="BC283">
        <v>216</v>
      </c>
      <c r="BD283">
        <v>240</v>
      </c>
      <c r="BE283">
        <v>240</v>
      </c>
      <c r="BF283">
        <v>213.33333333333329</v>
      </c>
      <c r="BG283">
        <v>168</v>
      </c>
      <c r="BH283">
        <v>180</v>
      </c>
      <c r="BI283">
        <v>0</v>
      </c>
      <c r="BJ283">
        <v>0</v>
      </c>
      <c r="BK283">
        <v>150</v>
      </c>
      <c r="BL283">
        <v>185.4545454545455</v>
      </c>
      <c r="BM283">
        <v>180</v>
      </c>
      <c r="BN283">
        <v>180</v>
      </c>
      <c r="BO283">
        <v>120</v>
      </c>
      <c r="BP283">
        <v>120</v>
      </c>
      <c r="BQ283">
        <f>(I283+J283+N283+O283)/4</f>
        <v>5.583333333333333</v>
      </c>
      <c r="BR283">
        <f>(K283+L283+M283)/3</f>
        <v>4.8222222222222229</v>
      </c>
      <c r="BS283">
        <f>BQ283/BR283</f>
        <v>1.1578341013824882</v>
      </c>
      <c r="BT283">
        <f>AQ283/I283</f>
        <v>60</v>
      </c>
      <c r="BU283" t="str">
        <f>IF(OR(A283=2, A283=12), "Central", IF(A283=3, "Semi-Central", "Periférica"))</f>
        <v>Periférica</v>
      </c>
    </row>
    <row r="284" spans="1:73" x14ac:dyDescent="0.3">
      <c r="A284" s="1">
        <v>16</v>
      </c>
      <c r="B284" s="1">
        <v>1613</v>
      </c>
      <c r="C284" s="1" t="s">
        <v>300</v>
      </c>
      <c r="D284" t="s">
        <v>5</v>
      </c>
      <c r="E284" t="s">
        <v>0</v>
      </c>
      <c r="F284">
        <v>0</v>
      </c>
      <c r="G284">
        <v>0</v>
      </c>
      <c r="H284">
        <v>6</v>
      </c>
      <c r="I284">
        <v>6</v>
      </c>
      <c r="J284">
        <v>5.333333333333333</v>
      </c>
      <c r="K284">
        <v>5</v>
      </c>
      <c r="L284">
        <v>4.666666666666667</v>
      </c>
      <c r="M284">
        <v>4.8</v>
      </c>
      <c r="N284">
        <v>5.5</v>
      </c>
      <c r="O284">
        <v>5.5</v>
      </c>
      <c r="P284">
        <v>5.333333333333333</v>
      </c>
      <c r="Q284">
        <v>2.5</v>
      </c>
      <c r="R284">
        <v>0</v>
      </c>
      <c r="S284">
        <v>0</v>
      </c>
      <c r="T284">
        <v>3</v>
      </c>
      <c r="U284">
        <v>4.4000000000000004</v>
      </c>
      <c r="V284">
        <v>3.666666666666667</v>
      </c>
      <c r="W284">
        <v>3.666666666666667</v>
      </c>
      <c r="X284">
        <v>4.2222222222222223</v>
      </c>
      <c r="Y284">
        <v>3.2</v>
      </c>
      <c r="Z284">
        <v>1.5</v>
      </c>
      <c r="AA284">
        <v>0</v>
      </c>
      <c r="AB284">
        <v>0</v>
      </c>
      <c r="AC284">
        <v>2</v>
      </c>
      <c r="AD284">
        <v>3.8181818181818179</v>
      </c>
      <c r="AE284">
        <v>4</v>
      </c>
      <c r="AF284">
        <v>3.666666666666667</v>
      </c>
      <c r="AG284">
        <v>3</v>
      </c>
      <c r="AH284">
        <v>1.5</v>
      </c>
      <c r="AI284" s="1">
        <v>16</v>
      </c>
      <c r="AJ284" s="1">
        <v>1613</v>
      </c>
      <c r="AK284" s="1" t="s">
        <v>300</v>
      </c>
      <c r="AL284" t="s">
        <v>5</v>
      </c>
      <c r="AM284" t="s">
        <v>0</v>
      </c>
      <c r="AN284">
        <v>0</v>
      </c>
      <c r="AO284">
        <v>0</v>
      </c>
      <c r="AP284">
        <v>540</v>
      </c>
      <c r="AQ284">
        <v>540</v>
      </c>
      <c r="AR284">
        <v>480</v>
      </c>
      <c r="AS284">
        <v>450</v>
      </c>
      <c r="AT284">
        <v>420</v>
      </c>
      <c r="AU284">
        <v>432</v>
      </c>
      <c r="AV284">
        <v>495</v>
      </c>
      <c r="AW284">
        <v>495</v>
      </c>
      <c r="AX284">
        <v>480</v>
      </c>
      <c r="AY284">
        <v>225</v>
      </c>
      <c r="AZ284">
        <v>0</v>
      </c>
      <c r="BA284">
        <v>0</v>
      </c>
      <c r="BB284">
        <v>270</v>
      </c>
      <c r="BC284">
        <v>396</v>
      </c>
      <c r="BD284">
        <v>330</v>
      </c>
      <c r="BE284">
        <v>330</v>
      </c>
      <c r="BF284">
        <v>380</v>
      </c>
      <c r="BG284">
        <v>288</v>
      </c>
      <c r="BH284">
        <v>135</v>
      </c>
      <c r="BI284">
        <v>0</v>
      </c>
      <c r="BJ284">
        <v>0</v>
      </c>
      <c r="BK284">
        <v>180</v>
      </c>
      <c r="BL284">
        <v>343.63636363636363</v>
      </c>
      <c r="BM284">
        <v>360</v>
      </c>
      <c r="BN284">
        <v>330</v>
      </c>
      <c r="BO284">
        <v>270</v>
      </c>
      <c r="BP284">
        <v>135</v>
      </c>
      <c r="BQ284">
        <f>(I284+J284+N284+O284)/4</f>
        <v>5.583333333333333</v>
      </c>
      <c r="BR284">
        <f>(K284+L284+M284)/3</f>
        <v>4.8222222222222229</v>
      </c>
      <c r="BS284">
        <f>BQ284/BR284</f>
        <v>1.1578341013824882</v>
      </c>
      <c r="BT284">
        <f>AQ284/I284</f>
        <v>90</v>
      </c>
      <c r="BU284" t="str">
        <f>IF(OR(A284=2, A284=12), "Central", IF(A284=3, "Semi-Central", "Periférica"))</f>
        <v>Periférica</v>
      </c>
    </row>
    <row r="285" spans="1:73" x14ac:dyDescent="0.3">
      <c r="A285" s="1">
        <v>5</v>
      </c>
      <c r="B285" s="1">
        <v>557</v>
      </c>
      <c r="C285" s="1">
        <v>407</v>
      </c>
      <c r="D285" t="s">
        <v>5</v>
      </c>
      <c r="E285" t="s">
        <v>0</v>
      </c>
      <c r="F285">
        <v>2</v>
      </c>
      <c r="G285">
        <v>2.8888888888888888</v>
      </c>
      <c r="H285">
        <v>11</v>
      </c>
      <c r="I285">
        <v>14</v>
      </c>
      <c r="J285">
        <v>8</v>
      </c>
      <c r="K285">
        <v>7</v>
      </c>
      <c r="L285">
        <v>8</v>
      </c>
      <c r="M285">
        <v>8</v>
      </c>
      <c r="N285">
        <v>8</v>
      </c>
      <c r="O285">
        <v>5.5</v>
      </c>
      <c r="P285">
        <v>4.666666666666667</v>
      </c>
      <c r="Q285">
        <v>2.5</v>
      </c>
      <c r="R285">
        <v>2</v>
      </c>
      <c r="S285">
        <v>2.4444444444444446</v>
      </c>
      <c r="T285">
        <v>4</v>
      </c>
      <c r="U285">
        <v>3.6</v>
      </c>
      <c r="V285">
        <v>3.6666666666666665</v>
      </c>
      <c r="W285">
        <v>3.6666666666666665</v>
      </c>
      <c r="X285">
        <v>4</v>
      </c>
      <c r="Y285">
        <v>4</v>
      </c>
      <c r="Z285">
        <v>3</v>
      </c>
      <c r="AA285">
        <v>2</v>
      </c>
      <c r="AB285">
        <v>2</v>
      </c>
      <c r="AC285">
        <v>4</v>
      </c>
      <c r="AD285">
        <v>3.8181818181818183</v>
      </c>
      <c r="AE285">
        <v>3.6</v>
      </c>
      <c r="AF285">
        <v>3.6666666666666665</v>
      </c>
      <c r="AG285">
        <v>2</v>
      </c>
      <c r="AH285">
        <v>1.5</v>
      </c>
      <c r="AI285" s="1">
        <v>5</v>
      </c>
      <c r="AJ285" s="1">
        <v>557</v>
      </c>
      <c r="AK285" s="1">
        <v>407</v>
      </c>
      <c r="AL285" t="s">
        <v>5</v>
      </c>
      <c r="AM285" t="s">
        <v>0</v>
      </c>
      <c r="AN285">
        <v>162</v>
      </c>
      <c r="AO285">
        <v>234</v>
      </c>
      <c r="AP285">
        <v>891</v>
      </c>
      <c r="AQ285">
        <v>1134</v>
      </c>
      <c r="AR285">
        <v>648</v>
      </c>
      <c r="AS285">
        <v>567</v>
      </c>
      <c r="AT285">
        <v>648</v>
      </c>
      <c r="AU285">
        <v>648</v>
      </c>
      <c r="AV285">
        <v>648</v>
      </c>
      <c r="AW285">
        <v>445.5</v>
      </c>
      <c r="AX285">
        <v>378</v>
      </c>
      <c r="AY285">
        <v>202.5</v>
      </c>
      <c r="AZ285">
        <v>162</v>
      </c>
      <c r="BA285">
        <v>198</v>
      </c>
      <c r="BB285">
        <v>324</v>
      </c>
      <c r="BC285">
        <v>291.60000000000002</v>
      </c>
      <c r="BD285">
        <v>297</v>
      </c>
      <c r="BE285">
        <v>297</v>
      </c>
      <c r="BF285">
        <v>324</v>
      </c>
      <c r="BG285">
        <v>324</v>
      </c>
      <c r="BH285">
        <v>243</v>
      </c>
      <c r="BI285">
        <v>162</v>
      </c>
      <c r="BJ285">
        <v>162</v>
      </c>
      <c r="BK285">
        <v>324</v>
      </c>
      <c r="BL285">
        <v>309.27272727272725</v>
      </c>
      <c r="BM285">
        <v>291.60000000000002</v>
      </c>
      <c r="BN285">
        <v>297</v>
      </c>
      <c r="BO285">
        <v>162</v>
      </c>
      <c r="BP285">
        <v>121.5</v>
      </c>
      <c r="BQ285">
        <f>(I285+J285+N285+O285)/4</f>
        <v>8.875</v>
      </c>
      <c r="BR285">
        <f>(K285+L285+M285)/3</f>
        <v>7.666666666666667</v>
      </c>
      <c r="BS285">
        <f>BQ285/BR285</f>
        <v>1.1576086956521738</v>
      </c>
      <c r="BT285">
        <f>AQ285/I285</f>
        <v>81</v>
      </c>
      <c r="BU285" t="str">
        <f>IF(OR(A285=2, A285=12), "Central", IF(A285=3, "Semi-Central", "Periférica"))</f>
        <v>Periférica</v>
      </c>
    </row>
    <row r="286" spans="1:73" x14ac:dyDescent="0.3">
      <c r="A286" s="1">
        <v>11</v>
      </c>
      <c r="B286" s="1">
        <v>1119</v>
      </c>
      <c r="C286" s="1" t="s">
        <v>301</v>
      </c>
      <c r="D286" t="s">
        <v>5</v>
      </c>
      <c r="F286">
        <v>0</v>
      </c>
      <c r="G286">
        <v>0</v>
      </c>
      <c r="H286">
        <v>3</v>
      </c>
      <c r="I286">
        <v>6.666666666666667</v>
      </c>
      <c r="J286">
        <v>6.666666666666667</v>
      </c>
      <c r="K286">
        <v>5.666666666666667</v>
      </c>
      <c r="L286">
        <v>5.333333333333333</v>
      </c>
      <c r="M286">
        <v>4.8</v>
      </c>
      <c r="N286">
        <v>6</v>
      </c>
      <c r="O286">
        <v>5</v>
      </c>
      <c r="P286">
        <v>3.333333333333333</v>
      </c>
      <c r="Q286">
        <v>1.5</v>
      </c>
      <c r="R286">
        <v>0</v>
      </c>
      <c r="S286">
        <v>0</v>
      </c>
      <c r="T286">
        <v>3</v>
      </c>
      <c r="U286">
        <v>4.8</v>
      </c>
      <c r="V286">
        <v>4.666666666666667</v>
      </c>
      <c r="W286">
        <v>4</v>
      </c>
      <c r="X286">
        <v>2.8888888888888888</v>
      </c>
      <c r="Y286">
        <v>3.2</v>
      </c>
      <c r="Z286">
        <v>1</v>
      </c>
      <c r="AA286">
        <v>0</v>
      </c>
      <c r="AB286">
        <v>0</v>
      </c>
      <c r="AC286">
        <v>1.5</v>
      </c>
      <c r="AD286">
        <v>3.6363636363636358</v>
      </c>
      <c r="AE286">
        <v>3</v>
      </c>
      <c r="AF286">
        <v>3</v>
      </c>
      <c r="AG286">
        <v>3</v>
      </c>
      <c r="AH286">
        <v>1.5</v>
      </c>
      <c r="AI286" s="1">
        <v>11</v>
      </c>
      <c r="AJ286" s="1">
        <v>1119</v>
      </c>
      <c r="AK286" s="1" t="s">
        <v>301</v>
      </c>
      <c r="AL286" t="s">
        <v>5</v>
      </c>
      <c r="AN286">
        <v>0</v>
      </c>
      <c r="AO286">
        <v>0</v>
      </c>
      <c r="AP286">
        <v>270</v>
      </c>
      <c r="AQ286">
        <v>600</v>
      </c>
      <c r="AR286">
        <v>600</v>
      </c>
      <c r="AS286">
        <v>510</v>
      </c>
      <c r="AT286">
        <v>480</v>
      </c>
      <c r="AU286">
        <v>432</v>
      </c>
      <c r="AV286">
        <v>540</v>
      </c>
      <c r="AW286">
        <v>450</v>
      </c>
      <c r="AX286">
        <v>300</v>
      </c>
      <c r="AY286">
        <v>135</v>
      </c>
      <c r="AZ286">
        <v>0</v>
      </c>
      <c r="BA286">
        <v>0</v>
      </c>
      <c r="BB286">
        <v>270</v>
      </c>
      <c r="BC286">
        <v>432</v>
      </c>
      <c r="BD286">
        <v>420</v>
      </c>
      <c r="BE286">
        <v>360</v>
      </c>
      <c r="BF286">
        <v>260</v>
      </c>
      <c r="BG286">
        <v>288</v>
      </c>
      <c r="BH286">
        <v>90</v>
      </c>
      <c r="BI286">
        <v>0</v>
      </c>
      <c r="BJ286">
        <v>0</v>
      </c>
      <c r="BK286">
        <v>135</v>
      </c>
      <c r="BL286">
        <v>327.27272727272731</v>
      </c>
      <c r="BM286">
        <v>270</v>
      </c>
      <c r="BN286">
        <v>270</v>
      </c>
      <c r="BO286">
        <v>270</v>
      </c>
      <c r="BP286">
        <v>135</v>
      </c>
      <c r="BQ286">
        <f>(I286+J286+N286+O286)/4</f>
        <v>6.0833333333333339</v>
      </c>
      <c r="BR286">
        <f>(K286+L286+M286)/3</f>
        <v>5.2666666666666666</v>
      </c>
      <c r="BS286">
        <f>BQ286/BR286</f>
        <v>1.1550632911392407</v>
      </c>
      <c r="BT286">
        <f>AQ286/I286</f>
        <v>90</v>
      </c>
      <c r="BU286" t="str">
        <f>IF(OR(A286=2, A286=12), "Central", IF(A286=3, "Semi-Central", "Periférica"))</f>
        <v>Periférica</v>
      </c>
    </row>
    <row r="287" spans="1:73" x14ac:dyDescent="0.3">
      <c r="A287" s="1">
        <v>8</v>
      </c>
      <c r="B287" s="1">
        <v>828</v>
      </c>
      <c r="C287" s="1" t="s">
        <v>162</v>
      </c>
      <c r="D287" t="s">
        <v>5</v>
      </c>
      <c r="F287">
        <v>0</v>
      </c>
      <c r="G287">
        <v>0</v>
      </c>
      <c r="H287">
        <v>5</v>
      </c>
      <c r="I287">
        <v>5.333333333333333</v>
      </c>
      <c r="J287">
        <v>4.666666666666667</v>
      </c>
      <c r="K287">
        <v>4.666666666666667</v>
      </c>
      <c r="L287">
        <v>4</v>
      </c>
      <c r="M287">
        <v>4</v>
      </c>
      <c r="N287">
        <v>4.5</v>
      </c>
      <c r="O287">
        <v>5</v>
      </c>
      <c r="P287">
        <v>4</v>
      </c>
      <c r="Q287">
        <v>3.5</v>
      </c>
      <c r="R287">
        <v>0</v>
      </c>
      <c r="S287">
        <v>0</v>
      </c>
      <c r="T287">
        <v>3</v>
      </c>
      <c r="U287">
        <v>4.4000000000000004</v>
      </c>
      <c r="V287">
        <v>4.666666666666667</v>
      </c>
      <c r="W287">
        <v>3</v>
      </c>
      <c r="X287">
        <v>3.1111111111111112</v>
      </c>
      <c r="Y287">
        <v>2.8</v>
      </c>
      <c r="Z287">
        <v>3</v>
      </c>
      <c r="AA287">
        <v>0</v>
      </c>
      <c r="AB287">
        <v>0</v>
      </c>
      <c r="AC287">
        <v>3</v>
      </c>
      <c r="AD287">
        <v>3.0909090909090908</v>
      </c>
      <c r="AE287">
        <v>3</v>
      </c>
      <c r="AF287">
        <v>3</v>
      </c>
      <c r="AG287">
        <v>3</v>
      </c>
      <c r="AH287">
        <v>3</v>
      </c>
      <c r="AI287" s="1">
        <v>8</v>
      </c>
      <c r="AJ287" s="1">
        <v>828</v>
      </c>
      <c r="AK287" s="1" t="s">
        <v>162</v>
      </c>
      <c r="AL287" t="s">
        <v>5</v>
      </c>
      <c r="AN287">
        <v>0</v>
      </c>
      <c r="AO287">
        <v>0</v>
      </c>
      <c r="AP287">
        <v>450</v>
      </c>
      <c r="AQ287">
        <v>480</v>
      </c>
      <c r="AR287">
        <v>420</v>
      </c>
      <c r="AS287">
        <v>420</v>
      </c>
      <c r="AT287">
        <v>360</v>
      </c>
      <c r="AU287">
        <v>360</v>
      </c>
      <c r="AV287">
        <v>405</v>
      </c>
      <c r="AW287">
        <v>450</v>
      </c>
      <c r="AX287">
        <v>360</v>
      </c>
      <c r="AY287">
        <v>315</v>
      </c>
      <c r="AZ287">
        <v>0</v>
      </c>
      <c r="BA287">
        <v>0</v>
      </c>
      <c r="BB287">
        <v>270</v>
      </c>
      <c r="BC287">
        <v>396</v>
      </c>
      <c r="BD287">
        <v>420</v>
      </c>
      <c r="BE287">
        <v>270</v>
      </c>
      <c r="BF287">
        <v>280</v>
      </c>
      <c r="BG287">
        <v>252</v>
      </c>
      <c r="BH287">
        <v>270</v>
      </c>
      <c r="BI287">
        <v>0</v>
      </c>
      <c r="BJ287">
        <v>0</v>
      </c>
      <c r="BK287">
        <v>270</v>
      </c>
      <c r="BL287">
        <v>278.18181818181819</v>
      </c>
      <c r="BM287">
        <v>270</v>
      </c>
      <c r="BN287">
        <v>270</v>
      </c>
      <c r="BO287">
        <v>270</v>
      </c>
      <c r="BP287">
        <v>270</v>
      </c>
      <c r="BQ287">
        <f>(I287+J287+N287+O287)/4</f>
        <v>4.875</v>
      </c>
      <c r="BR287">
        <f>(K287+L287+M287)/3</f>
        <v>4.2222222222222223</v>
      </c>
      <c r="BS287">
        <f>BQ287/BR287</f>
        <v>1.1546052631578947</v>
      </c>
      <c r="BT287">
        <f>AQ287/I287</f>
        <v>90</v>
      </c>
      <c r="BU287" t="str">
        <f>IF(OR(A287=2, A287=12), "Central", IF(A287=3, "Semi-Central", "Periférica"))</f>
        <v>Periférica</v>
      </c>
    </row>
    <row r="288" spans="1:73" x14ac:dyDescent="0.3">
      <c r="A288" s="1">
        <v>10</v>
      </c>
      <c r="B288" s="1">
        <v>1044</v>
      </c>
      <c r="C288" s="1" t="s">
        <v>346</v>
      </c>
      <c r="D288" t="s">
        <v>5</v>
      </c>
      <c r="E288" t="s">
        <v>0</v>
      </c>
      <c r="F288">
        <v>0</v>
      </c>
      <c r="G288">
        <v>1.1111111111111109</v>
      </c>
      <c r="H288">
        <v>6</v>
      </c>
      <c r="I288">
        <v>8.6666666666666661</v>
      </c>
      <c r="J288">
        <v>6</v>
      </c>
      <c r="K288">
        <v>6</v>
      </c>
      <c r="L288">
        <v>6</v>
      </c>
      <c r="M288">
        <v>6</v>
      </c>
      <c r="N288">
        <v>7</v>
      </c>
      <c r="O288">
        <v>6</v>
      </c>
      <c r="P288">
        <v>6</v>
      </c>
      <c r="Q288">
        <v>2</v>
      </c>
      <c r="R288">
        <v>0</v>
      </c>
      <c r="S288">
        <v>0.44444444444444442</v>
      </c>
      <c r="T288">
        <v>4</v>
      </c>
      <c r="U288">
        <v>5.6</v>
      </c>
      <c r="V288">
        <v>5</v>
      </c>
      <c r="W288">
        <v>4.666666666666667</v>
      </c>
      <c r="X288">
        <v>4</v>
      </c>
      <c r="Y288">
        <v>3.6</v>
      </c>
      <c r="Z288">
        <v>1.5</v>
      </c>
      <c r="AA288">
        <v>0</v>
      </c>
      <c r="AB288">
        <v>0.44444444444444442</v>
      </c>
      <c r="AC288">
        <v>2</v>
      </c>
      <c r="AD288">
        <v>3.454545454545455</v>
      </c>
      <c r="AE288">
        <v>4</v>
      </c>
      <c r="AF288">
        <v>4</v>
      </c>
      <c r="AG288">
        <v>4</v>
      </c>
      <c r="AH288">
        <v>2</v>
      </c>
      <c r="AI288" s="1">
        <v>10</v>
      </c>
      <c r="AJ288" s="1">
        <v>1044</v>
      </c>
      <c r="AK288" s="1" t="s">
        <v>346</v>
      </c>
      <c r="AL288" t="s">
        <v>5</v>
      </c>
      <c r="AM288" t="s">
        <v>0</v>
      </c>
      <c r="AN288">
        <v>0</v>
      </c>
      <c r="AO288">
        <v>66.666666666666671</v>
      </c>
      <c r="AP288">
        <v>360</v>
      </c>
      <c r="AQ288">
        <v>520</v>
      </c>
      <c r="AR288">
        <v>360</v>
      </c>
      <c r="AS288">
        <v>360</v>
      </c>
      <c r="AT288">
        <v>360</v>
      </c>
      <c r="AU288">
        <v>360</v>
      </c>
      <c r="AV288">
        <v>420</v>
      </c>
      <c r="AW288">
        <v>360</v>
      </c>
      <c r="AX288">
        <v>360</v>
      </c>
      <c r="AY288">
        <v>120</v>
      </c>
      <c r="AZ288">
        <v>0</v>
      </c>
      <c r="BA288">
        <v>26.666666666666671</v>
      </c>
      <c r="BB288">
        <v>240</v>
      </c>
      <c r="BC288">
        <v>336</v>
      </c>
      <c r="BD288">
        <v>300</v>
      </c>
      <c r="BE288">
        <v>280</v>
      </c>
      <c r="BF288">
        <v>240</v>
      </c>
      <c r="BG288">
        <v>216</v>
      </c>
      <c r="BH288">
        <v>90</v>
      </c>
      <c r="BI288">
        <v>0</v>
      </c>
      <c r="BJ288">
        <v>26.666666666666671</v>
      </c>
      <c r="BK288">
        <v>120</v>
      </c>
      <c r="BL288">
        <v>207.27272727272731</v>
      </c>
      <c r="BM288">
        <v>240</v>
      </c>
      <c r="BN288">
        <v>240</v>
      </c>
      <c r="BO288">
        <v>240</v>
      </c>
      <c r="BP288">
        <v>120</v>
      </c>
      <c r="BQ288">
        <f>(I288+J288+N288+O288)/4</f>
        <v>6.9166666666666661</v>
      </c>
      <c r="BR288">
        <f>(K288+L288+M288)/3</f>
        <v>6</v>
      </c>
      <c r="BS288">
        <f>BQ288/BR288</f>
        <v>1.1527777777777777</v>
      </c>
      <c r="BT288">
        <f>AQ288/I288</f>
        <v>60.000000000000007</v>
      </c>
      <c r="BU288" t="str">
        <f>IF(OR(A288=2, A288=12), "Central", IF(A288=3, "Semi-Central", "Periférica"))</f>
        <v>Periférica</v>
      </c>
    </row>
    <row r="289" spans="1:73" x14ac:dyDescent="0.3">
      <c r="A289" s="1">
        <v>11</v>
      </c>
      <c r="B289" s="1">
        <v>1114</v>
      </c>
      <c r="C289" s="1" t="s">
        <v>289</v>
      </c>
      <c r="D289" t="s">
        <v>5</v>
      </c>
      <c r="F289">
        <v>0</v>
      </c>
      <c r="G289">
        <v>0</v>
      </c>
      <c r="H289">
        <v>6</v>
      </c>
      <c r="I289">
        <v>12.66666666666667</v>
      </c>
      <c r="J289">
        <v>12</v>
      </c>
      <c r="K289">
        <v>9.3333333333333339</v>
      </c>
      <c r="L289">
        <v>8.6666666666666661</v>
      </c>
      <c r="M289">
        <v>8.8000000000000007</v>
      </c>
      <c r="N289">
        <v>8.5</v>
      </c>
      <c r="O289">
        <v>8</v>
      </c>
      <c r="P289">
        <v>6</v>
      </c>
      <c r="Q289">
        <v>2.5</v>
      </c>
      <c r="R289">
        <v>0</v>
      </c>
      <c r="S289">
        <v>0</v>
      </c>
      <c r="T289">
        <v>4</v>
      </c>
      <c r="U289">
        <v>10</v>
      </c>
      <c r="V289">
        <v>9.3333333333333339</v>
      </c>
      <c r="W289">
        <v>8</v>
      </c>
      <c r="X289">
        <v>7.7777777777777777</v>
      </c>
      <c r="Y289">
        <v>4.4000000000000004</v>
      </c>
      <c r="Z289">
        <v>3</v>
      </c>
      <c r="AA289">
        <v>0</v>
      </c>
      <c r="AB289">
        <v>0</v>
      </c>
      <c r="AC289">
        <v>4</v>
      </c>
      <c r="AD289">
        <v>6.3636363636363633</v>
      </c>
      <c r="AE289">
        <v>5</v>
      </c>
      <c r="AF289">
        <v>7</v>
      </c>
      <c r="AG289">
        <v>6</v>
      </c>
      <c r="AH289">
        <v>3.5</v>
      </c>
      <c r="AI289" s="1">
        <v>11</v>
      </c>
      <c r="AJ289" s="1">
        <v>1114</v>
      </c>
      <c r="AK289" s="1" t="s">
        <v>289</v>
      </c>
      <c r="AL289" t="s">
        <v>5</v>
      </c>
      <c r="AN289">
        <v>0</v>
      </c>
      <c r="AO289">
        <v>0</v>
      </c>
      <c r="AP289">
        <v>900</v>
      </c>
      <c r="AQ289">
        <v>1900</v>
      </c>
      <c r="AR289">
        <v>1800</v>
      </c>
      <c r="AS289">
        <v>1400</v>
      </c>
      <c r="AT289">
        <v>1300</v>
      </c>
      <c r="AU289">
        <v>1320</v>
      </c>
      <c r="AV289">
        <v>1275</v>
      </c>
      <c r="AW289">
        <v>1200</v>
      </c>
      <c r="AX289">
        <v>900</v>
      </c>
      <c r="AY289">
        <v>375</v>
      </c>
      <c r="AZ289">
        <v>0</v>
      </c>
      <c r="BA289">
        <v>0</v>
      </c>
      <c r="BB289">
        <v>360</v>
      </c>
      <c r="BC289">
        <v>900</v>
      </c>
      <c r="BD289">
        <v>840</v>
      </c>
      <c r="BE289">
        <v>720</v>
      </c>
      <c r="BF289">
        <v>700</v>
      </c>
      <c r="BG289">
        <v>396</v>
      </c>
      <c r="BH289">
        <v>270</v>
      </c>
      <c r="BI289">
        <v>0</v>
      </c>
      <c r="BJ289">
        <v>0</v>
      </c>
      <c r="BK289">
        <v>360</v>
      </c>
      <c r="BL289">
        <v>572.72727272727275</v>
      </c>
      <c r="BM289">
        <v>450</v>
      </c>
      <c r="BN289">
        <v>630</v>
      </c>
      <c r="BO289">
        <v>540</v>
      </c>
      <c r="BP289">
        <v>315</v>
      </c>
      <c r="BQ289">
        <f>(I289+J289+N289+O289)/4</f>
        <v>10.291666666666668</v>
      </c>
      <c r="BR289">
        <f>(K289+L289+M289)/3</f>
        <v>8.9333333333333336</v>
      </c>
      <c r="BS289">
        <f>BQ289/BR289</f>
        <v>1.1520522388059702</v>
      </c>
      <c r="BT289">
        <f>AQ289/I289</f>
        <v>149.99999999999997</v>
      </c>
      <c r="BU289" t="str">
        <f>IF(OR(A289=2, A289=12), "Central", IF(A289=3, "Semi-Central", "Periférica"))</f>
        <v>Periférica</v>
      </c>
    </row>
    <row r="290" spans="1:73" x14ac:dyDescent="0.3">
      <c r="A290" s="1">
        <v>14</v>
      </c>
      <c r="B290" s="1">
        <v>1466</v>
      </c>
      <c r="C290" s="1">
        <v>126</v>
      </c>
      <c r="D290" t="s">
        <v>5</v>
      </c>
      <c r="E290" t="s">
        <v>0</v>
      </c>
      <c r="F290">
        <v>0</v>
      </c>
      <c r="G290">
        <v>0</v>
      </c>
      <c r="H290">
        <v>5</v>
      </c>
      <c r="I290">
        <v>6</v>
      </c>
      <c r="J290">
        <v>5.333333333333333</v>
      </c>
      <c r="K290">
        <v>5</v>
      </c>
      <c r="L290">
        <v>4.666666666666667</v>
      </c>
      <c r="M290">
        <v>5.2</v>
      </c>
      <c r="N290">
        <v>6</v>
      </c>
      <c r="O290">
        <v>5.5</v>
      </c>
      <c r="P290">
        <v>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s="1">
        <v>14</v>
      </c>
      <c r="AJ290" s="1">
        <v>1466</v>
      </c>
      <c r="AK290" s="1">
        <v>126</v>
      </c>
      <c r="AL290" t="s">
        <v>5</v>
      </c>
      <c r="AM290" t="s">
        <v>0</v>
      </c>
      <c r="AN290">
        <v>0</v>
      </c>
      <c r="AO290">
        <v>0</v>
      </c>
      <c r="AP290">
        <v>450</v>
      </c>
      <c r="AQ290">
        <v>540</v>
      </c>
      <c r="AR290">
        <v>480</v>
      </c>
      <c r="AS290">
        <v>450</v>
      </c>
      <c r="AT290">
        <v>420</v>
      </c>
      <c r="AU290">
        <v>468</v>
      </c>
      <c r="AV290">
        <v>540</v>
      </c>
      <c r="AW290">
        <v>495</v>
      </c>
      <c r="AX290">
        <v>360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f>(I290+J290+N290+O290)/4</f>
        <v>5.708333333333333</v>
      </c>
      <c r="BR290">
        <f>(K290+L290+M290)/3</f>
        <v>4.9555555555555557</v>
      </c>
      <c r="BS290">
        <f>BQ290/BR290</f>
        <v>1.1519058295964124</v>
      </c>
      <c r="BT290">
        <f>AQ290/I290</f>
        <v>90</v>
      </c>
      <c r="BU290" t="str">
        <f>IF(OR(A290=2, A290=12), "Central", IF(A290=3, "Semi-Central", "Periférica"))</f>
        <v>Periférica</v>
      </c>
    </row>
    <row r="291" spans="1:73" x14ac:dyDescent="0.3">
      <c r="A291" s="1">
        <v>5</v>
      </c>
      <c r="B291" s="1">
        <v>502</v>
      </c>
      <c r="C291" s="1">
        <v>502</v>
      </c>
      <c r="D291" t="s">
        <v>1</v>
      </c>
      <c r="E291" t="s">
        <v>0</v>
      </c>
      <c r="F291">
        <v>2</v>
      </c>
      <c r="G291">
        <v>0</v>
      </c>
      <c r="H291">
        <v>2</v>
      </c>
      <c r="I291">
        <v>6.666666666666667</v>
      </c>
      <c r="J291">
        <v>8</v>
      </c>
      <c r="K291">
        <v>8.6666666666666661</v>
      </c>
      <c r="L291">
        <v>5.333333333333333</v>
      </c>
      <c r="M291">
        <v>7.6</v>
      </c>
      <c r="N291">
        <v>10.5</v>
      </c>
      <c r="O291">
        <v>8</v>
      </c>
      <c r="P291">
        <v>3.3333333333333335</v>
      </c>
      <c r="Q291">
        <v>3.5</v>
      </c>
      <c r="R291">
        <v>2</v>
      </c>
      <c r="S291">
        <v>0</v>
      </c>
      <c r="T291">
        <v>2</v>
      </c>
      <c r="U291">
        <v>3.2</v>
      </c>
      <c r="V291">
        <v>4</v>
      </c>
      <c r="W291">
        <v>4</v>
      </c>
      <c r="X291">
        <v>4</v>
      </c>
      <c r="Y291">
        <v>4.4000000000000004</v>
      </c>
      <c r="Z291">
        <v>3.5</v>
      </c>
      <c r="AA291">
        <v>2</v>
      </c>
      <c r="AB291">
        <v>0</v>
      </c>
      <c r="AC291">
        <v>1.5</v>
      </c>
      <c r="AD291">
        <v>4</v>
      </c>
      <c r="AE291">
        <v>4</v>
      </c>
      <c r="AF291">
        <v>4</v>
      </c>
      <c r="AG291">
        <v>4</v>
      </c>
      <c r="AH291">
        <v>3.5</v>
      </c>
      <c r="AI291" s="1">
        <v>5</v>
      </c>
      <c r="AJ291" s="1">
        <v>502</v>
      </c>
      <c r="AK291" s="1">
        <v>502</v>
      </c>
      <c r="AL291" t="s">
        <v>1</v>
      </c>
      <c r="AM291" t="s">
        <v>0</v>
      </c>
      <c r="AN291">
        <v>162</v>
      </c>
      <c r="AO291">
        <v>0</v>
      </c>
      <c r="AP291">
        <v>162</v>
      </c>
      <c r="AQ291">
        <v>634.66666666666663</v>
      </c>
      <c r="AR291">
        <v>979.33333333333337</v>
      </c>
      <c r="AS291">
        <v>891.33333333333337</v>
      </c>
      <c r="AT291">
        <v>621.33333333333337</v>
      </c>
      <c r="AU291">
        <v>814.4</v>
      </c>
      <c r="AV291">
        <v>1099</v>
      </c>
      <c r="AW291">
        <v>896.5</v>
      </c>
      <c r="AX291">
        <v>364.66666666666669</v>
      </c>
      <c r="AY291">
        <v>461</v>
      </c>
      <c r="AZ291">
        <v>162</v>
      </c>
      <c r="BA291">
        <v>0</v>
      </c>
      <c r="BB291">
        <v>162</v>
      </c>
      <c r="BC291">
        <v>259.2</v>
      </c>
      <c r="BD291">
        <v>324</v>
      </c>
      <c r="BE291">
        <v>324</v>
      </c>
      <c r="BF291">
        <v>324</v>
      </c>
      <c r="BG291">
        <v>356.4</v>
      </c>
      <c r="BH291">
        <v>283.5</v>
      </c>
      <c r="BI291">
        <v>162</v>
      </c>
      <c r="BJ291">
        <v>0</v>
      </c>
      <c r="BK291">
        <v>121.5</v>
      </c>
      <c r="BL291">
        <v>324</v>
      </c>
      <c r="BM291">
        <v>324</v>
      </c>
      <c r="BN291">
        <v>324</v>
      </c>
      <c r="BO291">
        <v>324</v>
      </c>
      <c r="BP291">
        <v>283.5</v>
      </c>
      <c r="BQ291">
        <f>(I291+J291+N291+O291)/4</f>
        <v>8.2916666666666679</v>
      </c>
      <c r="BR291">
        <f>(K291+L291+M291)/3</f>
        <v>7.2</v>
      </c>
      <c r="BS291">
        <f>BQ291/BR291</f>
        <v>1.1516203703703705</v>
      </c>
      <c r="BT291">
        <f>AQ291/I291</f>
        <v>95.199999999999989</v>
      </c>
      <c r="BU291" t="str">
        <f>IF(OR(A291=2, A291=12), "Central", IF(A291=3, "Semi-Central", "Periférica"))</f>
        <v>Periférica</v>
      </c>
    </row>
    <row r="292" spans="1:73" x14ac:dyDescent="0.3">
      <c r="A292" s="1">
        <v>18</v>
      </c>
      <c r="B292" s="1">
        <v>1841</v>
      </c>
      <c r="C292" s="1">
        <v>301</v>
      </c>
      <c r="D292" t="s">
        <v>5</v>
      </c>
      <c r="E292" t="s">
        <v>0</v>
      </c>
      <c r="F292">
        <v>3</v>
      </c>
      <c r="G292">
        <v>2.2222222222222219</v>
      </c>
      <c r="H292">
        <v>7</v>
      </c>
      <c r="I292">
        <v>16</v>
      </c>
      <c r="J292">
        <v>14.66666666666667</v>
      </c>
      <c r="K292">
        <v>12.33333333333333</v>
      </c>
      <c r="L292">
        <v>12</v>
      </c>
      <c r="M292">
        <v>12</v>
      </c>
      <c r="N292">
        <v>12.5</v>
      </c>
      <c r="O292">
        <v>12.5</v>
      </c>
      <c r="P292">
        <v>12.66666666666667</v>
      </c>
      <c r="Q292">
        <v>9</v>
      </c>
      <c r="R292">
        <v>3</v>
      </c>
      <c r="S292">
        <v>2</v>
      </c>
      <c r="T292">
        <v>5</v>
      </c>
      <c r="U292">
        <v>8</v>
      </c>
      <c r="V292">
        <v>7</v>
      </c>
      <c r="W292">
        <v>7</v>
      </c>
      <c r="X292">
        <v>6.2222222222222223</v>
      </c>
      <c r="Y292">
        <v>6</v>
      </c>
      <c r="Z292">
        <v>4.5</v>
      </c>
      <c r="AA292">
        <v>3</v>
      </c>
      <c r="AB292">
        <v>2</v>
      </c>
      <c r="AC292">
        <v>4.5</v>
      </c>
      <c r="AD292">
        <v>5.0909090909090908</v>
      </c>
      <c r="AE292">
        <v>5</v>
      </c>
      <c r="AF292">
        <v>5</v>
      </c>
      <c r="AG292">
        <v>5</v>
      </c>
      <c r="AH292">
        <v>4</v>
      </c>
      <c r="AI292" s="1">
        <v>18</v>
      </c>
      <c r="AJ292" s="1">
        <v>1841</v>
      </c>
      <c r="AK292" s="1">
        <v>301</v>
      </c>
      <c r="AL292" t="s">
        <v>5</v>
      </c>
      <c r="AM292" t="s">
        <v>0</v>
      </c>
      <c r="AN292">
        <v>270</v>
      </c>
      <c r="AO292">
        <v>200</v>
      </c>
      <c r="AP292">
        <v>630</v>
      </c>
      <c r="AQ292">
        <v>1440</v>
      </c>
      <c r="AR292">
        <v>1320</v>
      </c>
      <c r="AS292">
        <v>1110</v>
      </c>
      <c r="AT292">
        <v>1080</v>
      </c>
      <c r="AU292">
        <v>1080</v>
      </c>
      <c r="AV292">
        <v>1125</v>
      </c>
      <c r="AW292">
        <v>1125</v>
      </c>
      <c r="AX292">
        <v>1140</v>
      </c>
      <c r="AY292">
        <v>810</v>
      </c>
      <c r="AZ292">
        <v>270</v>
      </c>
      <c r="BA292">
        <v>180</v>
      </c>
      <c r="BB292">
        <v>450</v>
      </c>
      <c r="BC292">
        <v>720</v>
      </c>
      <c r="BD292">
        <v>630</v>
      </c>
      <c r="BE292">
        <v>630</v>
      </c>
      <c r="BF292">
        <v>560</v>
      </c>
      <c r="BG292">
        <v>540</v>
      </c>
      <c r="BH292">
        <v>405</v>
      </c>
      <c r="BI292">
        <v>270</v>
      </c>
      <c r="BJ292">
        <v>180</v>
      </c>
      <c r="BK292">
        <v>405</v>
      </c>
      <c r="BL292">
        <v>458.18181818181819</v>
      </c>
      <c r="BM292">
        <v>450</v>
      </c>
      <c r="BN292">
        <v>450</v>
      </c>
      <c r="BO292">
        <v>450</v>
      </c>
      <c r="BP292">
        <v>360</v>
      </c>
      <c r="BQ292">
        <f>(I292+J292+N292+O292)/4</f>
        <v>13.916666666666668</v>
      </c>
      <c r="BR292">
        <f>(K292+L292+M292)/3</f>
        <v>12.111111111111109</v>
      </c>
      <c r="BS292">
        <f>BQ292/BR292</f>
        <v>1.1490825688073398</v>
      </c>
      <c r="BT292">
        <f>AQ292/I292</f>
        <v>90</v>
      </c>
      <c r="BU292" t="str">
        <f>IF(OR(A292=2, A292=12), "Central", IF(A292=3, "Semi-Central", "Periférica"))</f>
        <v>Periférica</v>
      </c>
    </row>
    <row r="293" spans="1:73" x14ac:dyDescent="0.3">
      <c r="A293" s="1">
        <v>16</v>
      </c>
      <c r="B293" s="1">
        <v>1602</v>
      </c>
      <c r="C293" s="1">
        <v>302</v>
      </c>
      <c r="D293" t="s">
        <v>5</v>
      </c>
      <c r="E293" t="s">
        <v>0</v>
      </c>
      <c r="F293">
        <v>0</v>
      </c>
      <c r="G293">
        <v>0</v>
      </c>
      <c r="H293">
        <v>5</v>
      </c>
      <c r="I293">
        <v>6</v>
      </c>
      <c r="J293">
        <v>6</v>
      </c>
      <c r="K293">
        <v>5</v>
      </c>
      <c r="L293">
        <v>4.666666666666667</v>
      </c>
      <c r="M293">
        <v>6</v>
      </c>
      <c r="N293">
        <v>6</v>
      </c>
      <c r="O293">
        <v>6</v>
      </c>
      <c r="P293">
        <v>4.666666666666667</v>
      </c>
      <c r="Q293">
        <v>4</v>
      </c>
      <c r="R293">
        <v>0</v>
      </c>
      <c r="S293">
        <v>0</v>
      </c>
      <c r="T293">
        <v>3</v>
      </c>
      <c r="U293">
        <v>4.4000000000000004</v>
      </c>
      <c r="V293">
        <v>4</v>
      </c>
      <c r="W293">
        <v>4.333333333333333</v>
      </c>
      <c r="X293">
        <v>5.1111111111111107</v>
      </c>
      <c r="Y293">
        <v>4.4000000000000004</v>
      </c>
      <c r="Z293">
        <v>3.5</v>
      </c>
      <c r="AA293">
        <v>0</v>
      </c>
      <c r="AB293">
        <v>0</v>
      </c>
      <c r="AC293">
        <v>3</v>
      </c>
      <c r="AD293">
        <v>4</v>
      </c>
      <c r="AE293">
        <v>4</v>
      </c>
      <c r="AF293">
        <v>4</v>
      </c>
      <c r="AG293">
        <v>3</v>
      </c>
      <c r="AH293">
        <v>2.5</v>
      </c>
      <c r="AI293" s="1">
        <v>16</v>
      </c>
      <c r="AJ293" s="1">
        <v>1602</v>
      </c>
      <c r="AK293" s="1">
        <v>302</v>
      </c>
      <c r="AL293" t="s">
        <v>5</v>
      </c>
      <c r="AM293" t="s">
        <v>0</v>
      </c>
      <c r="AN293">
        <v>0</v>
      </c>
      <c r="AO293">
        <v>0</v>
      </c>
      <c r="AP293">
        <v>450</v>
      </c>
      <c r="AQ293">
        <v>540</v>
      </c>
      <c r="AR293">
        <v>540</v>
      </c>
      <c r="AS293">
        <v>450</v>
      </c>
      <c r="AT293">
        <v>420</v>
      </c>
      <c r="AU293">
        <v>540</v>
      </c>
      <c r="AV293">
        <v>540</v>
      </c>
      <c r="AW293">
        <v>540</v>
      </c>
      <c r="AX293">
        <v>420</v>
      </c>
      <c r="AY293">
        <v>360</v>
      </c>
      <c r="AZ293">
        <v>0</v>
      </c>
      <c r="BA293">
        <v>0</v>
      </c>
      <c r="BB293">
        <v>270</v>
      </c>
      <c r="BC293">
        <v>396</v>
      </c>
      <c r="BD293">
        <v>360</v>
      </c>
      <c r="BE293">
        <v>390</v>
      </c>
      <c r="BF293">
        <v>460</v>
      </c>
      <c r="BG293">
        <v>396</v>
      </c>
      <c r="BH293">
        <v>315</v>
      </c>
      <c r="BI293">
        <v>0</v>
      </c>
      <c r="BJ293">
        <v>0</v>
      </c>
      <c r="BK293">
        <v>270</v>
      </c>
      <c r="BL293">
        <v>360</v>
      </c>
      <c r="BM293">
        <v>360</v>
      </c>
      <c r="BN293">
        <v>360</v>
      </c>
      <c r="BO293">
        <v>270</v>
      </c>
      <c r="BP293">
        <v>225</v>
      </c>
      <c r="BQ293">
        <f>(I293+J293+N293+O293)/4</f>
        <v>6</v>
      </c>
      <c r="BR293">
        <f>(K293+L293+M293)/3</f>
        <v>5.2222222222222223</v>
      </c>
      <c r="BS293">
        <f>BQ293/BR293</f>
        <v>1.1489361702127658</v>
      </c>
      <c r="BT293">
        <f>AQ293/I293</f>
        <v>90</v>
      </c>
      <c r="BU293" t="str">
        <f>IF(OR(A293=2, A293=12), "Central", IF(A293=3, "Semi-Central", "Periférica"))</f>
        <v>Periférica</v>
      </c>
    </row>
    <row r="294" spans="1:73" x14ac:dyDescent="0.3">
      <c r="A294" s="1">
        <v>9</v>
      </c>
      <c r="B294" s="1">
        <v>929</v>
      </c>
      <c r="C294" s="1" t="s">
        <v>345</v>
      </c>
      <c r="D294" t="s">
        <v>5</v>
      </c>
      <c r="F294">
        <v>0</v>
      </c>
      <c r="G294">
        <v>0.22222222222222221</v>
      </c>
      <c r="H294">
        <v>8</v>
      </c>
      <c r="I294">
        <v>8.6666666666666661</v>
      </c>
      <c r="J294">
        <v>6</v>
      </c>
      <c r="K294">
        <v>5</v>
      </c>
      <c r="L294">
        <v>5.333333333333333</v>
      </c>
      <c r="M294">
        <v>4.8</v>
      </c>
      <c r="N294">
        <v>4</v>
      </c>
      <c r="O294">
        <v>4.5</v>
      </c>
      <c r="P294">
        <v>4.666666666666667</v>
      </c>
      <c r="Q294">
        <v>2.5</v>
      </c>
      <c r="R294">
        <v>0</v>
      </c>
      <c r="S294">
        <v>0</v>
      </c>
      <c r="T294">
        <v>2</v>
      </c>
      <c r="U294">
        <v>4</v>
      </c>
      <c r="V294">
        <v>4</v>
      </c>
      <c r="W294">
        <v>4</v>
      </c>
      <c r="X294">
        <v>4</v>
      </c>
      <c r="Y294">
        <v>4</v>
      </c>
      <c r="Z294">
        <v>2</v>
      </c>
      <c r="AA294">
        <v>0</v>
      </c>
      <c r="AB294">
        <v>0</v>
      </c>
      <c r="AC294">
        <v>2</v>
      </c>
      <c r="AD294">
        <v>3.454545454545455</v>
      </c>
      <c r="AE294">
        <v>3.4</v>
      </c>
      <c r="AF294">
        <v>3</v>
      </c>
      <c r="AG294">
        <v>2</v>
      </c>
      <c r="AH294">
        <v>2</v>
      </c>
      <c r="AI294" s="1">
        <v>9</v>
      </c>
      <c r="AJ294" s="1">
        <v>929</v>
      </c>
      <c r="AK294" s="1" t="s">
        <v>345</v>
      </c>
      <c r="AL294" t="s">
        <v>5</v>
      </c>
      <c r="AN294">
        <v>0</v>
      </c>
      <c r="AO294">
        <v>20</v>
      </c>
      <c r="AP294">
        <v>720</v>
      </c>
      <c r="AQ294">
        <v>780</v>
      </c>
      <c r="AR294">
        <v>540</v>
      </c>
      <c r="AS294">
        <v>450</v>
      </c>
      <c r="AT294">
        <v>480</v>
      </c>
      <c r="AU294">
        <v>432</v>
      </c>
      <c r="AV294">
        <v>360</v>
      </c>
      <c r="AW294">
        <v>405</v>
      </c>
      <c r="AX294">
        <v>420</v>
      </c>
      <c r="AY294">
        <v>225</v>
      </c>
      <c r="AZ294">
        <v>0</v>
      </c>
      <c r="BA294">
        <v>0</v>
      </c>
      <c r="BB294">
        <v>180</v>
      </c>
      <c r="BC294">
        <v>360</v>
      </c>
      <c r="BD294">
        <v>360</v>
      </c>
      <c r="BE294">
        <v>360</v>
      </c>
      <c r="BF294">
        <v>360</v>
      </c>
      <c r="BG294">
        <v>360</v>
      </c>
      <c r="BH294">
        <v>180</v>
      </c>
      <c r="BI294">
        <v>0</v>
      </c>
      <c r="BJ294">
        <v>0</v>
      </c>
      <c r="BK294">
        <v>180</v>
      </c>
      <c r="BL294">
        <v>310.90909090909088</v>
      </c>
      <c r="BM294">
        <v>306</v>
      </c>
      <c r="BN294">
        <v>270</v>
      </c>
      <c r="BO294">
        <v>180</v>
      </c>
      <c r="BP294">
        <v>180</v>
      </c>
      <c r="BQ294">
        <f>(I294+J294+N294+O294)/4</f>
        <v>5.7916666666666661</v>
      </c>
      <c r="BR294">
        <f>(K294+L294+M294)/3</f>
        <v>5.0444444444444443</v>
      </c>
      <c r="BS294">
        <f>BQ294/BR294</f>
        <v>1.1481277533039647</v>
      </c>
      <c r="BT294">
        <f>AQ294/I294</f>
        <v>90</v>
      </c>
      <c r="BU294" t="str">
        <f>IF(OR(A294=2, A294=12), "Central", IF(A294=3, "Semi-Central", "Periférica"))</f>
        <v>Periférica</v>
      </c>
    </row>
    <row r="295" spans="1:73" x14ac:dyDescent="0.3">
      <c r="A295" s="1">
        <v>2</v>
      </c>
      <c r="B295" s="1" t="s">
        <v>317</v>
      </c>
      <c r="C295" s="1" t="s">
        <v>316</v>
      </c>
      <c r="D295" t="s">
        <v>5</v>
      </c>
      <c r="E295" t="s">
        <v>0</v>
      </c>
      <c r="F295">
        <v>0</v>
      </c>
      <c r="G295">
        <v>0</v>
      </c>
      <c r="H295">
        <v>7</v>
      </c>
      <c r="I295">
        <v>7.333333333333333</v>
      </c>
      <c r="J295">
        <v>6.666666666666667</v>
      </c>
      <c r="K295">
        <v>5</v>
      </c>
      <c r="L295">
        <v>5.333333333333333</v>
      </c>
      <c r="M295">
        <v>6</v>
      </c>
      <c r="N295">
        <v>5</v>
      </c>
      <c r="O295">
        <v>6</v>
      </c>
      <c r="P295">
        <v>4.666666666666667</v>
      </c>
      <c r="Q295">
        <v>4</v>
      </c>
      <c r="R295">
        <v>0</v>
      </c>
      <c r="S295">
        <v>0</v>
      </c>
      <c r="T295">
        <v>5</v>
      </c>
      <c r="U295">
        <v>4.8</v>
      </c>
      <c r="V295">
        <v>5.666666666666667</v>
      </c>
      <c r="W295">
        <v>4.666666666666667</v>
      </c>
      <c r="X295">
        <v>4.8888888888888893</v>
      </c>
      <c r="Y295">
        <v>3.6</v>
      </c>
      <c r="Z295">
        <v>3</v>
      </c>
      <c r="AA295">
        <v>0</v>
      </c>
      <c r="AB295">
        <v>0</v>
      </c>
      <c r="AC295">
        <v>4</v>
      </c>
      <c r="AD295">
        <v>4.7272727272727275</v>
      </c>
      <c r="AE295">
        <v>4.8</v>
      </c>
      <c r="AF295">
        <v>4.666666666666667</v>
      </c>
      <c r="AG295">
        <v>5</v>
      </c>
      <c r="AH295">
        <v>3.5</v>
      </c>
      <c r="AI295" s="1">
        <v>2</v>
      </c>
      <c r="AJ295" s="1" t="s">
        <v>317</v>
      </c>
      <c r="AK295" s="1" t="s">
        <v>316</v>
      </c>
      <c r="AL295" t="s">
        <v>5</v>
      </c>
      <c r="AM295" t="s">
        <v>0</v>
      </c>
      <c r="AN295">
        <v>0</v>
      </c>
      <c r="AO295">
        <v>0</v>
      </c>
      <c r="AP295">
        <v>350</v>
      </c>
      <c r="AQ295">
        <v>366.66666666666669</v>
      </c>
      <c r="AR295">
        <v>333.33333333333331</v>
      </c>
      <c r="AS295">
        <v>250</v>
      </c>
      <c r="AT295">
        <v>266.66666666666669</v>
      </c>
      <c r="AU295">
        <v>300</v>
      </c>
      <c r="AV295">
        <v>250</v>
      </c>
      <c r="AW295">
        <v>300</v>
      </c>
      <c r="AX295">
        <v>233.33333333333334</v>
      </c>
      <c r="AY295">
        <v>200</v>
      </c>
      <c r="AZ295">
        <v>0</v>
      </c>
      <c r="BA295">
        <v>0</v>
      </c>
      <c r="BB295">
        <v>250</v>
      </c>
      <c r="BC295">
        <v>240</v>
      </c>
      <c r="BD295">
        <v>283.33333333333331</v>
      </c>
      <c r="BE295">
        <v>233.33333333333334</v>
      </c>
      <c r="BF295">
        <v>244.44444444444446</v>
      </c>
      <c r="BG295">
        <v>180</v>
      </c>
      <c r="BH295">
        <v>150</v>
      </c>
      <c r="BI295">
        <v>0</v>
      </c>
      <c r="BJ295">
        <v>0</v>
      </c>
      <c r="BK295">
        <v>200</v>
      </c>
      <c r="BL295">
        <v>236.36363636363637</v>
      </c>
      <c r="BM295">
        <v>240</v>
      </c>
      <c r="BN295">
        <v>233.33333333333334</v>
      </c>
      <c r="BO295">
        <v>250</v>
      </c>
      <c r="BP295">
        <v>175</v>
      </c>
      <c r="BQ295">
        <f>(I295+J295+N295+O295)/4</f>
        <v>6.25</v>
      </c>
      <c r="BR295">
        <f>(K295+L295+M295)/3</f>
        <v>5.4444444444444438</v>
      </c>
      <c r="BS295">
        <f>BQ295/BR295</f>
        <v>1.1479591836734695</v>
      </c>
      <c r="BT295">
        <f>AQ295/I295</f>
        <v>50.000000000000007</v>
      </c>
      <c r="BU295" t="str">
        <f>IF(OR(A295=2, A295=12), "Central", IF(A295=3, "Semi-Central", "Periférica"))</f>
        <v>Central</v>
      </c>
    </row>
    <row r="296" spans="1:73" x14ac:dyDescent="0.3">
      <c r="A296" s="1">
        <v>5</v>
      </c>
      <c r="B296" s="1">
        <v>504</v>
      </c>
      <c r="C296" s="1">
        <v>504</v>
      </c>
      <c r="D296" t="s">
        <v>1</v>
      </c>
      <c r="E296" t="s">
        <v>0</v>
      </c>
      <c r="F296">
        <v>0</v>
      </c>
      <c r="G296">
        <v>0</v>
      </c>
      <c r="H296">
        <v>5</v>
      </c>
      <c r="I296">
        <v>6</v>
      </c>
      <c r="J296">
        <v>6</v>
      </c>
      <c r="K296">
        <v>5.666666666666667</v>
      </c>
      <c r="L296">
        <v>5.333333333333333</v>
      </c>
      <c r="M296">
        <v>6</v>
      </c>
      <c r="N296">
        <v>8</v>
      </c>
      <c r="O296">
        <v>6</v>
      </c>
      <c r="P296">
        <v>4</v>
      </c>
      <c r="Q296">
        <v>3</v>
      </c>
      <c r="R296">
        <v>0</v>
      </c>
      <c r="S296">
        <v>0</v>
      </c>
      <c r="T296">
        <v>3</v>
      </c>
      <c r="U296">
        <v>4.8</v>
      </c>
      <c r="V296">
        <v>5</v>
      </c>
      <c r="W296">
        <v>4.666666666666667</v>
      </c>
      <c r="X296">
        <v>4.666666666666667</v>
      </c>
      <c r="Y296">
        <v>4.4000000000000004</v>
      </c>
      <c r="Z296">
        <v>3</v>
      </c>
      <c r="AA296">
        <v>0</v>
      </c>
      <c r="AB296">
        <v>0</v>
      </c>
      <c r="AC296">
        <v>4</v>
      </c>
      <c r="AD296">
        <v>4</v>
      </c>
      <c r="AE296">
        <v>4</v>
      </c>
      <c r="AF296">
        <v>4</v>
      </c>
      <c r="AG296">
        <v>4</v>
      </c>
      <c r="AH296">
        <v>3</v>
      </c>
      <c r="AI296" s="1">
        <v>5</v>
      </c>
      <c r="AJ296" s="1">
        <v>504</v>
      </c>
      <c r="AK296" s="1">
        <v>504</v>
      </c>
      <c r="AL296" t="s">
        <v>1</v>
      </c>
      <c r="AM296" t="s">
        <v>0</v>
      </c>
      <c r="AN296">
        <v>0</v>
      </c>
      <c r="AO296">
        <v>0</v>
      </c>
      <c r="AP296">
        <v>405</v>
      </c>
      <c r="AQ296">
        <v>486</v>
      </c>
      <c r="AR296">
        <v>486</v>
      </c>
      <c r="AS296">
        <v>459</v>
      </c>
      <c r="AT296">
        <v>432</v>
      </c>
      <c r="AU296">
        <v>486</v>
      </c>
      <c r="AV296">
        <v>648</v>
      </c>
      <c r="AW296">
        <v>486</v>
      </c>
      <c r="AX296">
        <v>324</v>
      </c>
      <c r="AY296">
        <v>243</v>
      </c>
      <c r="AZ296">
        <v>0</v>
      </c>
      <c r="BA296">
        <v>0</v>
      </c>
      <c r="BB296">
        <v>243</v>
      </c>
      <c r="BC296">
        <v>388.8</v>
      </c>
      <c r="BD296">
        <v>405</v>
      </c>
      <c r="BE296">
        <v>378</v>
      </c>
      <c r="BF296">
        <v>378</v>
      </c>
      <c r="BG296">
        <v>356.4</v>
      </c>
      <c r="BH296">
        <v>243</v>
      </c>
      <c r="BI296">
        <v>0</v>
      </c>
      <c r="BJ296">
        <v>0</v>
      </c>
      <c r="BK296">
        <v>324</v>
      </c>
      <c r="BL296">
        <v>324</v>
      </c>
      <c r="BM296">
        <v>324</v>
      </c>
      <c r="BN296">
        <v>324</v>
      </c>
      <c r="BO296">
        <v>324</v>
      </c>
      <c r="BP296">
        <v>243</v>
      </c>
      <c r="BQ296">
        <f>(I296+J296+N296+O296)/4</f>
        <v>6.5</v>
      </c>
      <c r="BR296">
        <f>(K296+L296+M296)/3</f>
        <v>5.666666666666667</v>
      </c>
      <c r="BS296">
        <f>BQ296/BR296</f>
        <v>1.1470588235294117</v>
      </c>
      <c r="BT296">
        <f>AQ296/I296</f>
        <v>81</v>
      </c>
      <c r="BU296" t="str">
        <f>IF(OR(A296=2, A296=12), "Central", IF(A296=3, "Semi-Central", "Periférica"))</f>
        <v>Periférica</v>
      </c>
    </row>
    <row r="297" spans="1:73" x14ac:dyDescent="0.3">
      <c r="A297" s="1">
        <v>16</v>
      </c>
      <c r="B297" s="1">
        <v>1645</v>
      </c>
      <c r="C297" s="1">
        <v>225</v>
      </c>
      <c r="D297" t="s">
        <v>5</v>
      </c>
      <c r="E297" t="s">
        <v>0</v>
      </c>
      <c r="F297">
        <v>2</v>
      </c>
      <c r="G297">
        <v>0</v>
      </c>
      <c r="H297">
        <v>4</v>
      </c>
      <c r="I297">
        <v>6</v>
      </c>
      <c r="J297">
        <v>6</v>
      </c>
      <c r="K297">
        <v>5</v>
      </c>
      <c r="L297">
        <v>6</v>
      </c>
      <c r="M297">
        <v>6</v>
      </c>
      <c r="N297">
        <v>7</v>
      </c>
      <c r="O297">
        <v>7</v>
      </c>
      <c r="P297">
        <v>5.333333333333333</v>
      </c>
      <c r="Q297">
        <v>3.5</v>
      </c>
      <c r="R297">
        <v>2</v>
      </c>
      <c r="S297">
        <v>0</v>
      </c>
      <c r="T297">
        <v>3</v>
      </c>
      <c r="U297">
        <v>4</v>
      </c>
      <c r="V297">
        <v>4.333333333333333</v>
      </c>
      <c r="W297">
        <v>4</v>
      </c>
      <c r="X297">
        <v>4.4444444444444446</v>
      </c>
      <c r="Y297">
        <v>4.4000000000000004</v>
      </c>
      <c r="Z297">
        <v>3</v>
      </c>
      <c r="AA297">
        <v>2</v>
      </c>
      <c r="AB297">
        <v>0</v>
      </c>
      <c r="AC297">
        <v>3</v>
      </c>
      <c r="AD297">
        <v>4.1818181818181817</v>
      </c>
      <c r="AE297">
        <v>4.2</v>
      </c>
      <c r="AF297">
        <v>4</v>
      </c>
      <c r="AG297">
        <v>4</v>
      </c>
      <c r="AH297">
        <v>3</v>
      </c>
      <c r="AI297" s="1">
        <v>16</v>
      </c>
      <c r="AJ297" s="1">
        <v>1645</v>
      </c>
      <c r="AK297" s="1">
        <v>225</v>
      </c>
      <c r="AL297" t="s">
        <v>5</v>
      </c>
      <c r="AM297" t="s">
        <v>0</v>
      </c>
      <c r="AN297">
        <v>180</v>
      </c>
      <c r="AO297">
        <v>0</v>
      </c>
      <c r="AP297">
        <v>360</v>
      </c>
      <c r="AQ297">
        <v>540</v>
      </c>
      <c r="AR297">
        <v>540</v>
      </c>
      <c r="AS297">
        <v>450</v>
      </c>
      <c r="AT297">
        <v>540</v>
      </c>
      <c r="AU297">
        <v>540</v>
      </c>
      <c r="AV297">
        <v>630</v>
      </c>
      <c r="AW297">
        <v>630</v>
      </c>
      <c r="AX297">
        <v>480</v>
      </c>
      <c r="AY297">
        <v>315</v>
      </c>
      <c r="AZ297">
        <v>180</v>
      </c>
      <c r="BA297">
        <v>0</v>
      </c>
      <c r="BB297">
        <v>270</v>
      </c>
      <c r="BC297">
        <v>360</v>
      </c>
      <c r="BD297">
        <v>390</v>
      </c>
      <c r="BE297">
        <v>360</v>
      </c>
      <c r="BF297">
        <v>400</v>
      </c>
      <c r="BG297">
        <v>396</v>
      </c>
      <c r="BH297">
        <v>270</v>
      </c>
      <c r="BI297">
        <v>180</v>
      </c>
      <c r="BJ297">
        <v>0</v>
      </c>
      <c r="BK297">
        <v>270</v>
      </c>
      <c r="BL297">
        <v>376.36363636363637</v>
      </c>
      <c r="BM297">
        <v>378</v>
      </c>
      <c r="BN297">
        <v>360</v>
      </c>
      <c r="BO297">
        <v>360</v>
      </c>
      <c r="BP297">
        <v>270</v>
      </c>
      <c r="BQ297">
        <f>(I297+J297+N297+O297)/4</f>
        <v>6.5</v>
      </c>
      <c r="BR297">
        <f>(K297+L297+M297)/3</f>
        <v>5.666666666666667</v>
      </c>
      <c r="BS297">
        <f>BQ297/BR297</f>
        <v>1.1470588235294117</v>
      </c>
      <c r="BT297">
        <f>AQ297/I297</f>
        <v>90</v>
      </c>
      <c r="BU297" t="str">
        <f>IF(OR(A297=2, A297=12), "Central", IF(A297=3, "Semi-Central", "Periférica"))</f>
        <v>Periférica</v>
      </c>
    </row>
    <row r="298" spans="1:73" x14ac:dyDescent="0.3">
      <c r="A298" s="1">
        <v>11</v>
      </c>
      <c r="B298" s="1">
        <v>1106</v>
      </c>
      <c r="C298" s="1" t="s">
        <v>325</v>
      </c>
      <c r="D298" t="s">
        <v>5</v>
      </c>
      <c r="F298">
        <v>0</v>
      </c>
      <c r="G298">
        <v>0</v>
      </c>
      <c r="H298">
        <v>5</v>
      </c>
      <c r="I298">
        <v>8</v>
      </c>
      <c r="J298">
        <v>6</v>
      </c>
      <c r="K298">
        <v>5.333333333333333</v>
      </c>
      <c r="L298">
        <v>6</v>
      </c>
      <c r="M298">
        <v>6</v>
      </c>
      <c r="N298">
        <v>6.5</v>
      </c>
      <c r="O298">
        <v>6</v>
      </c>
      <c r="P298">
        <v>4.666666666666667</v>
      </c>
      <c r="Q298">
        <v>1.5</v>
      </c>
      <c r="R298">
        <v>0</v>
      </c>
      <c r="S298">
        <v>0</v>
      </c>
      <c r="T298">
        <v>3</v>
      </c>
      <c r="U298">
        <v>3.2</v>
      </c>
      <c r="V298">
        <v>4</v>
      </c>
      <c r="W298">
        <v>3.333333333333333</v>
      </c>
      <c r="X298">
        <v>3.1111111111111112</v>
      </c>
      <c r="Y298">
        <v>3.2</v>
      </c>
      <c r="Z298">
        <v>1.5</v>
      </c>
      <c r="AA298">
        <v>0</v>
      </c>
      <c r="AB298">
        <v>0</v>
      </c>
      <c r="AC298">
        <v>3</v>
      </c>
      <c r="AD298">
        <v>3.0909090909090908</v>
      </c>
      <c r="AE298">
        <v>3</v>
      </c>
      <c r="AF298">
        <v>4</v>
      </c>
      <c r="AG298">
        <v>4</v>
      </c>
      <c r="AH298">
        <v>2.5</v>
      </c>
      <c r="AI298" s="1">
        <v>11</v>
      </c>
      <c r="AJ298" s="1">
        <v>1106</v>
      </c>
      <c r="AK298" s="1" t="s">
        <v>325</v>
      </c>
      <c r="AL298" t="s">
        <v>5</v>
      </c>
      <c r="AN298">
        <v>0</v>
      </c>
      <c r="AO298">
        <v>0</v>
      </c>
      <c r="AP298">
        <v>450</v>
      </c>
      <c r="AQ298">
        <v>720</v>
      </c>
      <c r="AR298">
        <v>540</v>
      </c>
      <c r="AS298">
        <v>480</v>
      </c>
      <c r="AT298">
        <v>540</v>
      </c>
      <c r="AU298">
        <v>540</v>
      </c>
      <c r="AV298">
        <v>585</v>
      </c>
      <c r="AW298">
        <v>540</v>
      </c>
      <c r="AX298">
        <v>420</v>
      </c>
      <c r="AY298">
        <v>135</v>
      </c>
      <c r="AZ298">
        <v>0</v>
      </c>
      <c r="BA298">
        <v>0</v>
      </c>
      <c r="BB298">
        <v>270</v>
      </c>
      <c r="BC298">
        <v>288</v>
      </c>
      <c r="BD298">
        <v>360</v>
      </c>
      <c r="BE298">
        <v>300</v>
      </c>
      <c r="BF298">
        <v>280</v>
      </c>
      <c r="BG298">
        <v>288</v>
      </c>
      <c r="BH298">
        <v>135</v>
      </c>
      <c r="BI298">
        <v>0</v>
      </c>
      <c r="BJ298">
        <v>0</v>
      </c>
      <c r="BK298">
        <v>270</v>
      </c>
      <c r="BL298">
        <v>278.18181818181819</v>
      </c>
      <c r="BM298">
        <v>270</v>
      </c>
      <c r="BN298">
        <v>360</v>
      </c>
      <c r="BO298">
        <v>360</v>
      </c>
      <c r="BP298">
        <v>225</v>
      </c>
      <c r="BQ298">
        <f>(I298+J298+N298+O298)/4</f>
        <v>6.625</v>
      </c>
      <c r="BR298">
        <f>(K298+L298+M298)/3</f>
        <v>5.7777777777777777</v>
      </c>
      <c r="BS298">
        <f>BQ298/BR298</f>
        <v>1.1466346153846154</v>
      </c>
      <c r="BT298">
        <f>AQ298/I298</f>
        <v>90</v>
      </c>
      <c r="BU298" t="str">
        <f>IF(OR(A298=2, A298=12), "Central", IF(A298=3, "Semi-Central", "Periférica"))</f>
        <v>Periférica</v>
      </c>
    </row>
    <row r="299" spans="1:73" x14ac:dyDescent="0.3">
      <c r="A299" s="1">
        <v>19</v>
      </c>
      <c r="B299" s="1" t="s">
        <v>333</v>
      </c>
      <c r="C299" s="1" t="s">
        <v>332</v>
      </c>
      <c r="D299" t="s">
        <v>1</v>
      </c>
      <c r="E299" t="s">
        <v>0</v>
      </c>
      <c r="F299">
        <v>2</v>
      </c>
      <c r="G299">
        <v>2.2222222222222219</v>
      </c>
      <c r="H299">
        <v>5</v>
      </c>
      <c r="I299">
        <v>6</v>
      </c>
      <c r="J299">
        <v>5.333333333333333</v>
      </c>
      <c r="K299">
        <v>5</v>
      </c>
      <c r="L299">
        <v>4.666666666666667</v>
      </c>
      <c r="M299">
        <v>5.6</v>
      </c>
      <c r="N299">
        <v>6</v>
      </c>
      <c r="O299">
        <v>6</v>
      </c>
      <c r="P299">
        <v>6</v>
      </c>
      <c r="Q299">
        <v>3.5</v>
      </c>
      <c r="R299">
        <v>2</v>
      </c>
      <c r="S299">
        <v>2.2222222222222219</v>
      </c>
      <c r="T299">
        <v>4</v>
      </c>
      <c r="U299">
        <v>4.4000000000000004</v>
      </c>
      <c r="V299">
        <v>4.333333333333333</v>
      </c>
      <c r="W299">
        <v>5</v>
      </c>
      <c r="X299">
        <v>4.4444444444444446</v>
      </c>
      <c r="Y299">
        <v>4.8</v>
      </c>
      <c r="Z299">
        <v>3.5</v>
      </c>
      <c r="AA299">
        <v>2</v>
      </c>
      <c r="AB299">
        <v>2.2222222222222219</v>
      </c>
      <c r="AC299">
        <v>5</v>
      </c>
      <c r="AD299">
        <v>4.1818181818181817</v>
      </c>
      <c r="AE299">
        <v>4.2</v>
      </c>
      <c r="AF299">
        <v>4.333333333333333</v>
      </c>
      <c r="AG299">
        <v>4</v>
      </c>
      <c r="AH299">
        <v>3</v>
      </c>
      <c r="AI299" s="1">
        <v>19</v>
      </c>
      <c r="AJ299" s="1" t="s">
        <v>333</v>
      </c>
      <c r="AK299" s="1" t="s">
        <v>332</v>
      </c>
      <c r="AL299" t="s">
        <v>1</v>
      </c>
      <c r="AM299" t="s">
        <v>0</v>
      </c>
      <c r="AN299">
        <v>180</v>
      </c>
      <c r="AO299">
        <v>200</v>
      </c>
      <c r="AP299">
        <v>450</v>
      </c>
      <c r="AQ299">
        <v>540</v>
      </c>
      <c r="AR299">
        <v>480</v>
      </c>
      <c r="AS299">
        <v>450</v>
      </c>
      <c r="AT299">
        <v>420</v>
      </c>
      <c r="AU299">
        <v>504</v>
      </c>
      <c r="AV299">
        <v>540</v>
      </c>
      <c r="AW299">
        <v>540</v>
      </c>
      <c r="AX299">
        <v>540</v>
      </c>
      <c r="AY299">
        <v>315</v>
      </c>
      <c r="AZ299">
        <v>180</v>
      </c>
      <c r="BA299">
        <v>200</v>
      </c>
      <c r="BB299">
        <v>360</v>
      </c>
      <c r="BC299">
        <v>396</v>
      </c>
      <c r="BD299">
        <v>390</v>
      </c>
      <c r="BE299">
        <v>450</v>
      </c>
      <c r="BF299">
        <v>400</v>
      </c>
      <c r="BG299">
        <v>432</v>
      </c>
      <c r="BH299">
        <v>315</v>
      </c>
      <c r="BI299">
        <v>180</v>
      </c>
      <c r="BJ299">
        <v>200</v>
      </c>
      <c r="BK299">
        <v>450</v>
      </c>
      <c r="BL299">
        <v>376.36363636363637</v>
      </c>
      <c r="BM299">
        <v>378</v>
      </c>
      <c r="BN299">
        <v>390</v>
      </c>
      <c r="BO299">
        <v>360</v>
      </c>
      <c r="BP299">
        <v>270</v>
      </c>
      <c r="BQ299">
        <f>(I299+J299+N299+O299)/4</f>
        <v>5.833333333333333</v>
      </c>
      <c r="BR299">
        <f>(K299+L299+M299)/3</f>
        <v>5.0888888888888895</v>
      </c>
      <c r="BS299">
        <f>BQ299/BR299</f>
        <v>1.1462882096069866</v>
      </c>
      <c r="BT299">
        <f>AQ299/I299</f>
        <v>90</v>
      </c>
      <c r="BU299" t="str">
        <f>IF(OR(A299=2, A299=12), "Central", IF(A299=3, "Semi-Central", "Periférica"))</f>
        <v>Periférica</v>
      </c>
    </row>
    <row r="300" spans="1:73" x14ac:dyDescent="0.3">
      <c r="A300" s="1">
        <v>11</v>
      </c>
      <c r="B300" s="1">
        <v>1128</v>
      </c>
      <c r="C300" s="1" t="s">
        <v>344</v>
      </c>
      <c r="D300" t="s">
        <v>1</v>
      </c>
      <c r="F300">
        <v>2</v>
      </c>
      <c r="G300">
        <v>0.22222222222222221</v>
      </c>
      <c r="H300">
        <v>4</v>
      </c>
      <c r="I300">
        <v>6</v>
      </c>
      <c r="J300">
        <v>6</v>
      </c>
      <c r="K300">
        <v>6</v>
      </c>
      <c r="L300">
        <v>6</v>
      </c>
      <c r="M300">
        <v>6</v>
      </c>
      <c r="N300">
        <v>8.5</v>
      </c>
      <c r="O300">
        <v>7</v>
      </c>
      <c r="P300">
        <v>4.666666666666667</v>
      </c>
      <c r="Q300">
        <v>4</v>
      </c>
      <c r="R300">
        <v>2</v>
      </c>
      <c r="S300">
        <v>0.22222222222222221</v>
      </c>
      <c r="T300">
        <v>4</v>
      </c>
      <c r="U300">
        <v>6.4</v>
      </c>
      <c r="V300">
        <v>7</v>
      </c>
      <c r="W300">
        <v>5.333333333333333</v>
      </c>
      <c r="X300">
        <v>5.1111111111111107</v>
      </c>
      <c r="Y300">
        <v>3.2</v>
      </c>
      <c r="Z300">
        <v>3</v>
      </c>
      <c r="AA300">
        <v>2</v>
      </c>
      <c r="AB300">
        <v>0</v>
      </c>
      <c r="AC300">
        <v>2.5</v>
      </c>
      <c r="AD300">
        <v>4.5454545454545459</v>
      </c>
      <c r="AE300">
        <v>5</v>
      </c>
      <c r="AF300">
        <v>4.333333333333333</v>
      </c>
      <c r="AG300">
        <v>3</v>
      </c>
      <c r="AH300">
        <v>3</v>
      </c>
      <c r="AI300" s="1">
        <v>11</v>
      </c>
      <c r="AJ300" s="1">
        <v>1128</v>
      </c>
      <c r="AK300" s="1" t="s">
        <v>344</v>
      </c>
      <c r="AL300" t="s">
        <v>1</v>
      </c>
      <c r="AN300">
        <v>180</v>
      </c>
      <c r="AO300">
        <v>20</v>
      </c>
      <c r="AP300">
        <v>360</v>
      </c>
      <c r="AQ300">
        <v>540</v>
      </c>
      <c r="AR300">
        <v>540</v>
      </c>
      <c r="AS300">
        <v>540</v>
      </c>
      <c r="AT300">
        <v>540</v>
      </c>
      <c r="AU300">
        <v>540</v>
      </c>
      <c r="AV300">
        <v>765</v>
      </c>
      <c r="AW300">
        <v>630</v>
      </c>
      <c r="AX300">
        <v>420</v>
      </c>
      <c r="AY300">
        <v>360</v>
      </c>
      <c r="AZ300">
        <v>180</v>
      </c>
      <c r="BA300">
        <v>20</v>
      </c>
      <c r="BB300">
        <v>360</v>
      </c>
      <c r="BC300">
        <v>576</v>
      </c>
      <c r="BD300">
        <v>630</v>
      </c>
      <c r="BE300">
        <v>480</v>
      </c>
      <c r="BF300">
        <v>460</v>
      </c>
      <c r="BG300">
        <v>288</v>
      </c>
      <c r="BH300">
        <v>270</v>
      </c>
      <c r="BI300">
        <v>180</v>
      </c>
      <c r="BJ300">
        <v>0</v>
      </c>
      <c r="BK300">
        <v>225</v>
      </c>
      <c r="BL300">
        <v>409.09090909090912</v>
      </c>
      <c r="BM300">
        <v>450</v>
      </c>
      <c r="BN300">
        <v>390</v>
      </c>
      <c r="BO300">
        <v>270</v>
      </c>
      <c r="BP300">
        <v>270</v>
      </c>
      <c r="BQ300">
        <f>(I300+J300+N300+O300)/4</f>
        <v>6.875</v>
      </c>
      <c r="BR300">
        <f>(K300+L300+M300)/3</f>
        <v>6</v>
      </c>
      <c r="BS300">
        <f>BQ300/BR300</f>
        <v>1.1458333333333333</v>
      </c>
      <c r="BT300">
        <f>AQ300/I300</f>
        <v>90</v>
      </c>
      <c r="BU300" t="str">
        <f>IF(OR(A300=2, A300=12), "Central", IF(A300=3, "Semi-Central", "Periférica"))</f>
        <v>Periférica</v>
      </c>
    </row>
    <row r="301" spans="1:73" x14ac:dyDescent="0.3">
      <c r="A301" s="1">
        <v>4</v>
      </c>
      <c r="B301" s="1">
        <v>478</v>
      </c>
      <c r="C301" s="1" t="s">
        <v>321</v>
      </c>
      <c r="D301" t="s">
        <v>1</v>
      </c>
      <c r="E301" t="s">
        <v>0</v>
      </c>
      <c r="F301">
        <v>0</v>
      </c>
      <c r="G301">
        <v>0</v>
      </c>
      <c r="H301">
        <v>5</v>
      </c>
      <c r="I301">
        <v>6</v>
      </c>
      <c r="J301">
        <v>4.666666666666667</v>
      </c>
      <c r="K301">
        <v>4.666666666666667</v>
      </c>
      <c r="L301">
        <v>4.666666666666667</v>
      </c>
      <c r="M301">
        <v>5.2</v>
      </c>
      <c r="N301">
        <v>5.5</v>
      </c>
      <c r="O301">
        <v>6</v>
      </c>
      <c r="P301">
        <v>5.333333333333333</v>
      </c>
      <c r="Q301">
        <v>3.5</v>
      </c>
      <c r="R301">
        <v>0</v>
      </c>
      <c r="S301">
        <v>0</v>
      </c>
      <c r="T301">
        <v>3</v>
      </c>
      <c r="U301">
        <v>5.2</v>
      </c>
      <c r="V301">
        <v>5</v>
      </c>
      <c r="W301">
        <v>5</v>
      </c>
      <c r="X301">
        <v>4.8888888888888893</v>
      </c>
      <c r="Y301">
        <v>3.6</v>
      </c>
      <c r="Z301">
        <v>3</v>
      </c>
      <c r="AA301">
        <v>0</v>
      </c>
      <c r="AB301">
        <v>0</v>
      </c>
      <c r="AC301">
        <v>3</v>
      </c>
      <c r="AD301">
        <v>4.7272727272727275</v>
      </c>
      <c r="AE301">
        <v>4.5999999999999996</v>
      </c>
      <c r="AF301">
        <v>4.666666666666667</v>
      </c>
      <c r="AG301">
        <v>4</v>
      </c>
      <c r="AH301">
        <v>3</v>
      </c>
      <c r="AI301" s="1">
        <v>4</v>
      </c>
      <c r="AJ301" s="1">
        <v>478</v>
      </c>
      <c r="AK301" s="1" t="s">
        <v>321</v>
      </c>
      <c r="AL301" t="s">
        <v>1</v>
      </c>
      <c r="AM301" t="s">
        <v>0</v>
      </c>
      <c r="AN301">
        <v>0</v>
      </c>
      <c r="AO301">
        <v>0</v>
      </c>
      <c r="AP301">
        <v>380</v>
      </c>
      <c r="AQ301">
        <v>456</v>
      </c>
      <c r="AR301">
        <v>354.66666666666669</v>
      </c>
      <c r="AS301">
        <v>354.66666666666669</v>
      </c>
      <c r="AT301">
        <v>354.66666666666669</v>
      </c>
      <c r="AU301">
        <v>395.2</v>
      </c>
      <c r="AV301">
        <v>418</v>
      </c>
      <c r="AW301">
        <v>456</v>
      </c>
      <c r="AX301">
        <v>405.33333333333331</v>
      </c>
      <c r="AY301">
        <v>266</v>
      </c>
      <c r="AZ301">
        <v>0</v>
      </c>
      <c r="BA301">
        <v>0</v>
      </c>
      <c r="BB301">
        <v>228</v>
      </c>
      <c r="BC301">
        <v>395.2</v>
      </c>
      <c r="BD301">
        <v>380</v>
      </c>
      <c r="BE301">
        <v>380</v>
      </c>
      <c r="BF301">
        <v>371.55555555555554</v>
      </c>
      <c r="BG301">
        <v>273.60000000000002</v>
      </c>
      <c r="BH301">
        <v>228</v>
      </c>
      <c r="BI301">
        <v>0</v>
      </c>
      <c r="BJ301">
        <v>0</v>
      </c>
      <c r="BK301">
        <v>228</v>
      </c>
      <c r="BL301">
        <v>359.27272727272725</v>
      </c>
      <c r="BM301">
        <v>349.6</v>
      </c>
      <c r="BN301">
        <v>354.66666666666669</v>
      </c>
      <c r="BO301">
        <v>304</v>
      </c>
      <c r="BP301">
        <v>228</v>
      </c>
      <c r="BQ301">
        <f>(I301+J301+N301+O301)/4</f>
        <v>5.541666666666667</v>
      </c>
      <c r="BR301">
        <f>(K301+L301+M301)/3</f>
        <v>4.844444444444445</v>
      </c>
      <c r="BS301">
        <f>BQ301/BR301</f>
        <v>1.1439220183486238</v>
      </c>
      <c r="BT301">
        <f>AQ301/I301</f>
        <v>76</v>
      </c>
      <c r="BU301" t="str">
        <f>IF(OR(A301=2, A301=12), "Central", IF(A301=3, "Semi-Central", "Periférica"))</f>
        <v>Periférica</v>
      </c>
    </row>
    <row r="302" spans="1:73" x14ac:dyDescent="0.3">
      <c r="A302" s="1">
        <v>18</v>
      </c>
      <c r="B302" s="1">
        <v>1841</v>
      </c>
      <c r="C302" s="1">
        <v>301</v>
      </c>
      <c r="D302" t="s">
        <v>1</v>
      </c>
      <c r="E302" t="s">
        <v>0</v>
      </c>
      <c r="F302">
        <v>3</v>
      </c>
      <c r="G302">
        <v>4</v>
      </c>
      <c r="H302">
        <v>16</v>
      </c>
      <c r="I302">
        <v>14.66666666666667</v>
      </c>
      <c r="J302">
        <v>12.66666666666667</v>
      </c>
      <c r="K302">
        <v>11</v>
      </c>
      <c r="L302">
        <v>10.66666666666667</v>
      </c>
      <c r="M302">
        <v>12</v>
      </c>
      <c r="N302">
        <v>12</v>
      </c>
      <c r="O302">
        <v>12</v>
      </c>
      <c r="P302">
        <v>11.33333333333333</v>
      </c>
      <c r="Q302">
        <v>7</v>
      </c>
      <c r="R302">
        <v>3</v>
      </c>
      <c r="S302">
        <v>2</v>
      </c>
      <c r="T302">
        <v>10</v>
      </c>
      <c r="U302">
        <v>9.1999999999999993</v>
      </c>
      <c r="V302">
        <v>7</v>
      </c>
      <c r="W302">
        <v>6.666666666666667</v>
      </c>
      <c r="X302">
        <v>5.1111111111111107</v>
      </c>
      <c r="Y302">
        <v>5.6</v>
      </c>
      <c r="Z302">
        <v>4.5</v>
      </c>
      <c r="AA302">
        <v>3</v>
      </c>
      <c r="AB302">
        <v>2</v>
      </c>
      <c r="AC302">
        <v>5</v>
      </c>
      <c r="AD302">
        <v>5.0909090909090908</v>
      </c>
      <c r="AE302">
        <v>5</v>
      </c>
      <c r="AF302">
        <v>5</v>
      </c>
      <c r="AG302">
        <v>5</v>
      </c>
      <c r="AH302">
        <v>4</v>
      </c>
      <c r="AI302" s="1">
        <v>18</v>
      </c>
      <c r="AJ302" s="1">
        <v>1841</v>
      </c>
      <c r="AK302" s="1">
        <v>301</v>
      </c>
      <c r="AL302" t="s">
        <v>1</v>
      </c>
      <c r="AM302" t="s">
        <v>0</v>
      </c>
      <c r="AN302">
        <v>270</v>
      </c>
      <c r="AO302">
        <v>360</v>
      </c>
      <c r="AP302">
        <v>1440</v>
      </c>
      <c r="AQ302">
        <v>1320</v>
      </c>
      <c r="AR302">
        <v>1140</v>
      </c>
      <c r="AS302">
        <v>990</v>
      </c>
      <c r="AT302">
        <v>960</v>
      </c>
      <c r="AU302">
        <v>1080</v>
      </c>
      <c r="AV302">
        <v>1080</v>
      </c>
      <c r="AW302">
        <v>1080</v>
      </c>
      <c r="AX302">
        <v>1020</v>
      </c>
      <c r="AY302">
        <v>630</v>
      </c>
      <c r="AZ302">
        <v>270</v>
      </c>
      <c r="BA302">
        <v>180</v>
      </c>
      <c r="BB302">
        <v>900</v>
      </c>
      <c r="BC302">
        <v>828</v>
      </c>
      <c r="BD302">
        <v>630</v>
      </c>
      <c r="BE302">
        <v>600</v>
      </c>
      <c r="BF302">
        <v>460</v>
      </c>
      <c r="BG302">
        <v>504</v>
      </c>
      <c r="BH302">
        <v>405</v>
      </c>
      <c r="BI302">
        <v>270</v>
      </c>
      <c r="BJ302">
        <v>180</v>
      </c>
      <c r="BK302">
        <v>450</v>
      </c>
      <c r="BL302">
        <v>458.18181818181819</v>
      </c>
      <c r="BM302">
        <v>450</v>
      </c>
      <c r="BN302">
        <v>450</v>
      </c>
      <c r="BO302">
        <v>450</v>
      </c>
      <c r="BP302">
        <v>360</v>
      </c>
      <c r="BQ302">
        <f>(I302+J302+N302+O302)/4</f>
        <v>12.833333333333336</v>
      </c>
      <c r="BR302">
        <f>(K302+L302+M302)/3</f>
        <v>11.222222222222223</v>
      </c>
      <c r="BS302">
        <f>BQ302/BR302</f>
        <v>1.1435643564356437</v>
      </c>
      <c r="BT302">
        <f>AQ302/I302</f>
        <v>89.999999999999986</v>
      </c>
      <c r="BU302" t="str">
        <f>IF(OR(A302=2, A302=12), "Central", IF(A302=3, "Semi-Central", "Periférica"))</f>
        <v>Periférica</v>
      </c>
    </row>
    <row r="303" spans="1:73" x14ac:dyDescent="0.3">
      <c r="A303" s="1">
        <v>16</v>
      </c>
      <c r="B303" s="1">
        <v>1635</v>
      </c>
      <c r="C303" s="1" t="s">
        <v>343</v>
      </c>
      <c r="D303" t="s">
        <v>1</v>
      </c>
      <c r="E303" t="s">
        <v>0</v>
      </c>
      <c r="F303">
        <v>0</v>
      </c>
      <c r="G303">
        <v>0</v>
      </c>
      <c r="H303">
        <v>5</v>
      </c>
      <c r="I303">
        <v>6</v>
      </c>
      <c r="J303">
        <v>4.666666666666667</v>
      </c>
      <c r="K303">
        <v>4</v>
      </c>
      <c r="L303">
        <v>6</v>
      </c>
      <c r="M303">
        <v>5.2</v>
      </c>
      <c r="N303">
        <v>7</v>
      </c>
      <c r="O303">
        <v>5.5</v>
      </c>
      <c r="P303">
        <v>4</v>
      </c>
      <c r="Q303">
        <v>3</v>
      </c>
      <c r="R303">
        <v>0</v>
      </c>
      <c r="S303">
        <v>0</v>
      </c>
      <c r="T303">
        <v>2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2.5</v>
      </c>
      <c r="AA303">
        <v>0</v>
      </c>
      <c r="AB303">
        <v>0</v>
      </c>
      <c r="AC303">
        <v>2</v>
      </c>
      <c r="AD303">
        <v>4</v>
      </c>
      <c r="AE303">
        <v>4</v>
      </c>
      <c r="AF303">
        <v>4</v>
      </c>
      <c r="AG303">
        <v>4</v>
      </c>
      <c r="AH303">
        <v>2.5</v>
      </c>
      <c r="AI303" s="1">
        <v>16</v>
      </c>
      <c r="AJ303" s="1">
        <v>1635</v>
      </c>
      <c r="AK303" s="1" t="s">
        <v>343</v>
      </c>
      <c r="AL303" t="s">
        <v>1</v>
      </c>
      <c r="AM303" t="s">
        <v>0</v>
      </c>
      <c r="AN303">
        <v>0</v>
      </c>
      <c r="AO303">
        <v>0</v>
      </c>
      <c r="AP303">
        <v>300</v>
      </c>
      <c r="AQ303">
        <v>360</v>
      </c>
      <c r="AR303">
        <v>280</v>
      </c>
      <c r="AS303">
        <v>240</v>
      </c>
      <c r="AT303">
        <v>360</v>
      </c>
      <c r="AU303">
        <v>312</v>
      </c>
      <c r="AV303">
        <v>420</v>
      </c>
      <c r="AW303">
        <v>330</v>
      </c>
      <c r="AX303">
        <v>240</v>
      </c>
      <c r="AY303">
        <v>180</v>
      </c>
      <c r="AZ303">
        <v>0</v>
      </c>
      <c r="BA303">
        <v>0</v>
      </c>
      <c r="BB303">
        <v>120</v>
      </c>
      <c r="BC303">
        <v>240</v>
      </c>
      <c r="BD303">
        <v>240</v>
      </c>
      <c r="BE303">
        <v>240</v>
      </c>
      <c r="BF303">
        <v>240</v>
      </c>
      <c r="BG303">
        <v>240</v>
      </c>
      <c r="BH303">
        <v>150</v>
      </c>
      <c r="BI303">
        <v>0</v>
      </c>
      <c r="BJ303">
        <v>0</v>
      </c>
      <c r="BK303">
        <v>120</v>
      </c>
      <c r="BL303">
        <v>240</v>
      </c>
      <c r="BM303">
        <v>240</v>
      </c>
      <c r="BN303">
        <v>240</v>
      </c>
      <c r="BO303">
        <v>240</v>
      </c>
      <c r="BP303">
        <v>150</v>
      </c>
      <c r="BQ303">
        <f>(I303+J303+N303+O303)/4</f>
        <v>5.791666666666667</v>
      </c>
      <c r="BR303">
        <f>(K303+L303+M303)/3</f>
        <v>5.0666666666666664</v>
      </c>
      <c r="BS303">
        <f>BQ303/BR303</f>
        <v>1.143092105263158</v>
      </c>
      <c r="BT303">
        <f>AQ303/I303</f>
        <v>60</v>
      </c>
      <c r="BU303" t="str">
        <f>IF(OR(A303=2, A303=12), "Central", IF(A303=3, "Semi-Central", "Periférica"))</f>
        <v>Periférica</v>
      </c>
    </row>
    <row r="304" spans="1:73" x14ac:dyDescent="0.3">
      <c r="A304" s="1">
        <v>12</v>
      </c>
      <c r="B304" s="1">
        <v>1210</v>
      </c>
      <c r="C304" s="1" t="s">
        <v>311</v>
      </c>
      <c r="D304" t="s">
        <v>1</v>
      </c>
      <c r="E304" t="s">
        <v>0</v>
      </c>
      <c r="F304">
        <v>0</v>
      </c>
      <c r="G304">
        <v>0</v>
      </c>
      <c r="H304">
        <v>5</v>
      </c>
      <c r="I304">
        <v>5.333333333333333</v>
      </c>
      <c r="J304">
        <v>4.666666666666667</v>
      </c>
      <c r="K304">
        <v>4.333333333333333</v>
      </c>
      <c r="L304">
        <v>4</v>
      </c>
      <c r="M304">
        <v>4.8</v>
      </c>
      <c r="N304">
        <v>5</v>
      </c>
      <c r="O304">
        <v>5</v>
      </c>
      <c r="P304">
        <v>4.666666666666667</v>
      </c>
      <c r="Q304">
        <v>3.5</v>
      </c>
      <c r="R304">
        <v>0</v>
      </c>
      <c r="S304">
        <v>0</v>
      </c>
      <c r="T304">
        <v>2</v>
      </c>
      <c r="U304">
        <v>3.6</v>
      </c>
      <c r="V304">
        <v>4</v>
      </c>
      <c r="W304">
        <v>4.333333333333333</v>
      </c>
      <c r="X304">
        <v>4.2222222222222223</v>
      </c>
      <c r="Y304">
        <v>2.8</v>
      </c>
      <c r="Z304">
        <v>3.5</v>
      </c>
      <c r="AA304">
        <v>0</v>
      </c>
      <c r="AB304">
        <v>0</v>
      </c>
      <c r="AC304">
        <v>2.5</v>
      </c>
      <c r="AD304">
        <v>2.7272727272727271</v>
      </c>
      <c r="AE304">
        <v>3</v>
      </c>
      <c r="AF304">
        <v>2.666666666666667</v>
      </c>
      <c r="AG304">
        <v>3</v>
      </c>
      <c r="AH304">
        <v>3</v>
      </c>
      <c r="AI304" s="1">
        <v>12</v>
      </c>
      <c r="AJ304" s="1">
        <v>1210</v>
      </c>
      <c r="AK304" s="1" t="s">
        <v>311</v>
      </c>
      <c r="AL304" t="s">
        <v>1</v>
      </c>
      <c r="AM304" t="s">
        <v>0</v>
      </c>
      <c r="AN304">
        <v>0</v>
      </c>
      <c r="AO304">
        <v>0</v>
      </c>
      <c r="AP304">
        <v>450</v>
      </c>
      <c r="AQ304">
        <v>480</v>
      </c>
      <c r="AR304">
        <v>420</v>
      </c>
      <c r="AS304">
        <v>390</v>
      </c>
      <c r="AT304">
        <v>360</v>
      </c>
      <c r="AU304">
        <v>432</v>
      </c>
      <c r="AV304">
        <v>450</v>
      </c>
      <c r="AW304">
        <v>450</v>
      </c>
      <c r="AX304">
        <v>420</v>
      </c>
      <c r="AY304">
        <v>315</v>
      </c>
      <c r="AZ304">
        <v>0</v>
      </c>
      <c r="BA304">
        <v>0</v>
      </c>
      <c r="BB304">
        <v>180</v>
      </c>
      <c r="BC304">
        <v>324</v>
      </c>
      <c r="BD304">
        <v>360</v>
      </c>
      <c r="BE304">
        <v>390</v>
      </c>
      <c r="BF304">
        <v>380</v>
      </c>
      <c r="BG304">
        <v>252</v>
      </c>
      <c r="BH304">
        <v>315</v>
      </c>
      <c r="BI304">
        <v>0</v>
      </c>
      <c r="BJ304">
        <v>0</v>
      </c>
      <c r="BK304">
        <v>225</v>
      </c>
      <c r="BL304">
        <v>245.4545454545455</v>
      </c>
      <c r="BM304">
        <v>270</v>
      </c>
      <c r="BN304">
        <v>240</v>
      </c>
      <c r="BO304">
        <v>270</v>
      </c>
      <c r="BP304">
        <v>270</v>
      </c>
      <c r="BQ304">
        <f>(I304+J304+N304+O304)/4</f>
        <v>5</v>
      </c>
      <c r="BR304">
        <f>(K304+L304+M304)/3</f>
        <v>4.3777777777777773</v>
      </c>
      <c r="BS304">
        <f>BQ304/BR304</f>
        <v>1.1421319796954317</v>
      </c>
      <c r="BT304">
        <f>AQ304/I304</f>
        <v>90</v>
      </c>
      <c r="BU304" t="str">
        <f>IF(OR(A304=2, A304=12), "Central", IF(A304=3, "Semi-Central", "Periférica"))</f>
        <v>Central</v>
      </c>
    </row>
    <row r="305" spans="1:73" x14ac:dyDescent="0.3">
      <c r="A305" s="1">
        <v>12</v>
      </c>
      <c r="B305" s="1" t="s">
        <v>313</v>
      </c>
      <c r="C305" s="1" t="s">
        <v>312</v>
      </c>
      <c r="D305" t="s">
        <v>5</v>
      </c>
      <c r="E305" t="s">
        <v>0</v>
      </c>
      <c r="F305">
        <v>0</v>
      </c>
      <c r="G305">
        <v>0</v>
      </c>
      <c r="H305">
        <v>4</v>
      </c>
      <c r="I305">
        <v>12</v>
      </c>
      <c r="J305">
        <v>10</v>
      </c>
      <c r="K305">
        <v>8</v>
      </c>
      <c r="L305">
        <v>8</v>
      </c>
      <c r="M305">
        <v>8</v>
      </c>
      <c r="N305">
        <v>8</v>
      </c>
      <c r="O305">
        <v>6.5</v>
      </c>
      <c r="P305">
        <v>6.666666666666667</v>
      </c>
      <c r="Q305">
        <v>3.5</v>
      </c>
      <c r="R305">
        <v>0</v>
      </c>
      <c r="S305">
        <v>0</v>
      </c>
      <c r="T305">
        <v>4</v>
      </c>
      <c r="U305">
        <v>7.2</v>
      </c>
      <c r="V305">
        <v>7</v>
      </c>
      <c r="W305">
        <v>7</v>
      </c>
      <c r="X305">
        <v>5.7777777777777777</v>
      </c>
      <c r="Y305">
        <v>3.6</v>
      </c>
      <c r="Z305">
        <v>3.5</v>
      </c>
      <c r="AA305">
        <v>0</v>
      </c>
      <c r="AB305">
        <v>0</v>
      </c>
      <c r="AC305">
        <v>3.5</v>
      </c>
      <c r="AD305">
        <v>5.8181818181818183</v>
      </c>
      <c r="AE305">
        <v>6</v>
      </c>
      <c r="AF305">
        <v>5</v>
      </c>
      <c r="AG305">
        <v>3</v>
      </c>
      <c r="AH305">
        <v>3.5</v>
      </c>
      <c r="AI305" s="1">
        <v>12</v>
      </c>
      <c r="AJ305" s="1" t="s">
        <v>313</v>
      </c>
      <c r="AK305" s="1" t="s">
        <v>312</v>
      </c>
      <c r="AL305" t="s">
        <v>5</v>
      </c>
      <c r="AM305" t="s">
        <v>0</v>
      </c>
      <c r="AN305">
        <v>0</v>
      </c>
      <c r="AO305">
        <v>0</v>
      </c>
      <c r="AP305">
        <v>360</v>
      </c>
      <c r="AQ305">
        <v>1080</v>
      </c>
      <c r="AR305">
        <v>900</v>
      </c>
      <c r="AS305">
        <v>720</v>
      </c>
      <c r="AT305">
        <v>720</v>
      </c>
      <c r="AU305">
        <v>720</v>
      </c>
      <c r="AV305">
        <v>720</v>
      </c>
      <c r="AW305">
        <v>585</v>
      </c>
      <c r="AX305">
        <v>600</v>
      </c>
      <c r="AY305">
        <v>315</v>
      </c>
      <c r="AZ305">
        <v>0</v>
      </c>
      <c r="BA305">
        <v>0</v>
      </c>
      <c r="BB305">
        <v>360</v>
      </c>
      <c r="BC305">
        <v>648</v>
      </c>
      <c r="BD305">
        <v>630</v>
      </c>
      <c r="BE305">
        <v>630</v>
      </c>
      <c r="BF305">
        <v>520</v>
      </c>
      <c r="BG305">
        <v>324</v>
      </c>
      <c r="BH305">
        <v>315</v>
      </c>
      <c r="BI305">
        <v>0</v>
      </c>
      <c r="BJ305">
        <v>0</v>
      </c>
      <c r="BK305">
        <v>315</v>
      </c>
      <c r="BL305">
        <v>523.63636363636363</v>
      </c>
      <c r="BM305">
        <v>540</v>
      </c>
      <c r="BN305">
        <v>450</v>
      </c>
      <c r="BO305">
        <v>270</v>
      </c>
      <c r="BP305">
        <v>315</v>
      </c>
      <c r="BQ305">
        <f>(I305+J305+N305+O305)/4</f>
        <v>9.125</v>
      </c>
      <c r="BR305">
        <f>(K305+L305+M305)/3</f>
        <v>8</v>
      </c>
      <c r="BS305">
        <f>BQ305/BR305</f>
        <v>1.140625</v>
      </c>
      <c r="BT305">
        <f>AQ305/I305</f>
        <v>90</v>
      </c>
      <c r="BU305" t="str">
        <f>IF(OR(A305=2, A305=12), "Central", IF(A305=3, "Semi-Central", "Periférica"))</f>
        <v>Central</v>
      </c>
    </row>
    <row r="306" spans="1:73" x14ac:dyDescent="0.3">
      <c r="A306" s="1">
        <v>18</v>
      </c>
      <c r="B306" s="1">
        <v>1871</v>
      </c>
      <c r="C306" s="1">
        <v>271</v>
      </c>
      <c r="D306" t="s">
        <v>5</v>
      </c>
      <c r="E306" t="s">
        <v>0</v>
      </c>
      <c r="F306">
        <v>0</v>
      </c>
      <c r="G306">
        <v>0</v>
      </c>
      <c r="H306">
        <v>3</v>
      </c>
      <c r="I306">
        <v>7.333333333333333</v>
      </c>
      <c r="J306">
        <v>6</v>
      </c>
      <c r="K306">
        <v>6</v>
      </c>
      <c r="L306">
        <v>6</v>
      </c>
      <c r="M306">
        <v>4</v>
      </c>
      <c r="N306">
        <v>5</v>
      </c>
      <c r="O306">
        <v>6</v>
      </c>
      <c r="P306">
        <v>6</v>
      </c>
      <c r="Q306">
        <v>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s="1">
        <v>18</v>
      </c>
      <c r="AJ306" s="1">
        <v>1871</v>
      </c>
      <c r="AK306" s="1">
        <v>271</v>
      </c>
      <c r="AL306" t="s">
        <v>5</v>
      </c>
      <c r="AM306" t="s">
        <v>0</v>
      </c>
      <c r="AN306">
        <v>0</v>
      </c>
      <c r="AO306">
        <v>0</v>
      </c>
      <c r="AP306">
        <v>270</v>
      </c>
      <c r="AQ306">
        <v>660</v>
      </c>
      <c r="AR306">
        <v>540</v>
      </c>
      <c r="AS306">
        <v>540</v>
      </c>
      <c r="AT306">
        <v>540</v>
      </c>
      <c r="AU306">
        <v>360</v>
      </c>
      <c r="AV306">
        <v>450</v>
      </c>
      <c r="AW306">
        <v>540</v>
      </c>
      <c r="AX306">
        <v>540</v>
      </c>
      <c r="AY306">
        <v>180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f>(I306+J306+N306+O306)/4</f>
        <v>6.083333333333333</v>
      </c>
      <c r="BR306">
        <f>(K306+L306+M306)/3</f>
        <v>5.333333333333333</v>
      </c>
      <c r="BS306">
        <f>BQ306/BR306</f>
        <v>1.140625</v>
      </c>
      <c r="BT306">
        <f>AQ306/I306</f>
        <v>90</v>
      </c>
      <c r="BU306" t="str">
        <f>IF(OR(A306=2, A306=12), "Central", IF(A306=3, "Semi-Central", "Periférica"))</f>
        <v>Periférica</v>
      </c>
    </row>
    <row r="307" spans="1:73" x14ac:dyDescent="0.3">
      <c r="A307" s="1">
        <v>15</v>
      </c>
      <c r="B307" s="1">
        <v>1517</v>
      </c>
      <c r="C307" s="1">
        <v>517</v>
      </c>
      <c r="D307" t="s">
        <v>5</v>
      </c>
      <c r="E307" t="s">
        <v>0</v>
      </c>
      <c r="F307">
        <v>0</v>
      </c>
      <c r="G307">
        <v>0</v>
      </c>
      <c r="H307">
        <v>2</v>
      </c>
      <c r="I307">
        <v>5.333333333333333</v>
      </c>
      <c r="J307">
        <v>4</v>
      </c>
      <c r="K307">
        <v>4</v>
      </c>
      <c r="L307">
        <v>4</v>
      </c>
      <c r="M307">
        <v>4.4000000000000004</v>
      </c>
      <c r="N307">
        <v>5.5</v>
      </c>
      <c r="O307">
        <v>4</v>
      </c>
      <c r="P307">
        <v>2</v>
      </c>
      <c r="Q307">
        <v>1</v>
      </c>
      <c r="R307">
        <v>0</v>
      </c>
      <c r="S307">
        <v>0</v>
      </c>
      <c r="T307">
        <v>2</v>
      </c>
      <c r="U307">
        <v>4.4000000000000004</v>
      </c>
      <c r="V307">
        <v>3.666666666666667</v>
      </c>
      <c r="W307">
        <v>3.333333333333333</v>
      </c>
      <c r="X307">
        <v>3.1111111111111112</v>
      </c>
      <c r="Y307">
        <v>2</v>
      </c>
      <c r="Z307">
        <v>1</v>
      </c>
      <c r="AA307">
        <v>0</v>
      </c>
      <c r="AB307">
        <v>0</v>
      </c>
      <c r="AC307">
        <v>1</v>
      </c>
      <c r="AD307">
        <v>3.0909090909090908</v>
      </c>
      <c r="AE307">
        <v>3</v>
      </c>
      <c r="AF307">
        <v>2.666666666666667</v>
      </c>
      <c r="AG307">
        <v>2</v>
      </c>
      <c r="AH307">
        <v>1</v>
      </c>
      <c r="AI307" s="1">
        <v>15</v>
      </c>
      <c r="AJ307" s="1">
        <v>1517</v>
      </c>
      <c r="AK307" s="1">
        <v>517</v>
      </c>
      <c r="AL307" t="s">
        <v>5</v>
      </c>
      <c r="AM307" t="s">
        <v>0</v>
      </c>
      <c r="AN307">
        <v>0</v>
      </c>
      <c r="AO307">
        <v>0</v>
      </c>
      <c r="AP307">
        <v>180</v>
      </c>
      <c r="AQ307">
        <v>480</v>
      </c>
      <c r="AR307">
        <v>360</v>
      </c>
      <c r="AS307">
        <v>360</v>
      </c>
      <c r="AT307">
        <v>360</v>
      </c>
      <c r="AU307">
        <v>396</v>
      </c>
      <c r="AV307">
        <v>495</v>
      </c>
      <c r="AW307">
        <v>360</v>
      </c>
      <c r="AX307">
        <v>180</v>
      </c>
      <c r="AY307">
        <v>90</v>
      </c>
      <c r="AZ307">
        <v>0</v>
      </c>
      <c r="BA307">
        <v>0</v>
      </c>
      <c r="BB307">
        <v>180</v>
      </c>
      <c r="BC307">
        <v>396</v>
      </c>
      <c r="BD307">
        <v>330</v>
      </c>
      <c r="BE307">
        <v>300</v>
      </c>
      <c r="BF307">
        <v>280</v>
      </c>
      <c r="BG307">
        <v>180</v>
      </c>
      <c r="BH307">
        <v>90</v>
      </c>
      <c r="BI307">
        <v>0</v>
      </c>
      <c r="BJ307">
        <v>0</v>
      </c>
      <c r="BK307">
        <v>90</v>
      </c>
      <c r="BL307">
        <v>278.18181818181819</v>
      </c>
      <c r="BM307">
        <v>270</v>
      </c>
      <c r="BN307">
        <v>240</v>
      </c>
      <c r="BO307">
        <v>180</v>
      </c>
      <c r="BP307">
        <v>90</v>
      </c>
      <c r="BQ307">
        <f>(I307+J307+N307+O307)/4</f>
        <v>4.708333333333333</v>
      </c>
      <c r="BR307">
        <f>(K307+L307+M307)/3</f>
        <v>4.1333333333333337</v>
      </c>
      <c r="BS307">
        <f>BQ307/BR307</f>
        <v>1.1391129032258063</v>
      </c>
      <c r="BT307">
        <f>AQ307/I307</f>
        <v>90</v>
      </c>
      <c r="BU307" t="str">
        <f>IF(OR(A307=2, A307=12), "Central", IF(A307=3, "Semi-Central", "Periférica"))</f>
        <v>Periférica</v>
      </c>
    </row>
    <row r="308" spans="1:73" x14ac:dyDescent="0.3">
      <c r="A308" s="1">
        <v>15</v>
      </c>
      <c r="B308" s="1">
        <v>1508</v>
      </c>
      <c r="C308" s="1">
        <v>408</v>
      </c>
      <c r="D308" t="s">
        <v>1</v>
      </c>
      <c r="E308" t="s">
        <v>0</v>
      </c>
      <c r="F308">
        <v>2</v>
      </c>
      <c r="G308">
        <v>0</v>
      </c>
      <c r="H308">
        <v>4</v>
      </c>
      <c r="I308">
        <v>7.333333333333333</v>
      </c>
      <c r="J308">
        <v>5.333333333333333</v>
      </c>
      <c r="K308">
        <v>6</v>
      </c>
      <c r="L308">
        <v>6.666666666666667</v>
      </c>
      <c r="M308">
        <v>7.2</v>
      </c>
      <c r="N308">
        <v>8.5</v>
      </c>
      <c r="O308">
        <v>9</v>
      </c>
      <c r="P308">
        <v>6.666666666666667</v>
      </c>
      <c r="Q308">
        <v>4.5</v>
      </c>
      <c r="R308">
        <v>2</v>
      </c>
      <c r="S308">
        <v>0</v>
      </c>
      <c r="T308">
        <v>3</v>
      </c>
      <c r="U308">
        <v>3.6</v>
      </c>
      <c r="V308">
        <v>3.666666666666667</v>
      </c>
      <c r="W308">
        <v>4.666666666666667</v>
      </c>
      <c r="X308">
        <v>4.666666666666667</v>
      </c>
      <c r="Y308">
        <v>4.4000000000000004</v>
      </c>
      <c r="Z308">
        <v>3</v>
      </c>
      <c r="AA308">
        <v>2</v>
      </c>
      <c r="AB308">
        <v>0</v>
      </c>
      <c r="AC308">
        <v>3</v>
      </c>
      <c r="AD308">
        <v>3.6363636363636358</v>
      </c>
      <c r="AE308">
        <v>3.4</v>
      </c>
      <c r="AF308">
        <v>4</v>
      </c>
      <c r="AG308">
        <v>4</v>
      </c>
      <c r="AH308">
        <v>3</v>
      </c>
      <c r="AI308" s="1">
        <v>15</v>
      </c>
      <c r="AJ308" s="1">
        <v>1508</v>
      </c>
      <c r="AK308" s="1">
        <v>408</v>
      </c>
      <c r="AL308" t="s">
        <v>1</v>
      </c>
      <c r="AM308" t="s">
        <v>0</v>
      </c>
      <c r="AN308">
        <v>300</v>
      </c>
      <c r="AO308">
        <v>0</v>
      </c>
      <c r="AP308">
        <v>600</v>
      </c>
      <c r="AQ308">
        <v>1100</v>
      </c>
      <c r="AR308">
        <v>800</v>
      </c>
      <c r="AS308">
        <v>900</v>
      </c>
      <c r="AT308">
        <v>1000</v>
      </c>
      <c r="AU308">
        <v>1080</v>
      </c>
      <c r="AV308">
        <v>1275</v>
      </c>
      <c r="AW308">
        <v>1350</v>
      </c>
      <c r="AX308">
        <v>1000</v>
      </c>
      <c r="AY308">
        <v>675</v>
      </c>
      <c r="AZ308">
        <v>300</v>
      </c>
      <c r="BA308">
        <v>0</v>
      </c>
      <c r="BB308">
        <v>450</v>
      </c>
      <c r="BC308">
        <v>540</v>
      </c>
      <c r="BD308">
        <v>550</v>
      </c>
      <c r="BE308">
        <v>700</v>
      </c>
      <c r="BF308">
        <v>700</v>
      </c>
      <c r="BG308">
        <v>660</v>
      </c>
      <c r="BH308">
        <v>450</v>
      </c>
      <c r="BI308">
        <v>180</v>
      </c>
      <c r="BJ308">
        <v>0</v>
      </c>
      <c r="BK308">
        <v>270</v>
      </c>
      <c r="BL308">
        <v>327.27272727272731</v>
      </c>
      <c r="BM308">
        <v>306</v>
      </c>
      <c r="BN308">
        <v>360</v>
      </c>
      <c r="BO308">
        <v>360</v>
      </c>
      <c r="BP308">
        <v>270</v>
      </c>
      <c r="BQ308">
        <f>(I308+J308+N308+O308)/4</f>
        <v>7.5416666666666661</v>
      </c>
      <c r="BR308">
        <f>(K308+L308+M308)/3</f>
        <v>6.6222222222222227</v>
      </c>
      <c r="BS308">
        <f>BQ308/BR308</f>
        <v>1.1388422818791946</v>
      </c>
      <c r="BT308">
        <f>AQ308/I308</f>
        <v>150</v>
      </c>
      <c r="BU308" t="str">
        <f>IF(OR(A308=2, A308=12), "Central", IF(A308=3, "Semi-Central", "Periférica"))</f>
        <v>Periférica</v>
      </c>
    </row>
    <row r="309" spans="1:73" x14ac:dyDescent="0.3">
      <c r="A309" s="1">
        <v>15</v>
      </c>
      <c r="B309" s="1">
        <v>1532</v>
      </c>
      <c r="C309" s="1" t="s">
        <v>342</v>
      </c>
      <c r="D309" t="s">
        <v>5</v>
      </c>
      <c r="E309" t="s">
        <v>0</v>
      </c>
      <c r="F309">
        <v>0</v>
      </c>
      <c r="G309">
        <v>0</v>
      </c>
      <c r="H309">
        <v>5</v>
      </c>
      <c r="I309">
        <v>6</v>
      </c>
      <c r="J309">
        <v>4.666666666666667</v>
      </c>
      <c r="K309">
        <v>4</v>
      </c>
      <c r="L309">
        <v>5.333333333333333</v>
      </c>
      <c r="M309">
        <v>5.6</v>
      </c>
      <c r="N309">
        <v>6</v>
      </c>
      <c r="O309">
        <v>6</v>
      </c>
      <c r="P309">
        <v>4</v>
      </c>
      <c r="Q309">
        <v>2</v>
      </c>
      <c r="R309">
        <v>0</v>
      </c>
      <c r="S309">
        <v>0</v>
      </c>
      <c r="T309">
        <v>3</v>
      </c>
      <c r="U309">
        <v>4.4000000000000004</v>
      </c>
      <c r="V309">
        <v>3.666666666666667</v>
      </c>
      <c r="W309">
        <v>4</v>
      </c>
      <c r="X309">
        <v>3.7777777777777781</v>
      </c>
      <c r="Y309">
        <v>3.2</v>
      </c>
      <c r="Z309">
        <v>1.5</v>
      </c>
      <c r="AA309">
        <v>0</v>
      </c>
      <c r="AB309">
        <v>0</v>
      </c>
      <c r="AC309">
        <v>3</v>
      </c>
      <c r="AD309">
        <v>3.8181818181818179</v>
      </c>
      <c r="AE309">
        <v>3.8</v>
      </c>
      <c r="AF309">
        <v>3.666666666666667</v>
      </c>
      <c r="AG309">
        <v>3</v>
      </c>
      <c r="AH309">
        <v>1.5</v>
      </c>
      <c r="AI309" s="1">
        <v>15</v>
      </c>
      <c r="AJ309" s="1">
        <v>1532</v>
      </c>
      <c r="AK309" s="1" t="s">
        <v>342</v>
      </c>
      <c r="AL309" t="s">
        <v>5</v>
      </c>
      <c r="AM309" t="s">
        <v>0</v>
      </c>
      <c r="AN309">
        <v>0</v>
      </c>
      <c r="AO309">
        <v>0</v>
      </c>
      <c r="AP309">
        <v>450</v>
      </c>
      <c r="AQ309">
        <v>540</v>
      </c>
      <c r="AR309">
        <v>420</v>
      </c>
      <c r="AS309">
        <v>360</v>
      </c>
      <c r="AT309">
        <v>480</v>
      </c>
      <c r="AU309">
        <v>504</v>
      </c>
      <c r="AV309">
        <v>540</v>
      </c>
      <c r="AW309">
        <v>540</v>
      </c>
      <c r="AX309">
        <v>360</v>
      </c>
      <c r="AY309">
        <v>180</v>
      </c>
      <c r="AZ309">
        <v>0</v>
      </c>
      <c r="BA309">
        <v>0</v>
      </c>
      <c r="BB309">
        <v>270</v>
      </c>
      <c r="BC309">
        <v>396</v>
      </c>
      <c r="BD309">
        <v>330</v>
      </c>
      <c r="BE309">
        <v>360</v>
      </c>
      <c r="BF309">
        <v>340</v>
      </c>
      <c r="BG309">
        <v>288</v>
      </c>
      <c r="BH309">
        <v>135</v>
      </c>
      <c r="BI309">
        <v>0</v>
      </c>
      <c r="BJ309">
        <v>0</v>
      </c>
      <c r="BK309">
        <v>270</v>
      </c>
      <c r="BL309">
        <v>343.63636363636363</v>
      </c>
      <c r="BM309">
        <v>342</v>
      </c>
      <c r="BN309">
        <v>330</v>
      </c>
      <c r="BO309">
        <v>270</v>
      </c>
      <c r="BP309">
        <v>135</v>
      </c>
      <c r="BQ309">
        <f>(I309+J309+N309+O309)/4</f>
        <v>5.666666666666667</v>
      </c>
      <c r="BR309">
        <f>(K309+L309+M309)/3</f>
        <v>4.977777777777777</v>
      </c>
      <c r="BS309">
        <f>BQ309/BR309</f>
        <v>1.1383928571428574</v>
      </c>
      <c r="BT309">
        <f>AQ309/I309</f>
        <v>90</v>
      </c>
      <c r="BU309" t="str">
        <f>IF(OR(A309=2, A309=12), "Central", IF(A309=3, "Semi-Central", "Periférica"))</f>
        <v>Periférica</v>
      </c>
    </row>
    <row r="310" spans="1:73" x14ac:dyDescent="0.3">
      <c r="A310" s="1">
        <v>11</v>
      </c>
      <c r="B310" s="1">
        <v>1105</v>
      </c>
      <c r="C310" s="1" t="s">
        <v>271</v>
      </c>
      <c r="D310" t="s">
        <v>1</v>
      </c>
      <c r="F310">
        <v>0</v>
      </c>
      <c r="G310">
        <v>0</v>
      </c>
      <c r="H310">
        <v>6</v>
      </c>
      <c r="I310">
        <v>6.666666666666667</v>
      </c>
      <c r="J310">
        <v>7.333333333333333</v>
      </c>
      <c r="K310">
        <v>6</v>
      </c>
      <c r="L310">
        <v>6</v>
      </c>
      <c r="M310">
        <v>4.8</v>
      </c>
      <c r="N310">
        <v>6.5</v>
      </c>
      <c r="O310">
        <v>5</v>
      </c>
      <c r="P310">
        <v>5.333333333333333</v>
      </c>
      <c r="Q310">
        <v>1.5</v>
      </c>
      <c r="R310">
        <v>0</v>
      </c>
      <c r="S310">
        <v>0</v>
      </c>
      <c r="T310">
        <v>3</v>
      </c>
      <c r="U310">
        <v>5.2</v>
      </c>
      <c r="V310">
        <v>4.666666666666667</v>
      </c>
      <c r="W310">
        <v>5</v>
      </c>
      <c r="X310">
        <v>4</v>
      </c>
      <c r="Y310">
        <v>2.8</v>
      </c>
      <c r="Z310">
        <v>1.5</v>
      </c>
      <c r="AA310">
        <v>0</v>
      </c>
      <c r="AB310">
        <v>0</v>
      </c>
      <c r="AC310">
        <v>1</v>
      </c>
      <c r="AD310">
        <v>3.6363636363636358</v>
      </c>
      <c r="AE310">
        <v>4</v>
      </c>
      <c r="AF310">
        <v>3.333333333333333</v>
      </c>
      <c r="AG310">
        <v>4</v>
      </c>
      <c r="AH310">
        <v>3</v>
      </c>
      <c r="AI310" s="1">
        <v>11</v>
      </c>
      <c r="AJ310" s="1">
        <v>1105</v>
      </c>
      <c r="AK310" s="1" t="s">
        <v>271</v>
      </c>
      <c r="AL310" t="s">
        <v>1</v>
      </c>
      <c r="AN310">
        <v>0</v>
      </c>
      <c r="AO310">
        <v>0</v>
      </c>
      <c r="AP310">
        <v>540</v>
      </c>
      <c r="AQ310">
        <v>600</v>
      </c>
      <c r="AR310">
        <v>660</v>
      </c>
      <c r="AS310">
        <v>540</v>
      </c>
      <c r="AT310">
        <v>540</v>
      </c>
      <c r="AU310">
        <v>432</v>
      </c>
      <c r="AV310">
        <v>585</v>
      </c>
      <c r="AW310">
        <v>450</v>
      </c>
      <c r="AX310">
        <v>480</v>
      </c>
      <c r="AY310">
        <v>135</v>
      </c>
      <c r="AZ310">
        <v>0</v>
      </c>
      <c r="BA310">
        <v>0</v>
      </c>
      <c r="BB310">
        <v>270</v>
      </c>
      <c r="BC310">
        <v>468</v>
      </c>
      <c r="BD310">
        <v>420</v>
      </c>
      <c r="BE310">
        <v>450</v>
      </c>
      <c r="BF310">
        <v>360</v>
      </c>
      <c r="BG310">
        <v>252</v>
      </c>
      <c r="BH310">
        <v>135</v>
      </c>
      <c r="BI310">
        <v>0</v>
      </c>
      <c r="BJ310">
        <v>0</v>
      </c>
      <c r="BK310">
        <v>90</v>
      </c>
      <c r="BL310">
        <v>327.27272727272731</v>
      </c>
      <c r="BM310">
        <v>360</v>
      </c>
      <c r="BN310">
        <v>300</v>
      </c>
      <c r="BO310">
        <v>360</v>
      </c>
      <c r="BP310">
        <v>270</v>
      </c>
      <c r="BQ310">
        <f>(I310+J310+N310+O310)/4</f>
        <v>6.375</v>
      </c>
      <c r="BR310">
        <f>(K310+L310+M310)/3</f>
        <v>5.6000000000000005</v>
      </c>
      <c r="BS310">
        <f>BQ310/BR310</f>
        <v>1.138392857142857</v>
      </c>
      <c r="BT310">
        <f>AQ310/I310</f>
        <v>90</v>
      </c>
      <c r="BU310" t="str">
        <f>IF(OR(A310=2, A310=12), "Central", IF(A310=3, "Semi-Central", "Periférica"))</f>
        <v>Periférica</v>
      </c>
    </row>
    <row r="311" spans="1:73" x14ac:dyDescent="0.3">
      <c r="A311" s="1">
        <v>5</v>
      </c>
      <c r="B311" s="1">
        <v>528</v>
      </c>
      <c r="C311" s="1" t="s">
        <v>310</v>
      </c>
      <c r="D311" t="s">
        <v>1</v>
      </c>
      <c r="E311" t="s">
        <v>0</v>
      </c>
      <c r="F311">
        <v>2</v>
      </c>
      <c r="G311">
        <v>2</v>
      </c>
      <c r="H311">
        <v>4</v>
      </c>
      <c r="I311">
        <v>5.333333333333333</v>
      </c>
      <c r="J311">
        <v>4</v>
      </c>
      <c r="K311">
        <v>4.666666666666667</v>
      </c>
      <c r="L311">
        <v>4.666666666666667</v>
      </c>
      <c r="M311">
        <v>4.4000000000000004</v>
      </c>
      <c r="N311">
        <v>6</v>
      </c>
      <c r="O311">
        <v>5.5</v>
      </c>
      <c r="P311">
        <v>5.333333333333333</v>
      </c>
      <c r="Q311">
        <v>3</v>
      </c>
      <c r="R311">
        <v>2</v>
      </c>
      <c r="S311">
        <v>2</v>
      </c>
      <c r="T311">
        <v>3</v>
      </c>
      <c r="U311">
        <v>4.4000000000000004</v>
      </c>
      <c r="V311">
        <v>4</v>
      </c>
      <c r="W311">
        <v>4</v>
      </c>
      <c r="X311">
        <v>4</v>
      </c>
      <c r="Y311">
        <v>4</v>
      </c>
      <c r="Z311">
        <v>2.5</v>
      </c>
      <c r="AA311">
        <v>2</v>
      </c>
      <c r="AB311">
        <v>2</v>
      </c>
      <c r="AC311">
        <v>3</v>
      </c>
      <c r="AD311">
        <v>3.4545454545454546</v>
      </c>
      <c r="AE311">
        <v>3.4</v>
      </c>
      <c r="AF311">
        <v>3.3333333333333335</v>
      </c>
      <c r="AG311">
        <v>3</v>
      </c>
      <c r="AH311">
        <v>2.5</v>
      </c>
      <c r="AI311" s="1">
        <v>5</v>
      </c>
      <c r="AJ311" s="1">
        <v>528</v>
      </c>
      <c r="AK311" s="1" t="s">
        <v>310</v>
      </c>
      <c r="AL311" t="s">
        <v>1</v>
      </c>
      <c r="AM311" t="s">
        <v>0</v>
      </c>
      <c r="AN311">
        <v>162</v>
      </c>
      <c r="AO311">
        <v>162</v>
      </c>
      <c r="AP311">
        <v>324</v>
      </c>
      <c r="AQ311">
        <v>432</v>
      </c>
      <c r="AR311">
        <v>324</v>
      </c>
      <c r="AS311">
        <v>378</v>
      </c>
      <c r="AT311">
        <v>378</v>
      </c>
      <c r="AU311">
        <v>356.4</v>
      </c>
      <c r="AV311">
        <v>486</v>
      </c>
      <c r="AW311">
        <v>445.5</v>
      </c>
      <c r="AX311">
        <v>432</v>
      </c>
      <c r="AY311">
        <v>243</v>
      </c>
      <c r="AZ311">
        <v>162</v>
      </c>
      <c r="BA311">
        <v>162</v>
      </c>
      <c r="BB311">
        <v>243</v>
      </c>
      <c r="BC311">
        <v>356.4</v>
      </c>
      <c r="BD311">
        <v>324</v>
      </c>
      <c r="BE311">
        <v>324</v>
      </c>
      <c r="BF311">
        <v>324</v>
      </c>
      <c r="BG311">
        <v>324</v>
      </c>
      <c r="BH311">
        <v>202.5</v>
      </c>
      <c r="BI311">
        <v>162</v>
      </c>
      <c r="BJ311">
        <v>162</v>
      </c>
      <c r="BK311">
        <v>243</v>
      </c>
      <c r="BL311">
        <v>279.81818181818181</v>
      </c>
      <c r="BM311">
        <v>275.39999999999998</v>
      </c>
      <c r="BN311">
        <v>270</v>
      </c>
      <c r="BO311">
        <v>243</v>
      </c>
      <c r="BP311">
        <v>202.5</v>
      </c>
      <c r="BQ311">
        <f>(I311+J311+N311+O311)/4</f>
        <v>5.208333333333333</v>
      </c>
      <c r="BR311">
        <f>(K311+L311+M311)/3</f>
        <v>4.5777777777777784</v>
      </c>
      <c r="BS311">
        <f>BQ311/BR311</f>
        <v>1.1377427184466018</v>
      </c>
      <c r="BT311">
        <f>AQ311/I311</f>
        <v>81</v>
      </c>
      <c r="BU311" t="str">
        <f>IF(OR(A311=2, A311=12), "Central", IF(A311=3, "Semi-Central", "Periférica"))</f>
        <v>Periférica</v>
      </c>
    </row>
    <row r="312" spans="1:73" x14ac:dyDescent="0.3">
      <c r="A312" s="1">
        <v>10</v>
      </c>
      <c r="B312" s="1">
        <v>1022</v>
      </c>
      <c r="C312" s="1" t="s">
        <v>136</v>
      </c>
      <c r="D312" t="s">
        <v>5</v>
      </c>
      <c r="E312" t="s">
        <v>0</v>
      </c>
      <c r="F312">
        <v>2</v>
      </c>
      <c r="G312">
        <v>2.2222222222222219</v>
      </c>
      <c r="H312">
        <v>5</v>
      </c>
      <c r="I312">
        <v>8</v>
      </c>
      <c r="J312">
        <v>8</v>
      </c>
      <c r="K312">
        <v>6.333333333333333</v>
      </c>
      <c r="L312">
        <v>6</v>
      </c>
      <c r="M312">
        <v>6.8</v>
      </c>
      <c r="N312">
        <v>7.5</v>
      </c>
      <c r="O312">
        <v>5.5</v>
      </c>
      <c r="P312">
        <v>5.333333333333333</v>
      </c>
      <c r="Q312">
        <v>3.5</v>
      </c>
      <c r="R312">
        <v>2</v>
      </c>
      <c r="S312">
        <v>2</v>
      </c>
      <c r="T312">
        <v>3</v>
      </c>
      <c r="U312">
        <v>5.2</v>
      </c>
      <c r="V312">
        <v>5</v>
      </c>
      <c r="W312">
        <v>5</v>
      </c>
      <c r="X312">
        <v>4.8888888888888893</v>
      </c>
      <c r="Y312">
        <v>4.4000000000000004</v>
      </c>
      <c r="Z312">
        <v>3</v>
      </c>
      <c r="AA312">
        <v>2</v>
      </c>
      <c r="AB312">
        <v>2</v>
      </c>
      <c r="AC312">
        <v>2.5</v>
      </c>
      <c r="AD312">
        <v>4.7272727272727284</v>
      </c>
      <c r="AE312">
        <v>4.8</v>
      </c>
      <c r="AF312">
        <v>3.666666666666667</v>
      </c>
      <c r="AG312">
        <v>3</v>
      </c>
      <c r="AH312">
        <v>3</v>
      </c>
      <c r="AI312" s="1">
        <v>10</v>
      </c>
      <c r="AJ312" s="1">
        <v>1022</v>
      </c>
      <c r="AK312" s="1" t="s">
        <v>136</v>
      </c>
      <c r="AL312" t="s">
        <v>5</v>
      </c>
      <c r="AM312" t="s">
        <v>0</v>
      </c>
      <c r="AN312">
        <v>180</v>
      </c>
      <c r="AO312">
        <v>200</v>
      </c>
      <c r="AP312">
        <v>450</v>
      </c>
      <c r="AQ312">
        <v>720</v>
      </c>
      <c r="AR312">
        <v>720</v>
      </c>
      <c r="AS312">
        <v>570</v>
      </c>
      <c r="AT312">
        <v>540</v>
      </c>
      <c r="AU312">
        <v>612</v>
      </c>
      <c r="AV312">
        <v>675</v>
      </c>
      <c r="AW312">
        <v>495</v>
      </c>
      <c r="AX312">
        <v>480</v>
      </c>
      <c r="AY312">
        <v>315</v>
      </c>
      <c r="AZ312">
        <v>180</v>
      </c>
      <c r="BA312">
        <v>180</v>
      </c>
      <c r="BB312">
        <v>270</v>
      </c>
      <c r="BC312">
        <v>468</v>
      </c>
      <c r="BD312">
        <v>450</v>
      </c>
      <c r="BE312">
        <v>450</v>
      </c>
      <c r="BF312">
        <v>440</v>
      </c>
      <c r="BG312">
        <v>396</v>
      </c>
      <c r="BH312">
        <v>270</v>
      </c>
      <c r="BI312">
        <v>180</v>
      </c>
      <c r="BJ312">
        <v>180</v>
      </c>
      <c r="BK312">
        <v>225</v>
      </c>
      <c r="BL312">
        <v>425.45454545454538</v>
      </c>
      <c r="BM312">
        <v>432</v>
      </c>
      <c r="BN312">
        <v>330</v>
      </c>
      <c r="BO312">
        <v>270</v>
      </c>
      <c r="BP312">
        <v>270</v>
      </c>
      <c r="BQ312">
        <f>(I312+J312+N312+O312)/4</f>
        <v>7.25</v>
      </c>
      <c r="BR312">
        <f>(K312+L312+M312)/3</f>
        <v>6.3777777777777773</v>
      </c>
      <c r="BS312">
        <f>BQ312/BR312</f>
        <v>1.1367595818815333</v>
      </c>
      <c r="BT312">
        <f>AQ312/I312</f>
        <v>90</v>
      </c>
      <c r="BU312" t="str">
        <f>IF(OR(A312=2, A312=12), "Central", IF(A312=3, "Semi-Central", "Periférica"))</f>
        <v>Periférica</v>
      </c>
    </row>
    <row r="313" spans="1:73" x14ac:dyDescent="0.3">
      <c r="A313" s="1">
        <v>15</v>
      </c>
      <c r="B313" s="1">
        <v>1538</v>
      </c>
      <c r="C313" s="1" t="s">
        <v>341</v>
      </c>
      <c r="D313" t="s">
        <v>5</v>
      </c>
      <c r="E313" t="s">
        <v>0</v>
      </c>
      <c r="F313">
        <v>0</v>
      </c>
      <c r="G313">
        <v>0</v>
      </c>
      <c r="H313">
        <v>5</v>
      </c>
      <c r="I313">
        <v>4.666666666666667</v>
      </c>
      <c r="J313">
        <v>4</v>
      </c>
      <c r="K313">
        <v>4</v>
      </c>
      <c r="L313">
        <v>4</v>
      </c>
      <c r="M313">
        <v>4</v>
      </c>
      <c r="N313">
        <v>4.5</v>
      </c>
      <c r="O313">
        <v>5</v>
      </c>
      <c r="P313">
        <v>4.666666666666667</v>
      </c>
      <c r="Q313">
        <v>2.5</v>
      </c>
      <c r="R313">
        <v>0</v>
      </c>
      <c r="S313">
        <v>0</v>
      </c>
      <c r="T313">
        <v>3</v>
      </c>
      <c r="U313">
        <v>4.4000000000000004</v>
      </c>
      <c r="V313">
        <v>3.666666666666667</v>
      </c>
      <c r="W313">
        <v>3.666666666666667</v>
      </c>
      <c r="X313">
        <v>3.7777777777777781</v>
      </c>
      <c r="Y313">
        <v>3.2</v>
      </c>
      <c r="Z313">
        <v>1.5</v>
      </c>
      <c r="AA313">
        <v>0</v>
      </c>
      <c r="AB313">
        <v>0</v>
      </c>
      <c r="AC313">
        <v>2.5</v>
      </c>
      <c r="AD313">
        <v>3.8181818181818179</v>
      </c>
      <c r="AE313">
        <v>3.8</v>
      </c>
      <c r="AF313">
        <v>3.666666666666667</v>
      </c>
      <c r="AG313">
        <v>3</v>
      </c>
      <c r="AH313">
        <v>1.5</v>
      </c>
      <c r="AI313" s="1">
        <v>15</v>
      </c>
      <c r="AJ313" s="1">
        <v>1538</v>
      </c>
      <c r="AK313" s="1" t="s">
        <v>341</v>
      </c>
      <c r="AL313" t="s">
        <v>5</v>
      </c>
      <c r="AM313" t="s">
        <v>0</v>
      </c>
      <c r="AN313">
        <v>0</v>
      </c>
      <c r="AO313">
        <v>0</v>
      </c>
      <c r="AP313">
        <v>450</v>
      </c>
      <c r="AQ313">
        <v>420</v>
      </c>
      <c r="AR313">
        <v>360</v>
      </c>
      <c r="AS313">
        <v>360</v>
      </c>
      <c r="AT313">
        <v>360</v>
      </c>
      <c r="AU313">
        <v>360</v>
      </c>
      <c r="AV313">
        <v>405</v>
      </c>
      <c r="AW313">
        <v>450</v>
      </c>
      <c r="AX313">
        <v>420</v>
      </c>
      <c r="AY313">
        <v>225</v>
      </c>
      <c r="AZ313">
        <v>0</v>
      </c>
      <c r="BA313">
        <v>0</v>
      </c>
      <c r="BB313">
        <v>270</v>
      </c>
      <c r="BC313">
        <v>396</v>
      </c>
      <c r="BD313">
        <v>330</v>
      </c>
      <c r="BE313">
        <v>330</v>
      </c>
      <c r="BF313">
        <v>340</v>
      </c>
      <c r="BG313">
        <v>288</v>
      </c>
      <c r="BH313">
        <v>135</v>
      </c>
      <c r="BI313">
        <v>0</v>
      </c>
      <c r="BJ313">
        <v>0</v>
      </c>
      <c r="BK313">
        <v>225</v>
      </c>
      <c r="BL313">
        <v>343.63636363636363</v>
      </c>
      <c r="BM313">
        <v>342</v>
      </c>
      <c r="BN313">
        <v>330</v>
      </c>
      <c r="BO313">
        <v>270</v>
      </c>
      <c r="BP313">
        <v>135</v>
      </c>
      <c r="BQ313">
        <f>(I313+J313+N313+O313)/4</f>
        <v>4.541666666666667</v>
      </c>
      <c r="BR313">
        <f>(K313+L313+M313)/3</f>
        <v>4</v>
      </c>
      <c r="BS313">
        <f>BQ313/BR313</f>
        <v>1.1354166666666667</v>
      </c>
      <c r="BT313">
        <f>AQ313/I313</f>
        <v>90</v>
      </c>
      <c r="BU313" t="str">
        <f>IF(OR(A313=2, A313=12), "Central", IF(A313=3, "Semi-Central", "Periférica"))</f>
        <v>Periférica</v>
      </c>
    </row>
    <row r="314" spans="1:73" x14ac:dyDescent="0.3">
      <c r="A314" s="1">
        <v>18</v>
      </c>
      <c r="B314" s="1">
        <v>1845</v>
      </c>
      <c r="C314" s="1">
        <v>345</v>
      </c>
      <c r="D314" t="s">
        <v>5</v>
      </c>
      <c r="E314" t="s">
        <v>0</v>
      </c>
      <c r="F314">
        <v>0</v>
      </c>
      <c r="G314">
        <v>0</v>
      </c>
      <c r="H314">
        <v>6</v>
      </c>
      <c r="I314">
        <v>6</v>
      </c>
      <c r="J314">
        <v>4.666666666666667</v>
      </c>
      <c r="K314">
        <v>5</v>
      </c>
      <c r="L314">
        <v>4</v>
      </c>
      <c r="M314">
        <v>4</v>
      </c>
      <c r="N314">
        <v>4.5</v>
      </c>
      <c r="O314">
        <v>4.5</v>
      </c>
      <c r="P314">
        <v>4.666666666666667</v>
      </c>
      <c r="Q314">
        <v>1.5</v>
      </c>
      <c r="R314">
        <v>0</v>
      </c>
      <c r="S314">
        <v>0</v>
      </c>
      <c r="T314">
        <v>3</v>
      </c>
      <c r="U314">
        <v>5.2</v>
      </c>
      <c r="V314">
        <v>5</v>
      </c>
      <c r="W314">
        <v>4.333333333333333</v>
      </c>
      <c r="X314">
        <v>4</v>
      </c>
      <c r="Y314">
        <v>3.6</v>
      </c>
      <c r="Z314">
        <v>1.5</v>
      </c>
      <c r="AA314">
        <v>0</v>
      </c>
      <c r="AB314">
        <v>0</v>
      </c>
      <c r="AC314">
        <v>3</v>
      </c>
      <c r="AD314">
        <v>4</v>
      </c>
      <c r="AE314">
        <v>3.6</v>
      </c>
      <c r="AF314">
        <v>3.333333333333333</v>
      </c>
      <c r="AG314">
        <v>3</v>
      </c>
      <c r="AH314">
        <v>1.5</v>
      </c>
      <c r="AI314" s="1">
        <v>18</v>
      </c>
      <c r="AJ314" s="1">
        <v>1845</v>
      </c>
      <c r="AK314" s="1">
        <v>345</v>
      </c>
      <c r="AL314" t="s">
        <v>5</v>
      </c>
      <c r="AM314" t="s">
        <v>0</v>
      </c>
      <c r="AN314">
        <v>0</v>
      </c>
      <c r="AO314">
        <v>0</v>
      </c>
      <c r="AP314">
        <v>540</v>
      </c>
      <c r="AQ314">
        <v>540</v>
      </c>
      <c r="AR314">
        <v>420</v>
      </c>
      <c r="AS314">
        <v>450</v>
      </c>
      <c r="AT314">
        <v>360</v>
      </c>
      <c r="AU314">
        <v>360</v>
      </c>
      <c r="AV314">
        <v>405</v>
      </c>
      <c r="AW314">
        <v>405</v>
      </c>
      <c r="AX314">
        <v>420</v>
      </c>
      <c r="AY314">
        <v>135</v>
      </c>
      <c r="AZ314">
        <v>0</v>
      </c>
      <c r="BA314">
        <v>0</v>
      </c>
      <c r="BB314">
        <v>270</v>
      </c>
      <c r="BC314">
        <v>468</v>
      </c>
      <c r="BD314">
        <v>450</v>
      </c>
      <c r="BE314">
        <v>390</v>
      </c>
      <c r="BF314">
        <v>360</v>
      </c>
      <c r="BG314">
        <v>324</v>
      </c>
      <c r="BH314">
        <v>135</v>
      </c>
      <c r="BI314">
        <v>0</v>
      </c>
      <c r="BJ314">
        <v>0</v>
      </c>
      <c r="BK314">
        <v>270</v>
      </c>
      <c r="BL314">
        <v>360</v>
      </c>
      <c r="BM314">
        <v>324</v>
      </c>
      <c r="BN314">
        <v>300</v>
      </c>
      <c r="BO314">
        <v>270</v>
      </c>
      <c r="BP314">
        <v>135</v>
      </c>
      <c r="BQ314">
        <f>(I314+J314+N314+O314)/4</f>
        <v>4.916666666666667</v>
      </c>
      <c r="BR314">
        <f>(K314+L314+M314)/3</f>
        <v>4.333333333333333</v>
      </c>
      <c r="BS314">
        <f>BQ314/BR314</f>
        <v>1.1346153846153848</v>
      </c>
      <c r="BT314">
        <f>AQ314/I314</f>
        <v>90</v>
      </c>
      <c r="BU314" t="str">
        <f>IF(OR(A314=2, A314=12), "Central", IF(A314=3, "Semi-Central", "Periférica"))</f>
        <v>Periférica</v>
      </c>
    </row>
    <row r="315" spans="1:73" x14ac:dyDescent="0.3">
      <c r="A315" s="1">
        <v>3</v>
      </c>
      <c r="B315" s="1">
        <v>380</v>
      </c>
      <c r="C315" s="1" t="s">
        <v>340</v>
      </c>
      <c r="D315" t="s">
        <v>1</v>
      </c>
      <c r="E315" t="s">
        <v>0</v>
      </c>
      <c r="F315">
        <v>0</v>
      </c>
      <c r="G315">
        <v>0</v>
      </c>
      <c r="H315">
        <v>3</v>
      </c>
      <c r="I315">
        <v>7.333333333333333</v>
      </c>
      <c r="J315">
        <v>6.666666666666667</v>
      </c>
      <c r="K315">
        <v>6.666666666666667</v>
      </c>
      <c r="L315">
        <v>6.666666666666667</v>
      </c>
      <c r="M315">
        <v>7.2</v>
      </c>
      <c r="N315">
        <v>9</v>
      </c>
      <c r="O315">
        <v>8</v>
      </c>
      <c r="P315">
        <v>6</v>
      </c>
      <c r="Q315">
        <v>5</v>
      </c>
      <c r="R315">
        <v>0</v>
      </c>
      <c r="S315">
        <v>0</v>
      </c>
      <c r="T315">
        <v>3</v>
      </c>
      <c r="U315">
        <v>4.4000000000000004</v>
      </c>
      <c r="V315">
        <v>4.333333333333333</v>
      </c>
      <c r="W315">
        <v>4.333333333333333</v>
      </c>
      <c r="X315">
        <v>4.2222222222222223</v>
      </c>
      <c r="Y315">
        <v>4</v>
      </c>
      <c r="Z315">
        <v>3.5</v>
      </c>
      <c r="AA315">
        <v>0</v>
      </c>
      <c r="AB315">
        <v>0</v>
      </c>
      <c r="AC315">
        <v>3</v>
      </c>
      <c r="AD315">
        <v>4</v>
      </c>
      <c r="AE315">
        <v>4</v>
      </c>
      <c r="AF315">
        <v>4</v>
      </c>
      <c r="AG315">
        <v>3</v>
      </c>
      <c r="AH315">
        <v>3</v>
      </c>
      <c r="AI315" s="1">
        <v>3</v>
      </c>
      <c r="AJ315" s="1">
        <v>380</v>
      </c>
      <c r="AK315" s="1" t="s">
        <v>340</v>
      </c>
      <c r="AL315" t="s">
        <v>1</v>
      </c>
      <c r="AM315" t="s">
        <v>0</v>
      </c>
      <c r="AN315">
        <v>0</v>
      </c>
      <c r="AO315">
        <v>0</v>
      </c>
      <c r="AP315">
        <v>294</v>
      </c>
      <c r="AQ315">
        <v>718.66666666666663</v>
      </c>
      <c r="AR315">
        <v>653.33333333333337</v>
      </c>
      <c r="AS315">
        <v>653.33333333333337</v>
      </c>
      <c r="AT315">
        <v>653.33333333333337</v>
      </c>
      <c r="AU315">
        <v>705.6</v>
      </c>
      <c r="AV315">
        <v>882</v>
      </c>
      <c r="AW315">
        <v>784</v>
      </c>
      <c r="AX315">
        <v>588</v>
      </c>
      <c r="AY315">
        <v>490</v>
      </c>
      <c r="AZ315">
        <v>0</v>
      </c>
      <c r="BA315">
        <v>0</v>
      </c>
      <c r="BB315">
        <v>294</v>
      </c>
      <c r="BC315">
        <v>431.2</v>
      </c>
      <c r="BD315">
        <v>424.66666666666669</v>
      </c>
      <c r="BE315">
        <v>424.66666666666669</v>
      </c>
      <c r="BF315">
        <v>413.77777777777777</v>
      </c>
      <c r="BG315">
        <v>392</v>
      </c>
      <c r="BH315">
        <v>343</v>
      </c>
      <c r="BI315">
        <v>0</v>
      </c>
      <c r="BJ315">
        <v>0</v>
      </c>
      <c r="BK315">
        <v>294</v>
      </c>
      <c r="BL315">
        <v>392</v>
      </c>
      <c r="BM315">
        <v>392</v>
      </c>
      <c r="BN315">
        <v>392</v>
      </c>
      <c r="BO315">
        <v>294</v>
      </c>
      <c r="BP315">
        <v>294</v>
      </c>
      <c r="BQ315">
        <f>(I315+J315+N315+O315)/4</f>
        <v>7.75</v>
      </c>
      <c r="BR315">
        <f>(K315+L315+M315)/3</f>
        <v>6.844444444444445</v>
      </c>
      <c r="BS315">
        <f>BQ315/BR315</f>
        <v>1.1323051948051948</v>
      </c>
      <c r="BT315">
        <f>AQ315/I315</f>
        <v>98</v>
      </c>
      <c r="BU315" t="str">
        <f>IF(OR(A315=2, A315=12), "Central", IF(A315=3, "Semi-Central", "Periférica"))</f>
        <v>Semi-Central</v>
      </c>
    </row>
    <row r="316" spans="1:73" x14ac:dyDescent="0.3">
      <c r="A316" s="1">
        <v>16</v>
      </c>
      <c r="B316" s="1">
        <v>1619</v>
      </c>
      <c r="C316" s="1" t="s">
        <v>339</v>
      </c>
      <c r="D316" t="s">
        <v>1</v>
      </c>
      <c r="E316" t="s">
        <v>0</v>
      </c>
      <c r="F316">
        <v>0</v>
      </c>
      <c r="G316">
        <v>0</v>
      </c>
      <c r="H316">
        <v>2</v>
      </c>
      <c r="I316">
        <v>6.666666666666667</v>
      </c>
      <c r="J316">
        <v>4.666666666666667</v>
      </c>
      <c r="K316">
        <v>5</v>
      </c>
      <c r="L316">
        <v>4.666666666666667</v>
      </c>
      <c r="M316">
        <v>4.8</v>
      </c>
      <c r="N316">
        <v>6</v>
      </c>
      <c r="O316">
        <v>4.5</v>
      </c>
      <c r="P316">
        <v>3.333333333333333</v>
      </c>
      <c r="Q316">
        <v>1.5</v>
      </c>
      <c r="R316">
        <v>0</v>
      </c>
      <c r="S316">
        <v>0</v>
      </c>
      <c r="T316">
        <v>2</v>
      </c>
      <c r="U316">
        <v>4</v>
      </c>
      <c r="V316">
        <v>4</v>
      </c>
      <c r="W316">
        <v>4.333333333333333</v>
      </c>
      <c r="X316">
        <v>4</v>
      </c>
      <c r="Y316">
        <v>4</v>
      </c>
      <c r="Z316">
        <v>1.5</v>
      </c>
      <c r="AA316">
        <v>0</v>
      </c>
      <c r="AB316">
        <v>0</v>
      </c>
      <c r="AC316">
        <v>2.5</v>
      </c>
      <c r="AD316">
        <v>3.0909090909090908</v>
      </c>
      <c r="AE316">
        <v>3</v>
      </c>
      <c r="AF316">
        <v>3</v>
      </c>
      <c r="AG316">
        <v>2</v>
      </c>
      <c r="AH316">
        <v>1</v>
      </c>
      <c r="AI316" s="1">
        <v>16</v>
      </c>
      <c r="AJ316" s="1">
        <v>1619</v>
      </c>
      <c r="AK316" s="1" t="s">
        <v>339</v>
      </c>
      <c r="AL316" t="s">
        <v>1</v>
      </c>
      <c r="AM316" t="s">
        <v>0</v>
      </c>
      <c r="AN316">
        <v>0</v>
      </c>
      <c r="AO316">
        <v>0</v>
      </c>
      <c r="AP316">
        <v>180</v>
      </c>
      <c r="AQ316">
        <v>600</v>
      </c>
      <c r="AR316">
        <v>420</v>
      </c>
      <c r="AS316">
        <v>450</v>
      </c>
      <c r="AT316">
        <v>420</v>
      </c>
      <c r="AU316">
        <v>432</v>
      </c>
      <c r="AV316">
        <v>540</v>
      </c>
      <c r="AW316">
        <v>405</v>
      </c>
      <c r="AX316">
        <v>300</v>
      </c>
      <c r="AY316">
        <v>135</v>
      </c>
      <c r="AZ316">
        <v>0</v>
      </c>
      <c r="BA316">
        <v>0</v>
      </c>
      <c r="BB316">
        <v>180</v>
      </c>
      <c r="BC316">
        <v>360</v>
      </c>
      <c r="BD316">
        <v>360</v>
      </c>
      <c r="BE316">
        <v>390</v>
      </c>
      <c r="BF316">
        <v>360</v>
      </c>
      <c r="BG316">
        <v>360</v>
      </c>
      <c r="BH316">
        <v>135</v>
      </c>
      <c r="BI316">
        <v>0</v>
      </c>
      <c r="BJ316">
        <v>0</v>
      </c>
      <c r="BK316">
        <v>225</v>
      </c>
      <c r="BL316">
        <v>278.18181818181819</v>
      </c>
      <c r="BM316">
        <v>270</v>
      </c>
      <c r="BN316">
        <v>270</v>
      </c>
      <c r="BO316">
        <v>180</v>
      </c>
      <c r="BP316">
        <v>90</v>
      </c>
      <c r="BQ316">
        <f>(I316+J316+N316+O316)/4</f>
        <v>5.4583333333333339</v>
      </c>
      <c r="BR316">
        <f>(K316+L316+M316)/3</f>
        <v>4.8222222222222229</v>
      </c>
      <c r="BS316">
        <f>BQ316/BR316</f>
        <v>1.1319124423963134</v>
      </c>
      <c r="BT316">
        <f>AQ316/I316</f>
        <v>90</v>
      </c>
      <c r="BU316" t="str">
        <f>IF(OR(A316=2, A316=12), "Central", IF(A316=3, "Semi-Central", "Periférica"))</f>
        <v>Periférica</v>
      </c>
    </row>
    <row r="317" spans="1:73" x14ac:dyDescent="0.3">
      <c r="A317" s="1">
        <v>11</v>
      </c>
      <c r="B317" s="1">
        <v>1147</v>
      </c>
      <c r="C317" s="1" t="s">
        <v>338</v>
      </c>
      <c r="D317" t="s">
        <v>5</v>
      </c>
      <c r="F317">
        <v>0</v>
      </c>
      <c r="G317">
        <v>0</v>
      </c>
      <c r="H317">
        <v>5</v>
      </c>
      <c r="I317">
        <v>6</v>
      </c>
      <c r="J317">
        <v>5.333333333333333</v>
      </c>
      <c r="K317">
        <v>5</v>
      </c>
      <c r="L317">
        <v>5.333333333333333</v>
      </c>
      <c r="M317">
        <v>4.8</v>
      </c>
      <c r="N317">
        <v>6</v>
      </c>
      <c r="O317">
        <v>5.5</v>
      </c>
      <c r="P317">
        <v>4</v>
      </c>
      <c r="Q317">
        <v>2.5</v>
      </c>
      <c r="R317">
        <v>0</v>
      </c>
      <c r="S317">
        <v>0</v>
      </c>
      <c r="T317">
        <v>2</v>
      </c>
      <c r="U317">
        <v>4.8</v>
      </c>
      <c r="V317">
        <v>5</v>
      </c>
      <c r="W317">
        <v>4</v>
      </c>
      <c r="X317">
        <v>3.1111111111111112</v>
      </c>
      <c r="Y317">
        <v>3.2</v>
      </c>
      <c r="Z317">
        <v>2.5</v>
      </c>
      <c r="AA317">
        <v>0</v>
      </c>
      <c r="AB317">
        <v>0</v>
      </c>
      <c r="AC317">
        <v>3</v>
      </c>
      <c r="AD317">
        <v>3.454545454545455</v>
      </c>
      <c r="AE317">
        <v>3.4</v>
      </c>
      <c r="AF317">
        <v>3</v>
      </c>
      <c r="AG317">
        <v>3</v>
      </c>
      <c r="AH317">
        <v>3</v>
      </c>
      <c r="AI317" s="1">
        <v>11</v>
      </c>
      <c r="AJ317" s="1">
        <v>1147</v>
      </c>
      <c r="AK317" s="1" t="s">
        <v>338</v>
      </c>
      <c r="AL317" t="s">
        <v>5</v>
      </c>
      <c r="AN317">
        <v>0</v>
      </c>
      <c r="AO317">
        <v>0</v>
      </c>
      <c r="AP317">
        <v>450</v>
      </c>
      <c r="AQ317">
        <v>540</v>
      </c>
      <c r="AR317">
        <v>480</v>
      </c>
      <c r="AS317">
        <v>450</v>
      </c>
      <c r="AT317">
        <v>480</v>
      </c>
      <c r="AU317">
        <v>432</v>
      </c>
      <c r="AV317">
        <v>540</v>
      </c>
      <c r="AW317">
        <v>495</v>
      </c>
      <c r="AX317">
        <v>360</v>
      </c>
      <c r="AY317">
        <v>225</v>
      </c>
      <c r="AZ317">
        <v>0</v>
      </c>
      <c r="BA317">
        <v>0</v>
      </c>
      <c r="BB317">
        <v>180</v>
      </c>
      <c r="BC317">
        <v>432</v>
      </c>
      <c r="BD317">
        <v>450</v>
      </c>
      <c r="BE317">
        <v>360</v>
      </c>
      <c r="BF317">
        <v>280</v>
      </c>
      <c r="BG317">
        <v>288</v>
      </c>
      <c r="BH317">
        <v>225</v>
      </c>
      <c r="BI317">
        <v>0</v>
      </c>
      <c r="BJ317">
        <v>0</v>
      </c>
      <c r="BK317">
        <v>270</v>
      </c>
      <c r="BL317">
        <v>310.90909090909088</v>
      </c>
      <c r="BM317">
        <v>306</v>
      </c>
      <c r="BN317">
        <v>270</v>
      </c>
      <c r="BO317">
        <v>270</v>
      </c>
      <c r="BP317">
        <v>270</v>
      </c>
      <c r="BQ317">
        <f>(I317+J317+N317+O317)/4</f>
        <v>5.708333333333333</v>
      </c>
      <c r="BR317">
        <f>(K317+L317+M317)/3</f>
        <v>5.0444444444444443</v>
      </c>
      <c r="BS317">
        <f>BQ317/BR317</f>
        <v>1.1316079295154184</v>
      </c>
      <c r="BT317">
        <f>AQ317/I317</f>
        <v>90</v>
      </c>
      <c r="BU317" t="str">
        <f>IF(OR(A317=2, A317=12), "Central", IF(A317=3, "Semi-Central", "Periférica"))</f>
        <v>Periférica</v>
      </c>
    </row>
    <row r="318" spans="1:73" x14ac:dyDescent="0.3">
      <c r="A318" s="1">
        <v>11</v>
      </c>
      <c r="B318" s="1">
        <v>1147</v>
      </c>
      <c r="C318" s="1" t="s">
        <v>338</v>
      </c>
      <c r="D318" t="s">
        <v>1</v>
      </c>
      <c r="F318">
        <v>0</v>
      </c>
      <c r="G318">
        <v>0</v>
      </c>
      <c r="H318">
        <v>5</v>
      </c>
      <c r="I318">
        <v>6</v>
      </c>
      <c r="J318">
        <v>5.333333333333333</v>
      </c>
      <c r="K318">
        <v>5</v>
      </c>
      <c r="L318">
        <v>5.333333333333333</v>
      </c>
      <c r="M318">
        <v>4.8</v>
      </c>
      <c r="N318">
        <v>6</v>
      </c>
      <c r="O318">
        <v>5.5</v>
      </c>
      <c r="P318">
        <v>4</v>
      </c>
      <c r="Q318">
        <v>2.5</v>
      </c>
      <c r="R318">
        <v>0</v>
      </c>
      <c r="S318">
        <v>0</v>
      </c>
      <c r="T318">
        <v>2</v>
      </c>
      <c r="U318">
        <v>4.8</v>
      </c>
      <c r="V318">
        <v>5</v>
      </c>
      <c r="W318">
        <v>4</v>
      </c>
      <c r="X318">
        <v>3.1111111111111112</v>
      </c>
      <c r="Y318">
        <v>3.2</v>
      </c>
      <c r="Z318">
        <v>2</v>
      </c>
      <c r="AA318">
        <v>0</v>
      </c>
      <c r="AB318">
        <v>0</v>
      </c>
      <c r="AC318">
        <v>3</v>
      </c>
      <c r="AD318">
        <v>3.454545454545455</v>
      </c>
      <c r="AE318">
        <v>3.4</v>
      </c>
      <c r="AF318">
        <v>3</v>
      </c>
      <c r="AG318">
        <v>3</v>
      </c>
      <c r="AH318">
        <v>3</v>
      </c>
      <c r="AI318" s="1">
        <v>11</v>
      </c>
      <c r="AJ318" s="1">
        <v>1147</v>
      </c>
      <c r="AK318" s="1" t="s">
        <v>338</v>
      </c>
      <c r="AL318" t="s">
        <v>1</v>
      </c>
      <c r="AN318">
        <v>0</v>
      </c>
      <c r="AO318">
        <v>0</v>
      </c>
      <c r="AP318">
        <v>450</v>
      </c>
      <c r="AQ318">
        <v>540</v>
      </c>
      <c r="AR318">
        <v>480</v>
      </c>
      <c r="AS318">
        <v>450</v>
      </c>
      <c r="AT318">
        <v>480</v>
      </c>
      <c r="AU318">
        <v>432</v>
      </c>
      <c r="AV318">
        <v>540</v>
      </c>
      <c r="AW318">
        <v>495</v>
      </c>
      <c r="AX318">
        <v>360</v>
      </c>
      <c r="AY318">
        <v>225</v>
      </c>
      <c r="AZ318">
        <v>0</v>
      </c>
      <c r="BA318">
        <v>0</v>
      </c>
      <c r="BB318">
        <v>180</v>
      </c>
      <c r="BC318">
        <v>432</v>
      </c>
      <c r="BD318">
        <v>450</v>
      </c>
      <c r="BE318">
        <v>360</v>
      </c>
      <c r="BF318">
        <v>280</v>
      </c>
      <c r="BG318">
        <v>288</v>
      </c>
      <c r="BH318">
        <v>180</v>
      </c>
      <c r="BI318">
        <v>0</v>
      </c>
      <c r="BJ318">
        <v>0</v>
      </c>
      <c r="BK318">
        <v>270</v>
      </c>
      <c r="BL318">
        <v>310.90909090909088</v>
      </c>
      <c r="BM318">
        <v>306</v>
      </c>
      <c r="BN318">
        <v>270</v>
      </c>
      <c r="BO318">
        <v>270</v>
      </c>
      <c r="BP318">
        <v>270</v>
      </c>
      <c r="BQ318">
        <f>(I318+J318+N318+O318)/4</f>
        <v>5.708333333333333</v>
      </c>
      <c r="BR318">
        <f>(K318+L318+M318)/3</f>
        <v>5.0444444444444443</v>
      </c>
      <c r="BS318">
        <f>BQ318/BR318</f>
        <v>1.1316079295154184</v>
      </c>
      <c r="BT318">
        <f>AQ318/I318</f>
        <v>90</v>
      </c>
      <c r="BU318" t="str">
        <f>IF(OR(A318=2, A318=12), "Central", IF(A318=3, "Semi-Central", "Periférica"))</f>
        <v>Periférica</v>
      </c>
    </row>
    <row r="319" spans="1:73" x14ac:dyDescent="0.3">
      <c r="A319" s="1">
        <v>12</v>
      </c>
      <c r="B319" s="1">
        <v>1214</v>
      </c>
      <c r="C319" s="1" t="s">
        <v>307</v>
      </c>
      <c r="D319" t="s">
        <v>5</v>
      </c>
      <c r="E319" t="s">
        <v>0</v>
      </c>
      <c r="F319">
        <v>0</v>
      </c>
      <c r="G319">
        <v>0</v>
      </c>
      <c r="H319">
        <v>4</v>
      </c>
      <c r="I319">
        <v>6</v>
      </c>
      <c r="J319">
        <v>5.333333333333333</v>
      </c>
      <c r="K319">
        <v>5</v>
      </c>
      <c r="L319">
        <v>5.333333333333333</v>
      </c>
      <c r="M319">
        <v>4.8</v>
      </c>
      <c r="N319">
        <v>6</v>
      </c>
      <c r="O319">
        <v>5.5</v>
      </c>
      <c r="P319">
        <v>4.666666666666667</v>
      </c>
      <c r="Q319">
        <v>2.5</v>
      </c>
      <c r="R319">
        <v>0</v>
      </c>
      <c r="S319">
        <v>0</v>
      </c>
      <c r="T319">
        <v>2</v>
      </c>
      <c r="U319">
        <v>3.2</v>
      </c>
      <c r="V319">
        <v>3.333333333333333</v>
      </c>
      <c r="W319">
        <v>4</v>
      </c>
      <c r="X319">
        <v>3.7777777777777781</v>
      </c>
      <c r="Y319">
        <v>2.4</v>
      </c>
      <c r="Z319">
        <v>3</v>
      </c>
      <c r="AA319">
        <v>0</v>
      </c>
      <c r="AB319">
        <v>0</v>
      </c>
      <c r="AC319">
        <v>1</v>
      </c>
      <c r="AD319">
        <v>2.7272727272727271</v>
      </c>
      <c r="AE319">
        <v>3</v>
      </c>
      <c r="AF319">
        <v>3</v>
      </c>
      <c r="AG319">
        <v>4</v>
      </c>
      <c r="AH319">
        <v>1.5</v>
      </c>
      <c r="AI319" s="1">
        <v>12</v>
      </c>
      <c r="AJ319" s="1">
        <v>1214</v>
      </c>
      <c r="AK319" s="1" t="s">
        <v>307</v>
      </c>
      <c r="AL319" t="s">
        <v>5</v>
      </c>
      <c r="AM319" t="s">
        <v>0</v>
      </c>
      <c r="AN319">
        <v>0</v>
      </c>
      <c r="AO319">
        <v>0</v>
      </c>
      <c r="AP319">
        <v>360</v>
      </c>
      <c r="AQ319">
        <v>540</v>
      </c>
      <c r="AR319">
        <v>480</v>
      </c>
      <c r="AS319">
        <v>450</v>
      </c>
      <c r="AT319">
        <v>480</v>
      </c>
      <c r="AU319">
        <v>432</v>
      </c>
      <c r="AV319">
        <v>540</v>
      </c>
      <c r="AW319">
        <v>495</v>
      </c>
      <c r="AX319">
        <v>420</v>
      </c>
      <c r="AY319">
        <v>225</v>
      </c>
      <c r="AZ319">
        <v>0</v>
      </c>
      <c r="BA319">
        <v>0</v>
      </c>
      <c r="BB319">
        <v>180</v>
      </c>
      <c r="BC319">
        <v>288</v>
      </c>
      <c r="BD319">
        <v>300</v>
      </c>
      <c r="BE319">
        <v>360</v>
      </c>
      <c r="BF319">
        <v>340</v>
      </c>
      <c r="BG319">
        <v>216</v>
      </c>
      <c r="BH319">
        <v>270</v>
      </c>
      <c r="BI319">
        <v>0</v>
      </c>
      <c r="BJ319">
        <v>0</v>
      </c>
      <c r="BK319">
        <v>90</v>
      </c>
      <c r="BL319">
        <v>245.4545454545455</v>
      </c>
      <c r="BM319">
        <v>270</v>
      </c>
      <c r="BN319">
        <v>270</v>
      </c>
      <c r="BO319">
        <v>360</v>
      </c>
      <c r="BP319">
        <v>135</v>
      </c>
      <c r="BQ319">
        <f>(I319+J319+N319+O319)/4</f>
        <v>5.708333333333333</v>
      </c>
      <c r="BR319">
        <f>(K319+L319+M319)/3</f>
        <v>5.0444444444444443</v>
      </c>
      <c r="BS319">
        <f>BQ319/BR319</f>
        <v>1.1316079295154184</v>
      </c>
      <c r="BT319">
        <f>AQ319/I319</f>
        <v>90</v>
      </c>
      <c r="BU319" t="str">
        <f>IF(OR(A319=2, A319=12), "Central", IF(A319=3, "Semi-Central", "Periférica"))</f>
        <v>Central</v>
      </c>
    </row>
    <row r="320" spans="1:73" x14ac:dyDescent="0.3">
      <c r="A320" s="1">
        <v>5</v>
      </c>
      <c r="B320" s="1">
        <v>572</v>
      </c>
      <c r="C320" s="1">
        <v>422</v>
      </c>
      <c r="D320" t="s">
        <v>1</v>
      </c>
      <c r="E320" t="s">
        <v>0</v>
      </c>
      <c r="F320">
        <v>0</v>
      </c>
      <c r="G320">
        <v>0</v>
      </c>
      <c r="H320">
        <v>2</v>
      </c>
      <c r="I320">
        <v>8</v>
      </c>
      <c r="J320">
        <v>5.333333333333333</v>
      </c>
      <c r="K320">
        <v>5.333333333333333</v>
      </c>
      <c r="L320">
        <v>5.333333333333333</v>
      </c>
      <c r="M320">
        <v>6.8</v>
      </c>
      <c r="N320">
        <v>7.5</v>
      </c>
      <c r="O320">
        <v>5.5</v>
      </c>
      <c r="P320">
        <v>4.666666666666667</v>
      </c>
      <c r="Q320">
        <v>3.5</v>
      </c>
      <c r="R320">
        <v>0</v>
      </c>
      <c r="S320">
        <v>0</v>
      </c>
      <c r="T320">
        <v>2</v>
      </c>
      <c r="U320">
        <v>4</v>
      </c>
      <c r="V320">
        <v>4</v>
      </c>
      <c r="W320">
        <v>4</v>
      </c>
      <c r="X320">
        <v>4</v>
      </c>
      <c r="Y320">
        <v>4.4000000000000004</v>
      </c>
      <c r="Z320">
        <v>3</v>
      </c>
      <c r="AA320">
        <v>0</v>
      </c>
      <c r="AB320">
        <v>0</v>
      </c>
      <c r="AC320">
        <v>3</v>
      </c>
      <c r="AD320">
        <v>3.6363636363636362</v>
      </c>
      <c r="AE320">
        <v>4</v>
      </c>
      <c r="AF320">
        <v>4</v>
      </c>
      <c r="AG320">
        <v>3</v>
      </c>
      <c r="AH320">
        <v>3</v>
      </c>
      <c r="AI320" s="1">
        <v>5</v>
      </c>
      <c r="AJ320" s="1">
        <v>572</v>
      </c>
      <c r="AK320" s="1">
        <v>422</v>
      </c>
      <c r="AL320" t="s">
        <v>1</v>
      </c>
      <c r="AM320" t="s">
        <v>0</v>
      </c>
      <c r="AN320">
        <v>0</v>
      </c>
      <c r="AO320">
        <v>0</v>
      </c>
      <c r="AP320">
        <v>162</v>
      </c>
      <c r="AQ320">
        <v>648</v>
      </c>
      <c r="AR320">
        <v>432</v>
      </c>
      <c r="AS320">
        <v>432</v>
      </c>
      <c r="AT320">
        <v>432</v>
      </c>
      <c r="AU320">
        <v>550.79999999999995</v>
      </c>
      <c r="AV320">
        <v>607.5</v>
      </c>
      <c r="AW320">
        <v>445.5</v>
      </c>
      <c r="AX320">
        <v>378</v>
      </c>
      <c r="AY320">
        <v>283.5</v>
      </c>
      <c r="AZ320">
        <v>0</v>
      </c>
      <c r="BA320">
        <v>0</v>
      </c>
      <c r="BB320">
        <v>162</v>
      </c>
      <c r="BC320">
        <v>324</v>
      </c>
      <c r="BD320">
        <v>324</v>
      </c>
      <c r="BE320">
        <v>324</v>
      </c>
      <c r="BF320">
        <v>324</v>
      </c>
      <c r="BG320">
        <v>356.4</v>
      </c>
      <c r="BH320">
        <v>243</v>
      </c>
      <c r="BI320">
        <v>0</v>
      </c>
      <c r="BJ320">
        <v>0</v>
      </c>
      <c r="BK320">
        <v>243</v>
      </c>
      <c r="BL320">
        <v>294.54545454545456</v>
      </c>
      <c r="BM320">
        <v>324</v>
      </c>
      <c r="BN320">
        <v>324</v>
      </c>
      <c r="BO320">
        <v>243</v>
      </c>
      <c r="BP320">
        <v>243</v>
      </c>
      <c r="BQ320">
        <f>(I320+J320+N320+O320)/4</f>
        <v>6.583333333333333</v>
      </c>
      <c r="BR320">
        <f>(K320+L320+M320)/3</f>
        <v>5.822222222222222</v>
      </c>
      <c r="BS320">
        <f>BQ320/BR320</f>
        <v>1.1307251908396947</v>
      </c>
      <c r="BT320">
        <f>AQ320/I320</f>
        <v>81</v>
      </c>
      <c r="BU320" t="str">
        <f>IF(OR(A320=2, A320=12), "Central", IF(A320=3, "Semi-Central", "Periférica"))</f>
        <v>Periférica</v>
      </c>
    </row>
    <row r="321" spans="1:73" x14ac:dyDescent="0.3">
      <c r="A321" s="1">
        <v>4</v>
      </c>
      <c r="B321" s="1">
        <v>434</v>
      </c>
      <c r="C321" s="1" t="s">
        <v>197</v>
      </c>
      <c r="D321" t="s">
        <v>5</v>
      </c>
      <c r="F321">
        <v>0</v>
      </c>
      <c r="G321">
        <v>0</v>
      </c>
      <c r="H321">
        <v>4</v>
      </c>
      <c r="I321">
        <v>4</v>
      </c>
      <c r="J321">
        <v>3.3333333333333335</v>
      </c>
      <c r="K321">
        <v>3</v>
      </c>
      <c r="L321">
        <v>4</v>
      </c>
      <c r="M321">
        <v>3.2</v>
      </c>
      <c r="N321">
        <v>4</v>
      </c>
      <c r="O321">
        <v>4</v>
      </c>
      <c r="P321">
        <v>3.3333333333333335</v>
      </c>
      <c r="Q321">
        <v>1.5</v>
      </c>
      <c r="R321">
        <v>0</v>
      </c>
      <c r="S321">
        <v>0</v>
      </c>
      <c r="T321">
        <v>3</v>
      </c>
      <c r="U321">
        <v>3.6</v>
      </c>
      <c r="V321">
        <v>3.6666666666666665</v>
      </c>
      <c r="W321">
        <v>3</v>
      </c>
      <c r="X321">
        <v>3.1111111111111112</v>
      </c>
      <c r="Y321">
        <v>3.2</v>
      </c>
      <c r="Z321">
        <v>1.5</v>
      </c>
      <c r="AA321">
        <v>0</v>
      </c>
      <c r="AB321">
        <v>0</v>
      </c>
      <c r="AC321">
        <v>3</v>
      </c>
      <c r="AD321">
        <v>3.0909090909090908</v>
      </c>
      <c r="AE321">
        <v>3</v>
      </c>
      <c r="AF321">
        <v>3</v>
      </c>
      <c r="AG321">
        <v>3</v>
      </c>
      <c r="AH321">
        <v>1.5</v>
      </c>
      <c r="AI321" s="1">
        <v>4</v>
      </c>
      <c r="AJ321" s="1">
        <v>434</v>
      </c>
      <c r="AK321" s="1" t="s">
        <v>197</v>
      </c>
      <c r="AL321" t="s">
        <v>5</v>
      </c>
      <c r="AN321">
        <v>0</v>
      </c>
      <c r="AO321">
        <v>0</v>
      </c>
      <c r="AP321">
        <v>364</v>
      </c>
      <c r="AQ321">
        <v>364</v>
      </c>
      <c r="AR321">
        <v>303.33333333333331</v>
      </c>
      <c r="AS321">
        <v>273</v>
      </c>
      <c r="AT321">
        <v>364</v>
      </c>
      <c r="AU321">
        <v>291.2</v>
      </c>
      <c r="AV321">
        <v>364</v>
      </c>
      <c r="AW321">
        <v>364</v>
      </c>
      <c r="AX321">
        <v>303.33333333333331</v>
      </c>
      <c r="AY321">
        <v>136.5</v>
      </c>
      <c r="AZ321">
        <v>0</v>
      </c>
      <c r="BA321">
        <v>0</v>
      </c>
      <c r="BB321">
        <v>273</v>
      </c>
      <c r="BC321">
        <v>327.60000000000002</v>
      </c>
      <c r="BD321">
        <v>333.66666666666669</v>
      </c>
      <c r="BE321">
        <v>273</v>
      </c>
      <c r="BF321">
        <v>283.11111111111109</v>
      </c>
      <c r="BG321">
        <v>291.2</v>
      </c>
      <c r="BH321">
        <v>136.5</v>
      </c>
      <c r="BI321">
        <v>0</v>
      </c>
      <c r="BJ321">
        <v>0</v>
      </c>
      <c r="BK321">
        <v>273</v>
      </c>
      <c r="BL321">
        <v>281.27272727272725</v>
      </c>
      <c r="BM321">
        <v>273</v>
      </c>
      <c r="BN321">
        <v>273</v>
      </c>
      <c r="BO321">
        <v>273</v>
      </c>
      <c r="BP321">
        <v>136.5</v>
      </c>
      <c r="BQ321">
        <f>(I321+J321+N321+O321)/4</f>
        <v>3.8333333333333335</v>
      </c>
      <c r="BR321">
        <f>(K321+L321+M321)/3</f>
        <v>3.4</v>
      </c>
      <c r="BS321">
        <f>BQ321/BR321</f>
        <v>1.1274509803921569</v>
      </c>
      <c r="BT321">
        <f>AQ321/I321</f>
        <v>91</v>
      </c>
      <c r="BU321" t="str">
        <f>IF(OR(A321=2, A321=12), "Central", IF(A321=3, "Semi-Central", "Periférica"))</f>
        <v>Periférica</v>
      </c>
    </row>
    <row r="322" spans="1:73" x14ac:dyDescent="0.3">
      <c r="A322" s="1">
        <v>5</v>
      </c>
      <c r="B322" s="1">
        <v>533</v>
      </c>
      <c r="C322" s="1" t="s">
        <v>280</v>
      </c>
      <c r="D322" t="s">
        <v>1</v>
      </c>
      <c r="E322" t="s">
        <v>0</v>
      </c>
      <c r="F322">
        <v>0</v>
      </c>
      <c r="G322">
        <v>0</v>
      </c>
      <c r="H322">
        <v>4</v>
      </c>
      <c r="I322">
        <v>6</v>
      </c>
      <c r="J322">
        <v>5.333333333333333</v>
      </c>
      <c r="K322">
        <v>4.333333333333333</v>
      </c>
      <c r="L322">
        <v>4.666666666666667</v>
      </c>
      <c r="M322">
        <v>5.2</v>
      </c>
      <c r="N322">
        <v>5</v>
      </c>
      <c r="O322">
        <v>5</v>
      </c>
      <c r="P322">
        <v>4.666666666666667</v>
      </c>
      <c r="Q322">
        <v>2.5</v>
      </c>
      <c r="R322">
        <v>0</v>
      </c>
      <c r="S322">
        <v>0</v>
      </c>
      <c r="T322">
        <v>5</v>
      </c>
      <c r="U322">
        <v>5.2</v>
      </c>
      <c r="V322">
        <v>4.666666666666667</v>
      </c>
      <c r="W322">
        <v>5</v>
      </c>
      <c r="X322">
        <v>5.1111111111111107</v>
      </c>
      <c r="Y322">
        <v>4</v>
      </c>
      <c r="Z322">
        <v>3</v>
      </c>
      <c r="AA322">
        <v>0</v>
      </c>
      <c r="AB322">
        <v>0</v>
      </c>
      <c r="AC322">
        <v>4.5</v>
      </c>
      <c r="AD322">
        <v>4</v>
      </c>
      <c r="AE322">
        <v>3.8</v>
      </c>
      <c r="AF322">
        <v>3.6666666666666665</v>
      </c>
      <c r="AG322">
        <v>4</v>
      </c>
      <c r="AH322">
        <v>3</v>
      </c>
      <c r="AI322" s="1">
        <v>5</v>
      </c>
      <c r="AJ322" s="1">
        <v>533</v>
      </c>
      <c r="AK322" s="1" t="s">
        <v>280</v>
      </c>
      <c r="AL322" t="s">
        <v>1</v>
      </c>
      <c r="AM322" t="s">
        <v>0</v>
      </c>
      <c r="AN322">
        <v>0</v>
      </c>
      <c r="AO322">
        <v>0</v>
      </c>
      <c r="AP322">
        <v>324</v>
      </c>
      <c r="AQ322">
        <v>486</v>
      </c>
      <c r="AR322">
        <v>432</v>
      </c>
      <c r="AS322">
        <v>351</v>
      </c>
      <c r="AT322">
        <v>378</v>
      </c>
      <c r="AU322">
        <v>421.2</v>
      </c>
      <c r="AV322">
        <v>405</v>
      </c>
      <c r="AW322">
        <v>405</v>
      </c>
      <c r="AX322">
        <v>378</v>
      </c>
      <c r="AY322">
        <v>202.5</v>
      </c>
      <c r="AZ322">
        <v>0</v>
      </c>
      <c r="BA322">
        <v>0</v>
      </c>
      <c r="BB322">
        <v>405</v>
      </c>
      <c r="BC322">
        <v>421.2</v>
      </c>
      <c r="BD322">
        <v>378</v>
      </c>
      <c r="BE322">
        <v>405</v>
      </c>
      <c r="BF322">
        <v>414</v>
      </c>
      <c r="BG322">
        <v>324</v>
      </c>
      <c r="BH322">
        <v>243</v>
      </c>
      <c r="BI322">
        <v>0</v>
      </c>
      <c r="BJ322">
        <v>0</v>
      </c>
      <c r="BK322">
        <v>364.5</v>
      </c>
      <c r="BL322">
        <v>324</v>
      </c>
      <c r="BM322">
        <v>307.8</v>
      </c>
      <c r="BN322">
        <v>297</v>
      </c>
      <c r="BO322">
        <v>324</v>
      </c>
      <c r="BP322">
        <v>243</v>
      </c>
      <c r="BQ322">
        <f>(I322+J322+N322+O322)/4</f>
        <v>5.333333333333333</v>
      </c>
      <c r="BR322">
        <f>(K322+L322+M322)/3</f>
        <v>4.7333333333333334</v>
      </c>
      <c r="BS322">
        <f>BQ322/BR322</f>
        <v>1.1267605633802815</v>
      </c>
      <c r="BT322">
        <f>AQ322/I322</f>
        <v>81</v>
      </c>
      <c r="BU322" t="str">
        <f>IF(OR(A322=2, A322=12), "Central", IF(A322=3, "Semi-Central", "Periférica"))</f>
        <v>Periférica</v>
      </c>
    </row>
    <row r="323" spans="1:73" x14ac:dyDescent="0.3">
      <c r="A323" s="1">
        <v>11</v>
      </c>
      <c r="B323" s="1">
        <v>1126</v>
      </c>
      <c r="C323" s="1" t="s">
        <v>323</v>
      </c>
      <c r="D323" t="s">
        <v>1</v>
      </c>
      <c r="F323">
        <v>0</v>
      </c>
      <c r="G323">
        <v>0.44444444444444442</v>
      </c>
      <c r="H323">
        <v>6</v>
      </c>
      <c r="I323">
        <v>6</v>
      </c>
      <c r="J323">
        <v>5.333333333333333</v>
      </c>
      <c r="K323">
        <v>5</v>
      </c>
      <c r="L323">
        <v>4.666666666666667</v>
      </c>
      <c r="M323">
        <v>5.2</v>
      </c>
      <c r="N323">
        <v>6</v>
      </c>
      <c r="O323">
        <v>5</v>
      </c>
      <c r="P323">
        <v>4</v>
      </c>
      <c r="Q323">
        <v>2</v>
      </c>
      <c r="R323">
        <v>0</v>
      </c>
      <c r="S323">
        <v>0.22222222222222221</v>
      </c>
      <c r="T323">
        <v>3</v>
      </c>
      <c r="U323">
        <v>3.2</v>
      </c>
      <c r="V323">
        <v>4</v>
      </c>
      <c r="W323">
        <v>4</v>
      </c>
      <c r="X323">
        <v>4</v>
      </c>
      <c r="Y323">
        <v>3.2</v>
      </c>
      <c r="Z323">
        <v>1.5</v>
      </c>
      <c r="AA323">
        <v>0</v>
      </c>
      <c r="AB323">
        <v>0</v>
      </c>
      <c r="AC323">
        <v>2</v>
      </c>
      <c r="AD323">
        <v>3.0909090909090908</v>
      </c>
      <c r="AE323">
        <v>3.2</v>
      </c>
      <c r="AF323">
        <v>3.333333333333333</v>
      </c>
      <c r="AG323">
        <v>4</v>
      </c>
      <c r="AH323">
        <v>3</v>
      </c>
      <c r="AI323" s="1">
        <v>11</v>
      </c>
      <c r="AJ323" s="1">
        <v>1126</v>
      </c>
      <c r="AK323" s="1" t="s">
        <v>323</v>
      </c>
      <c r="AL323" t="s">
        <v>1</v>
      </c>
      <c r="AN323">
        <v>0</v>
      </c>
      <c r="AO323">
        <v>40</v>
      </c>
      <c r="AP323">
        <v>540</v>
      </c>
      <c r="AQ323">
        <v>540</v>
      </c>
      <c r="AR323">
        <v>480</v>
      </c>
      <c r="AS323">
        <v>450</v>
      </c>
      <c r="AT323">
        <v>420</v>
      </c>
      <c r="AU323">
        <v>468</v>
      </c>
      <c r="AV323">
        <v>540</v>
      </c>
      <c r="AW323">
        <v>450</v>
      </c>
      <c r="AX323">
        <v>360</v>
      </c>
      <c r="AY323">
        <v>180</v>
      </c>
      <c r="AZ323">
        <v>0</v>
      </c>
      <c r="BA323">
        <v>20</v>
      </c>
      <c r="BB323">
        <v>270</v>
      </c>
      <c r="BC323">
        <v>288</v>
      </c>
      <c r="BD323">
        <v>360</v>
      </c>
      <c r="BE323">
        <v>360</v>
      </c>
      <c r="BF323">
        <v>360</v>
      </c>
      <c r="BG323">
        <v>288</v>
      </c>
      <c r="BH323">
        <v>135</v>
      </c>
      <c r="BI323">
        <v>0</v>
      </c>
      <c r="BJ323">
        <v>0</v>
      </c>
      <c r="BK323">
        <v>180</v>
      </c>
      <c r="BL323">
        <v>278.18181818181819</v>
      </c>
      <c r="BM323">
        <v>288</v>
      </c>
      <c r="BN323">
        <v>300</v>
      </c>
      <c r="BO323">
        <v>360</v>
      </c>
      <c r="BP323">
        <v>270</v>
      </c>
      <c r="BQ323">
        <f>(I323+J323+N323+O323)/4</f>
        <v>5.583333333333333</v>
      </c>
      <c r="BR323">
        <f>(K323+L323+M323)/3</f>
        <v>4.9555555555555557</v>
      </c>
      <c r="BS323">
        <f>BQ323/BR323</f>
        <v>1.1266816143497758</v>
      </c>
      <c r="BT323">
        <f>AQ323/I323</f>
        <v>90</v>
      </c>
      <c r="BU323" t="str">
        <f>IF(OR(A323=2, A323=12), "Central", IF(A323=3, "Semi-Central", "Periférica"))</f>
        <v>Periférica</v>
      </c>
    </row>
    <row r="324" spans="1:73" x14ac:dyDescent="0.3">
      <c r="A324" s="1">
        <v>14</v>
      </c>
      <c r="B324" s="1">
        <v>1451</v>
      </c>
      <c r="C324" s="1">
        <v>481</v>
      </c>
      <c r="D324" t="s">
        <v>5</v>
      </c>
      <c r="F324">
        <v>0</v>
      </c>
      <c r="G324">
        <v>0</v>
      </c>
      <c r="H324">
        <v>0</v>
      </c>
      <c r="I324">
        <v>4.666666666666667</v>
      </c>
      <c r="J324">
        <v>4.666666666666667</v>
      </c>
      <c r="K324">
        <v>5</v>
      </c>
      <c r="L324">
        <v>4.666666666666667</v>
      </c>
      <c r="M324">
        <v>5.2</v>
      </c>
      <c r="N324">
        <v>6.5</v>
      </c>
      <c r="O324">
        <v>6.5</v>
      </c>
      <c r="P324">
        <v>4.666666666666667</v>
      </c>
      <c r="Q324">
        <v>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s="1">
        <v>14</v>
      </c>
      <c r="AJ324" s="1">
        <v>1451</v>
      </c>
      <c r="AK324" s="1">
        <v>481</v>
      </c>
      <c r="AL324" t="s">
        <v>5</v>
      </c>
      <c r="AN324">
        <v>0</v>
      </c>
      <c r="AO324">
        <v>0</v>
      </c>
      <c r="AP324">
        <v>0</v>
      </c>
      <c r="AQ324">
        <v>420</v>
      </c>
      <c r="AR324">
        <v>420</v>
      </c>
      <c r="AS324">
        <v>450</v>
      </c>
      <c r="AT324">
        <v>420</v>
      </c>
      <c r="AU324">
        <v>468</v>
      </c>
      <c r="AV324">
        <v>585</v>
      </c>
      <c r="AW324">
        <v>585</v>
      </c>
      <c r="AX324">
        <v>420</v>
      </c>
      <c r="AY324">
        <v>180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f>(I324+J324+N324+O324)/4</f>
        <v>5.5833333333333339</v>
      </c>
      <c r="BR324">
        <f>(K324+L324+M324)/3</f>
        <v>4.9555555555555557</v>
      </c>
      <c r="BS324">
        <f>BQ324/BR324</f>
        <v>1.1266816143497758</v>
      </c>
      <c r="BT324">
        <f>AQ324/I324</f>
        <v>90</v>
      </c>
      <c r="BU324" t="str">
        <f>IF(OR(A324=2, A324=12), "Central", IF(A324=3, "Semi-Central", "Periférica"))</f>
        <v>Periférica</v>
      </c>
    </row>
    <row r="325" spans="1:73" x14ac:dyDescent="0.3">
      <c r="A325" s="1">
        <v>10</v>
      </c>
      <c r="B325" s="1">
        <v>1004</v>
      </c>
      <c r="C325" s="1">
        <v>104</v>
      </c>
      <c r="D325" t="s">
        <v>5</v>
      </c>
      <c r="E325" t="s">
        <v>0</v>
      </c>
      <c r="F325">
        <v>3</v>
      </c>
      <c r="G325">
        <v>2</v>
      </c>
      <c r="H325">
        <v>7</v>
      </c>
      <c r="I325">
        <v>10</v>
      </c>
      <c r="J325">
        <v>10.66666666666667</v>
      </c>
      <c r="K325">
        <v>10</v>
      </c>
      <c r="L325">
        <v>10</v>
      </c>
      <c r="M325">
        <v>10.4</v>
      </c>
      <c r="N325">
        <v>13</v>
      </c>
      <c r="O325">
        <v>12</v>
      </c>
      <c r="P325">
        <v>10</v>
      </c>
      <c r="Q325">
        <v>7</v>
      </c>
      <c r="R325">
        <v>3</v>
      </c>
      <c r="S325">
        <v>2</v>
      </c>
      <c r="T325">
        <v>4</v>
      </c>
      <c r="U325">
        <v>7.2</v>
      </c>
      <c r="V325">
        <v>8</v>
      </c>
      <c r="W325">
        <v>8</v>
      </c>
      <c r="X325">
        <v>8</v>
      </c>
      <c r="Y325">
        <v>7.2</v>
      </c>
      <c r="Z325">
        <v>5.5</v>
      </c>
      <c r="AA325">
        <v>3</v>
      </c>
      <c r="AB325">
        <v>2.2222222222222219</v>
      </c>
      <c r="AC325">
        <v>3.5</v>
      </c>
      <c r="AD325">
        <v>6</v>
      </c>
      <c r="AE325">
        <v>6.8</v>
      </c>
      <c r="AF325">
        <v>6</v>
      </c>
      <c r="AG325">
        <v>5</v>
      </c>
      <c r="AH325">
        <v>4</v>
      </c>
      <c r="AI325" s="1">
        <v>10</v>
      </c>
      <c r="AJ325" s="1">
        <v>1004</v>
      </c>
      <c r="AK325" s="1">
        <v>104</v>
      </c>
      <c r="AL325" t="s">
        <v>5</v>
      </c>
      <c r="AM325" t="s">
        <v>0</v>
      </c>
      <c r="AN325">
        <v>450</v>
      </c>
      <c r="AO325">
        <v>300</v>
      </c>
      <c r="AP325">
        <v>1050</v>
      </c>
      <c r="AQ325">
        <v>1500</v>
      </c>
      <c r="AR325">
        <v>1600</v>
      </c>
      <c r="AS325">
        <v>1500</v>
      </c>
      <c r="AT325">
        <v>1500</v>
      </c>
      <c r="AU325">
        <v>1560</v>
      </c>
      <c r="AV325">
        <v>1950</v>
      </c>
      <c r="AW325">
        <v>1800</v>
      </c>
      <c r="AX325">
        <v>1500</v>
      </c>
      <c r="AY325">
        <v>1050</v>
      </c>
      <c r="AZ325">
        <v>450</v>
      </c>
      <c r="BA325">
        <v>300</v>
      </c>
      <c r="BB325">
        <v>600</v>
      </c>
      <c r="BC325">
        <v>1080</v>
      </c>
      <c r="BD325">
        <v>1200</v>
      </c>
      <c r="BE325">
        <v>1200</v>
      </c>
      <c r="BF325">
        <v>1200</v>
      </c>
      <c r="BG325">
        <v>1080</v>
      </c>
      <c r="BH325">
        <v>825</v>
      </c>
      <c r="BI325">
        <v>450</v>
      </c>
      <c r="BJ325">
        <v>333.33333333333331</v>
      </c>
      <c r="BK325">
        <v>525</v>
      </c>
      <c r="BL325">
        <v>900</v>
      </c>
      <c r="BM325">
        <v>1020</v>
      </c>
      <c r="BN325">
        <v>900</v>
      </c>
      <c r="BO325">
        <v>750</v>
      </c>
      <c r="BP325">
        <v>600</v>
      </c>
      <c r="BQ325">
        <f>(I325+J325+N325+O325)/4</f>
        <v>11.416666666666668</v>
      </c>
      <c r="BR325">
        <f>(K325+L325+M325)/3</f>
        <v>10.133333333333333</v>
      </c>
      <c r="BS325">
        <f>BQ325/BR325</f>
        <v>1.1266447368421055</v>
      </c>
      <c r="BT325">
        <f>AQ325/I325</f>
        <v>150</v>
      </c>
      <c r="BU325" t="str">
        <f>IF(OR(A325=2, A325=12), "Central", IF(A325=3, "Semi-Central", "Periférica"))</f>
        <v>Periférica</v>
      </c>
    </row>
    <row r="326" spans="1:73" x14ac:dyDescent="0.3">
      <c r="A326" s="1">
        <v>8</v>
      </c>
      <c r="B326" s="1">
        <v>808</v>
      </c>
      <c r="C326" s="1" t="s">
        <v>337</v>
      </c>
      <c r="D326" t="s">
        <v>5</v>
      </c>
      <c r="F326">
        <v>1</v>
      </c>
      <c r="G326">
        <v>0</v>
      </c>
      <c r="H326">
        <v>5</v>
      </c>
      <c r="I326">
        <v>6</v>
      </c>
      <c r="J326">
        <v>5.333333333333333</v>
      </c>
      <c r="K326">
        <v>5</v>
      </c>
      <c r="L326">
        <v>5.333333333333333</v>
      </c>
      <c r="M326">
        <v>5.2</v>
      </c>
      <c r="N326">
        <v>6</v>
      </c>
      <c r="O326">
        <v>6</v>
      </c>
      <c r="P326">
        <v>5.333333333333333</v>
      </c>
      <c r="Q326">
        <v>3.5</v>
      </c>
      <c r="R326">
        <v>1</v>
      </c>
      <c r="S326">
        <v>0.44444444444444442</v>
      </c>
      <c r="T326">
        <v>3</v>
      </c>
      <c r="U326">
        <v>4.4000000000000004</v>
      </c>
      <c r="V326">
        <v>5</v>
      </c>
      <c r="W326">
        <v>5</v>
      </c>
      <c r="X326">
        <v>4.8888888888888893</v>
      </c>
      <c r="Y326">
        <v>4.8</v>
      </c>
      <c r="Z326">
        <v>3.5</v>
      </c>
      <c r="AA326">
        <v>0</v>
      </c>
      <c r="AB326">
        <v>0.44444444444444442</v>
      </c>
      <c r="AC326">
        <v>3</v>
      </c>
      <c r="AD326">
        <v>3.0909090909090908</v>
      </c>
      <c r="AE326">
        <v>3</v>
      </c>
      <c r="AF326">
        <v>3</v>
      </c>
      <c r="AG326">
        <v>3</v>
      </c>
      <c r="AH326">
        <v>2.5</v>
      </c>
      <c r="AI326" s="1">
        <v>8</v>
      </c>
      <c r="AJ326" s="1">
        <v>808</v>
      </c>
      <c r="AK326" s="1" t="s">
        <v>337</v>
      </c>
      <c r="AL326" t="s">
        <v>5</v>
      </c>
      <c r="AN326">
        <v>60</v>
      </c>
      <c r="AO326">
        <v>0</v>
      </c>
      <c r="AP326">
        <v>300</v>
      </c>
      <c r="AQ326">
        <v>360</v>
      </c>
      <c r="AR326">
        <v>320</v>
      </c>
      <c r="AS326">
        <v>300</v>
      </c>
      <c r="AT326">
        <v>320</v>
      </c>
      <c r="AU326">
        <v>312</v>
      </c>
      <c r="AV326">
        <v>360</v>
      </c>
      <c r="AW326">
        <v>360</v>
      </c>
      <c r="AX326">
        <v>320</v>
      </c>
      <c r="AY326">
        <v>210</v>
      </c>
      <c r="AZ326">
        <v>60</v>
      </c>
      <c r="BA326">
        <v>26.666666666666671</v>
      </c>
      <c r="BB326">
        <v>180</v>
      </c>
      <c r="BC326">
        <v>264</v>
      </c>
      <c r="BD326">
        <v>300</v>
      </c>
      <c r="BE326">
        <v>300</v>
      </c>
      <c r="BF326">
        <v>293.33333333333331</v>
      </c>
      <c r="BG326">
        <v>288</v>
      </c>
      <c r="BH326">
        <v>210</v>
      </c>
      <c r="BI326">
        <v>0</v>
      </c>
      <c r="BJ326">
        <v>26.666666666666671</v>
      </c>
      <c r="BK326">
        <v>180</v>
      </c>
      <c r="BL326">
        <v>185.4545454545455</v>
      </c>
      <c r="BM326">
        <v>180</v>
      </c>
      <c r="BN326">
        <v>180</v>
      </c>
      <c r="BO326">
        <v>180</v>
      </c>
      <c r="BP326">
        <v>150</v>
      </c>
      <c r="BQ326">
        <f>(I326+J326+N326+O326)/4</f>
        <v>5.833333333333333</v>
      </c>
      <c r="BR326">
        <f>(K326+L326+M326)/3</f>
        <v>5.1777777777777771</v>
      </c>
      <c r="BS326">
        <f>BQ326/BR326</f>
        <v>1.1266094420600858</v>
      </c>
      <c r="BT326">
        <f>AQ326/I326</f>
        <v>60</v>
      </c>
      <c r="BU326" t="str">
        <f>IF(OR(A326=2, A326=12), "Central", IF(A326=3, "Semi-Central", "Periférica"))</f>
        <v>Periférica</v>
      </c>
    </row>
    <row r="327" spans="1:73" x14ac:dyDescent="0.3">
      <c r="A327" s="1">
        <v>9</v>
      </c>
      <c r="B327" s="1">
        <v>938</v>
      </c>
      <c r="C327" s="1" t="s">
        <v>336</v>
      </c>
      <c r="D327" t="s">
        <v>1</v>
      </c>
      <c r="F327">
        <v>1</v>
      </c>
      <c r="G327">
        <v>0.22222222222222221</v>
      </c>
      <c r="H327">
        <v>6</v>
      </c>
      <c r="I327">
        <v>5.333333333333333</v>
      </c>
      <c r="J327">
        <v>6</v>
      </c>
      <c r="K327">
        <v>5.666666666666667</v>
      </c>
      <c r="L327">
        <v>5.333333333333333</v>
      </c>
      <c r="M327">
        <v>5.2</v>
      </c>
      <c r="N327">
        <v>6.5</v>
      </c>
      <c r="O327">
        <v>6.5</v>
      </c>
      <c r="P327">
        <v>4</v>
      </c>
      <c r="Q327">
        <v>3.5</v>
      </c>
      <c r="R327">
        <v>1</v>
      </c>
      <c r="S327">
        <v>0</v>
      </c>
      <c r="T327">
        <v>2</v>
      </c>
      <c r="U327">
        <v>3.2</v>
      </c>
      <c r="V327">
        <v>4</v>
      </c>
      <c r="W327">
        <v>4</v>
      </c>
      <c r="X327">
        <v>4</v>
      </c>
      <c r="Y327">
        <v>3.6</v>
      </c>
      <c r="Z327">
        <v>3</v>
      </c>
      <c r="AA327">
        <v>1</v>
      </c>
      <c r="AB327">
        <v>0</v>
      </c>
      <c r="AC327">
        <v>3</v>
      </c>
      <c r="AD327">
        <v>3.2727272727272729</v>
      </c>
      <c r="AE327">
        <v>3</v>
      </c>
      <c r="AF327">
        <v>3</v>
      </c>
      <c r="AG327">
        <v>3</v>
      </c>
      <c r="AH327">
        <v>2.5</v>
      </c>
      <c r="AI327" s="1">
        <v>9</v>
      </c>
      <c r="AJ327" s="1">
        <v>938</v>
      </c>
      <c r="AK327" s="1" t="s">
        <v>336</v>
      </c>
      <c r="AL327" t="s">
        <v>1</v>
      </c>
      <c r="AN327">
        <v>90</v>
      </c>
      <c r="AO327">
        <v>20</v>
      </c>
      <c r="AP327">
        <v>540</v>
      </c>
      <c r="AQ327">
        <v>480</v>
      </c>
      <c r="AR327">
        <v>540</v>
      </c>
      <c r="AS327">
        <v>510</v>
      </c>
      <c r="AT327">
        <v>480</v>
      </c>
      <c r="AU327">
        <v>468</v>
      </c>
      <c r="AV327">
        <v>585</v>
      </c>
      <c r="AW327">
        <v>585</v>
      </c>
      <c r="AX327">
        <v>360</v>
      </c>
      <c r="AY327">
        <v>315</v>
      </c>
      <c r="AZ327">
        <v>90</v>
      </c>
      <c r="BA327">
        <v>0</v>
      </c>
      <c r="BB327">
        <v>180</v>
      </c>
      <c r="BC327">
        <v>288</v>
      </c>
      <c r="BD327">
        <v>360</v>
      </c>
      <c r="BE327">
        <v>360</v>
      </c>
      <c r="BF327">
        <v>360</v>
      </c>
      <c r="BG327">
        <v>324</v>
      </c>
      <c r="BH327">
        <v>270</v>
      </c>
      <c r="BI327">
        <v>90</v>
      </c>
      <c r="BJ327">
        <v>0</v>
      </c>
      <c r="BK327">
        <v>270</v>
      </c>
      <c r="BL327">
        <v>294.54545454545462</v>
      </c>
      <c r="BM327">
        <v>270</v>
      </c>
      <c r="BN327">
        <v>270</v>
      </c>
      <c r="BO327">
        <v>270</v>
      </c>
      <c r="BP327">
        <v>225</v>
      </c>
      <c r="BQ327">
        <f>(I327+J327+N327+O327)/4</f>
        <v>6.083333333333333</v>
      </c>
      <c r="BR327">
        <f>(K327+L327+M327)/3</f>
        <v>5.3999999999999995</v>
      </c>
      <c r="BS327">
        <f>BQ327/BR327</f>
        <v>1.1265432098765433</v>
      </c>
      <c r="BT327">
        <f>AQ327/I327</f>
        <v>90</v>
      </c>
      <c r="BU327" t="str">
        <f>IF(OR(A327=2, A327=12), "Central", IF(A327=3, "Semi-Central", "Periférica"))</f>
        <v>Periférica</v>
      </c>
    </row>
    <row r="328" spans="1:73" x14ac:dyDescent="0.3">
      <c r="A328" s="1">
        <v>8</v>
      </c>
      <c r="B328" s="1">
        <v>820</v>
      </c>
      <c r="C328" s="1" t="s">
        <v>164</v>
      </c>
      <c r="D328" t="s">
        <v>5</v>
      </c>
      <c r="F328">
        <v>0</v>
      </c>
      <c r="G328">
        <v>0</v>
      </c>
      <c r="H328">
        <v>5</v>
      </c>
      <c r="I328">
        <v>5.333333333333333</v>
      </c>
      <c r="J328">
        <v>4.666666666666667</v>
      </c>
      <c r="K328">
        <v>4</v>
      </c>
      <c r="L328">
        <v>5.333333333333333</v>
      </c>
      <c r="M328">
        <v>4</v>
      </c>
      <c r="N328">
        <v>5</v>
      </c>
      <c r="O328">
        <v>5</v>
      </c>
      <c r="P328">
        <v>4</v>
      </c>
      <c r="Q328">
        <v>1.5</v>
      </c>
      <c r="R328">
        <v>0</v>
      </c>
      <c r="S328">
        <v>0</v>
      </c>
      <c r="T328">
        <v>3</v>
      </c>
      <c r="U328">
        <v>4.8</v>
      </c>
      <c r="V328">
        <v>4</v>
      </c>
      <c r="W328">
        <v>3.666666666666667</v>
      </c>
      <c r="X328">
        <v>2.8888888888888888</v>
      </c>
      <c r="Y328">
        <v>2.4</v>
      </c>
      <c r="Z328">
        <v>1</v>
      </c>
      <c r="AA328">
        <v>0</v>
      </c>
      <c r="AB328">
        <v>0</v>
      </c>
      <c r="AC328">
        <v>2.5</v>
      </c>
      <c r="AD328">
        <v>3.0909090909090908</v>
      </c>
      <c r="AE328">
        <v>3</v>
      </c>
      <c r="AF328">
        <v>3</v>
      </c>
      <c r="AG328">
        <v>2</v>
      </c>
      <c r="AH328">
        <v>1</v>
      </c>
      <c r="AI328" s="1">
        <v>8</v>
      </c>
      <c r="AJ328" s="1">
        <v>820</v>
      </c>
      <c r="AK328" s="1" t="s">
        <v>164</v>
      </c>
      <c r="AL328" t="s">
        <v>5</v>
      </c>
      <c r="AN328">
        <v>0</v>
      </c>
      <c r="AO328">
        <v>0</v>
      </c>
      <c r="AP328">
        <v>450</v>
      </c>
      <c r="AQ328">
        <v>480</v>
      </c>
      <c r="AR328">
        <v>420</v>
      </c>
      <c r="AS328">
        <v>360</v>
      </c>
      <c r="AT328">
        <v>480</v>
      </c>
      <c r="AU328">
        <v>360</v>
      </c>
      <c r="AV328">
        <v>450</v>
      </c>
      <c r="AW328">
        <v>450</v>
      </c>
      <c r="AX328">
        <v>360</v>
      </c>
      <c r="AY328">
        <v>135</v>
      </c>
      <c r="AZ328">
        <v>0</v>
      </c>
      <c r="BA328">
        <v>0</v>
      </c>
      <c r="BB328">
        <v>270</v>
      </c>
      <c r="BC328">
        <v>432</v>
      </c>
      <c r="BD328">
        <v>360</v>
      </c>
      <c r="BE328">
        <v>330</v>
      </c>
      <c r="BF328">
        <v>260</v>
      </c>
      <c r="BG328">
        <v>216</v>
      </c>
      <c r="BH328">
        <v>90</v>
      </c>
      <c r="BI328">
        <v>0</v>
      </c>
      <c r="BJ328">
        <v>0</v>
      </c>
      <c r="BK328">
        <v>225</v>
      </c>
      <c r="BL328">
        <v>278.18181818181819</v>
      </c>
      <c r="BM328">
        <v>270</v>
      </c>
      <c r="BN328">
        <v>270</v>
      </c>
      <c r="BO328">
        <v>180</v>
      </c>
      <c r="BP328">
        <v>90</v>
      </c>
      <c r="BQ328">
        <f>(I328+J328+N328+O328)/4</f>
        <v>5</v>
      </c>
      <c r="BR328">
        <f>(K328+L328+M328)/3</f>
        <v>4.4444444444444438</v>
      </c>
      <c r="BS328">
        <f>BQ328/BR328</f>
        <v>1.1250000000000002</v>
      </c>
      <c r="BT328">
        <f>AQ328/I328</f>
        <v>90</v>
      </c>
      <c r="BU328" t="str">
        <f>IF(OR(A328=2, A328=12), "Central", IF(A328=3, "Semi-Central", "Periférica"))</f>
        <v>Periférica</v>
      </c>
    </row>
    <row r="329" spans="1:73" x14ac:dyDescent="0.3">
      <c r="A329" s="1">
        <v>16</v>
      </c>
      <c r="B329" s="1">
        <v>1638</v>
      </c>
      <c r="C329" s="1" t="s">
        <v>330</v>
      </c>
      <c r="D329" t="s">
        <v>5</v>
      </c>
      <c r="F329">
        <v>0</v>
      </c>
      <c r="G329">
        <v>0</v>
      </c>
      <c r="H329">
        <v>4</v>
      </c>
      <c r="I329">
        <v>6</v>
      </c>
      <c r="J329">
        <v>4</v>
      </c>
      <c r="K329">
        <v>4</v>
      </c>
      <c r="L329">
        <v>4.666666666666667</v>
      </c>
      <c r="M329">
        <v>4</v>
      </c>
      <c r="N329">
        <v>4.5</v>
      </c>
      <c r="O329">
        <v>4.5</v>
      </c>
      <c r="P329">
        <v>4</v>
      </c>
      <c r="Q329">
        <v>1.5</v>
      </c>
      <c r="R329">
        <v>0</v>
      </c>
      <c r="S329">
        <v>0</v>
      </c>
      <c r="T329">
        <v>3</v>
      </c>
      <c r="U329">
        <v>3.6</v>
      </c>
      <c r="V329">
        <v>3.666666666666667</v>
      </c>
      <c r="W329">
        <v>3.666666666666667</v>
      </c>
      <c r="X329">
        <v>4</v>
      </c>
      <c r="Y329">
        <v>3.2</v>
      </c>
      <c r="Z329">
        <v>1.5</v>
      </c>
      <c r="AA329">
        <v>0</v>
      </c>
      <c r="AB329">
        <v>0</v>
      </c>
      <c r="AC329">
        <v>2</v>
      </c>
      <c r="AD329">
        <v>3.8181818181818179</v>
      </c>
      <c r="AE329">
        <v>3.8</v>
      </c>
      <c r="AF329">
        <v>3.666666666666667</v>
      </c>
      <c r="AG329">
        <v>3</v>
      </c>
      <c r="AH329">
        <v>1.5</v>
      </c>
      <c r="AI329" s="1">
        <v>16</v>
      </c>
      <c r="AJ329" s="1">
        <v>1638</v>
      </c>
      <c r="AK329" s="1" t="s">
        <v>330</v>
      </c>
      <c r="AL329" t="s">
        <v>5</v>
      </c>
      <c r="AN329">
        <v>0</v>
      </c>
      <c r="AO329">
        <v>0</v>
      </c>
      <c r="AP329">
        <v>360</v>
      </c>
      <c r="AQ329">
        <v>540</v>
      </c>
      <c r="AR329">
        <v>360</v>
      </c>
      <c r="AS329">
        <v>360</v>
      </c>
      <c r="AT329">
        <v>420</v>
      </c>
      <c r="AU329">
        <v>360</v>
      </c>
      <c r="AV329">
        <v>405</v>
      </c>
      <c r="AW329">
        <v>405</v>
      </c>
      <c r="AX329">
        <v>360</v>
      </c>
      <c r="AY329">
        <v>135</v>
      </c>
      <c r="AZ329">
        <v>0</v>
      </c>
      <c r="BA329">
        <v>0</v>
      </c>
      <c r="BB329">
        <v>270</v>
      </c>
      <c r="BC329">
        <v>324</v>
      </c>
      <c r="BD329">
        <v>330</v>
      </c>
      <c r="BE329">
        <v>330</v>
      </c>
      <c r="BF329">
        <v>360</v>
      </c>
      <c r="BG329">
        <v>288</v>
      </c>
      <c r="BH329">
        <v>135</v>
      </c>
      <c r="BI329">
        <v>0</v>
      </c>
      <c r="BJ329">
        <v>0</v>
      </c>
      <c r="BK329">
        <v>180</v>
      </c>
      <c r="BL329">
        <v>343.63636363636363</v>
      </c>
      <c r="BM329">
        <v>342</v>
      </c>
      <c r="BN329">
        <v>330</v>
      </c>
      <c r="BO329">
        <v>270</v>
      </c>
      <c r="BP329">
        <v>135</v>
      </c>
      <c r="BQ329">
        <f>(I329+J329+N329+O329)/4</f>
        <v>4.75</v>
      </c>
      <c r="BR329">
        <f>(K329+L329+M329)/3</f>
        <v>4.2222222222222223</v>
      </c>
      <c r="BS329">
        <f>BQ329/BR329</f>
        <v>1.125</v>
      </c>
      <c r="BT329">
        <f>AQ329/I329</f>
        <v>90</v>
      </c>
      <c r="BU329" t="str">
        <f>IF(OR(A329=2, A329=12), "Central", IF(A329=3, "Semi-Central", "Periférica"))</f>
        <v>Periférica</v>
      </c>
    </row>
    <row r="330" spans="1:73" x14ac:dyDescent="0.3">
      <c r="A330" s="1">
        <v>18</v>
      </c>
      <c r="B330" s="1">
        <v>1845</v>
      </c>
      <c r="C330" s="1">
        <v>345</v>
      </c>
      <c r="D330" t="s">
        <v>1</v>
      </c>
      <c r="E330" t="s">
        <v>0</v>
      </c>
      <c r="F330">
        <v>0</v>
      </c>
      <c r="G330">
        <v>0</v>
      </c>
      <c r="H330">
        <v>4</v>
      </c>
      <c r="I330">
        <v>5.333333333333333</v>
      </c>
      <c r="J330">
        <v>4.666666666666667</v>
      </c>
      <c r="K330">
        <v>4.666666666666667</v>
      </c>
      <c r="L330">
        <v>4</v>
      </c>
      <c r="M330">
        <v>4</v>
      </c>
      <c r="N330">
        <v>4.5</v>
      </c>
      <c r="O330">
        <v>4.5</v>
      </c>
      <c r="P330">
        <v>4.666666666666667</v>
      </c>
      <c r="Q330">
        <v>2.5</v>
      </c>
      <c r="R330">
        <v>0</v>
      </c>
      <c r="S330">
        <v>0</v>
      </c>
      <c r="T330">
        <v>3</v>
      </c>
      <c r="U330">
        <v>5.2</v>
      </c>
      <c r="V330">
        <v>4.666666666666667</v>
      </c>
      <c r="W330">
        <v>4</v>
      </c>
      <c r="X330">
        <v>4</v>
      </c>
      <c r="Y330">
        <v>4</v>
      </c>
      <c r="Z330">
        <v>2.5</v>
      </c>
      <c r="AA330">
        <v>0</v>
      </c>
      <c r="AB330">
        <v>0</v>
      </c>
      <c r="AC330">
        <v>3</v>
      </c>
      <c r="AD330">
        <v>3.454545454545455</v>
      </c>
      <c r="AE330">
        <v>3.6</v>
      </c>
      <c r="AF330">
        <v>3.333333333333333</v>
      </c>
      <c r="AG330">
        <v>3</v>
      </c>
      <c r="AH330">
        <v>2.5</v>
      </c>
      <c r="AI330" s="1">
        <v>18</v>
      </c>
      <c r="AJ330" s="1">
        <v>1845</v>
      </c>
      <c r="AK330" s="1">
        <v>345</v>
      </c>
      <c r="AL330" t="s">
        <v>1</v>
      </c>
      <c r="AM330" t="s">
        <v>0</v>
      </c>
      <c r="AN330">
        <v>0</v>
      </c>
      <c r="AO330">
        <v>0</v>
      </c>
      <c r="AP330">
        <v>360</v>
      </c>
      <c r="AQ330">
        <v>480</v>
      </c>
      <c r="AR330">
        <v>420</v>
      </c>
      <c r="AS330">
        <v>420</v>
      </c>
      <c r="AT330">
        <v>360</v>
      </c>
      <c r="AU330">
        <v>360</v>
      </c>
      <c r="AV330">
        <v>405</v>
      </c>
      <c r="AW330">
        <v>405</v>
      </c>
      <c r="AX330">
        <v>420</v>
      </c>
      <c r="AY330">
        <v>225</v>
      </c>
      <c r="AZ330">
        <v>0</v>
      </c>
      <c r="BA330">
        <v>0</v>
      </c>
      <c r="BB330">
        <v>270</v>
      </c>
      <c r="BC330">
        <v>468</v>
      </c>
      <c r="BD330">
        <v>420</v>
      </c>
      <c r="BE330">
        <v>360</v>
      </c>
      <c r="BF330">
        <v>360</v>
      </c>
      <c r="BG330">
        <v>360</v>
      </c>
      <c r="BH330">
        <v>225</v>
      </c>
      <c r="BI330">
        <v>0</v>
      </c>
      <c r="BJ330">
        <v>0</v>
      </c>
      <c r="BK330">
        <v>270</v>
      </c>
      <c r="BL330">
        <v>310.90909090909088</v>
      </c>
      <c r="BM330">
        <v>324</v>
      </c>
      <c r="BN330">
        <v>300</v>
      </c>
      <c r="BO330">
        <v>270</v>
      </c>
      <c r="BP330">
        <v>225</v>
      </c>
      <c r="BQ330">
        <f>(I330+J330+N330+O330)/4</f>
        <v>4.75</v>
      </c>
      <c r="BR330">
        <f>(K330+L330+M330)/3</f>
        <v>4.2222222222222223</v>
      </c>
      <c r="BS330">
        <f>BQ330/BR330</f>
        <v>1.125</v>
      </c>
      <c r="BT330">
        <f>AQ330/I330</f>
        <v>90</v>
      </c>
      <c r="BU330" t="str">
        <f>IF(OR(A330=2, A330=12), "Central", IF(A330=3, "Semi-Central", "Periférica"))</f>
        <v>Periférica</v>
      </c>
    </row>
    <row r="331" spans="1:73" x14ac:dyDescent="0.3">
      <c r="A331" s="1">
        <v>11</v>
      </c>
      <c r="B331" s="1">
        <v>1142</v>
      </c>
      <c r="C331" s="1" t="s">
        <v>335</v>
      </c>
      <c r="D331" t="s">
        <v>5</v>
      </c>
      <c r="F331">
        <v>0</v>
      </c>
      <c r="G331">
        <v>0</v>
      </c>
      <c r="H331">
        <v>4</v>
      </c>
      <c r="I331">
        <v>5.333333333333333</v>
      </c>
      <c r="J331">
        <v>5.333333333333333</v>
      </c>
      <c r="K331">
        <v>5</v>
      </c>
      <c r="L331">
        <v>4.666666666666667</v>
      </c>
      <c r="M331">
        <v>4.8</v>
      </c>
      <c r="N331">
        <v>5.5</v>
      </c>
      <c r="O331">
        <v>5.5</v>
      </c>
      <c r="P331">
        <v>3.333333333333333</v>
      </c>
      <c r="Q331">
        <v>3</v>
      </c>
      <c r="R331">
        <v>0</v>
      </c>
      <c r="S331">
        <v>0</v>
      </c>
      <c r="T331">
        <v>2</v>
      </c>
      <c r="U331">
        <v>3.6</v>
      </c>
      <c r="V331">
        <v>4</v>
      </c>
      <c r="W331">
        <v>4</v>
      </c>
      <c r="X331">
        <v>3.5555555555555549</v>
      </c>
      <c r="Y331">
        <v>2.8</v>
      </c>
      <c r="Z331">
        <v>3</v>
      </c>
      <c r="AA331">
        <v>0</v>
      </c>
      <c r="AB331">
        <v>0</v>
      </c>
      <c r="AC331">
        <v>2.5</v>
      </c>
      <c r="AD331">
        <v>3.0909090909090908</v>
      </c>
      <c r="AE331">
        <v>3</v>
      </c>
      <c r="AF331">
        <v>3</v>
      </c>
      <c r="AG331">
        <v>2</v>
      </c>
      <c r="AH331">
        <v>2</v>
      </c>
      <c r="AI331" s="1">
        <v>11</v>
      </c>
      <c r="AJ331" s="1">
        <v>1142</v>
      </c>
      <c r="AK331" s="1" t="s">
        <v>335</v>
      </c>
      <c r="AL331" t="s">
        <v>5</v>
      </c>
      <c r="AN331">
        <v>0</v>
      </c>
      <c r="AO331">
        <v>0</v>
      </c>
      <c r="AP331">
        <v>240</v>
      </c>
      <c r="AQ331">
        <v>320</v>
      </c>
      <c r="AR331">
        <v>320</v>
      </c>
      <c r="AS331">
        <v>300</v>
      </c>
      <c r="AT331">
        <v>280</v>
      </c>
      <c r="AU331">
        <v>288</v>
      </c>
      <c r="AV331">
        <v>330</v>
      </c>
      <c r="AW331">
        <v>330</v>
      </c>
      <c r="AX331">
        <v>200</v>
      </c>
      <c r="AY331">
        <v>180</v>
      </c>
      <c r="AZ331">
        <v>0</v>
      </c>
      <c r="BA331">
        <v>0</v>
      </c>
      <c r="BB331">
        <v>120</v>
      </c>
      <c r="BC331">
        <v>216</v>
      </c>
      <c r="BD331">
        <v>240</v>
      </c>
      <c r="BE331">
        <v>240</v>
      </c>
      <c r="BF331">
        <v>213.33333333333329</v>
      </c>
      <c r="BG331">
        <v>168</v>
      </c>
      <c r="BH331">
        <v>180</v>
      </c>
      <c r="BI331">
        <v>0</v>
      </c>
      <c r="BJ331">
        <v>0</v>
      </c>
      <c r="BK331">
        <v>150</v>
      </c>
      <c r="BL331">
        <v>185.4545454545455</v>
      </c>
      <c r="BM331">
        <v>180</v>
      </c>
      <c r="BN331">
        <v>180</v>
      </c>
      <c r="BO331">
        <v>120</v>
      </c>
      <c r="BP331">
        <v>120</v>
      </c>
      <c r="BQ331">
        <f>(I331+J331+N331+O331)/4</f>
        <v>5.4166666666666661</v>
      </c>
      <c r="BR331">
        <f>(K331+L331+M331)/3</f>
        <v>4.8222222222222229</v>
      </c>
      <c r="BS331">
        <f>BQ331/BR331</f>
        <v>1.1232718894009215</v>
      </c>
      <c r="BT331">
        <f>AQ331/I331</f>
        <v>60</v>
      </c>
      <c r="BU331" t="str">
        <f>IF(OR(A331=2, A331=12), "Central", IF(A331=3, "Semi-Central", "Periférica"))</f>
        <v>Periférica</v>
      </c>
    </row>
    <row r="332" spans="1:73" x14ac:dyDescent="0.3">
      <c r="A332" s="1">
        <v>3</v>
      </c>
      <c r="B332" s="1">
        <v>308</v>
      </c>
      <c r="C332" s="1">
        <v>308</v>
      </c>
      <c r="D332" t="s">
        <v>1</v>
      </c>
      <c r="E332" t="s">
        <v>0</v>
      </c>
      <c r="F332">
        <v>0</v>
      </c>
      <c r="G332">
        <v>0</v>
      </c>
      <c r="H332">
        <v>4</v>
      </c>
      <c r="I332">
        <v>6.666666666666667</v>
      </c>
      <c r="J332">
        <v>5.333333333333333</v>
      </c>
      <c r="K332">
        <v>5.333333333333333</v>
      </c>
      <c r="L332">
        <v>6.666666666666667</v>
      </c>
      <c r="M332">
        <v>6.4</v>
      </c>
      <c r="N332">
        <v>8.5</v>
      </c>
      <c r="O332">
        <v>7</v>
      </c>
      <c r="P332">
        <v>4.666666666666667</v>
      </c>
      <c r="Q332">
        <v>4</v>
      </c>
      <c r="R332">
        <v>0</v>
      </c>
      <c r="S332">
        <v>0</v>
      </c>
      <c r="T332">
        <v>3</v>
      </c>
      <c r="U332">
        <v>4.4000000000000004</v>
      </c>
      <c r="V332">
        <v>4.666666666666667</v>
      </c>
      <c r="W332">
        <v>4.666666666666667</v>
      </c>
      <c r="X332">
        <v>4.2222222222222223</v>
      </c>
      <c r="Y332">
        <v>5.2</v>
      </c>
      <c r="Z332">
        <v>4</v>
      </c>
      <c r="AA332">
        <v>0</v>
      </c>
      <c r="AB332">
        <v>0</v>
      </c>
      <c r="AC332">
        <v>4</v>
      </c>
      <c r="AD332">
        <v>4</v>
      </c>
      <c r="AE332">
        <v>4</v>
      </c>
      <c r="AF332">
        <v>4</v>
      </c>
      <c r="AG332">
        <v>4</v>
      </c>
      <c r="AH332">
        <v>3</v>
      </c>
      <c r="AI332" s="1">
        <v>3</v>
      </c>
      <c r="AJ332" s="1">
        <v>308</v>
      </c>
      <c r="AK332" s="1">
        <v>308</v>
      </c>
      <c r="AL332" t="s">
        <v>1</v>
      </c>
      <c r="AM332" t="s">
        <v>0</v>
      </c>
      <c r="AN332">
        <v>0</v>
      </c>
      <c r="AO332">
        <v>0</v>
      </c>
      <c r="AP332">
        <v>372</v>
      </c>
      <c r="AQ332">
        <v>620</v>
      </c>
      <c r="AR332">
        <v>496</v>
      </c>
      <c r="AS332">
        <v>496</v>
      </c>
      <c r="AT332">
        <v>620</v>
      </c>
      <c r="AU332">
        <v>595.20000000000005</v>
      </c>
      <c r="AV332">
        <v>790.5</v>
      </c>
      <c r="AW332">
        <v>651</v>
      </c>
      <c r="AX332">
        <v>434</v>
      </c>
      <c r="AY332">
        <v>372</v>
      </c>
      <c r="AZ332">
        <v>0</v>
      </c>
      <c r="BA332">
        <v>0</v>
      </c>
      <c r="BB332">
        <v>279</v>
      </c>
      <c r="BC332">
        <v>409.2</v>
      </c>
      <c r="BD332">
        <v>434</v>
      </c>
      <c r="BE332">
        <v>434</v>
      </c>
      <c r="BF332">
        <v>392.66666666666669</v>
      </c>
      <c r="BG332">
        <v>483.6</v>
      </c>
      <c r="BH332">
        <v>372</v>
      </c>
      <c r="BI332">
        <v>0</v>
      </c>
      <c r="BJ332">
        <v>0</v>
      </c>
      <c r="BK332">
        <v>372</v>
      </c>
      <c r="BL332">
        <v>372</v>
      </c>
      <c r="BM332">
        <v>372</v>
      </c>
      <c r="BN332">
        <v>372</v>
      </c>
      <c r="BO332">
        <v>372</v>
      </c>
      <c r="BP332">
        <v>279</v>
      </c>
      <c r="BQ332">
        <f>(I332+J332+N332+O332)/4</f>
        <v>6.875</v>
      </c>
      <c r="BR332">
        <f>(K332+L332+M332)/3</f>
        <v>6.1333333333333329</v>
      </c>
      <c r="BS332">
        <f>BQ332/BR332</f>
        <v>1.1209239130434783</v>
      </c>
      <c r="BT332">
        <f>AQ332/I332</f>
        <v>93</v>
      </c>
      <c r="BU332" t="str">
        <f>IF(OR(A332=2, A332=12), "Central", IF(A332=3, "Semi-Central", "Periférica"))</f>
        <v>Semi-Central</v>
      </c>
    </row>
    <row r="333" spans="1:73" x14ac:dyDescent="0.3">
      <c r="A333" s="1">
        <v>10</v>
      </c>
      <c r="B333" s="1">
        <v>1040</v>
      </c>
      <c r="C333" s="1" t="s">
        <v>334</v>
      </c>
      <c r="D333" t="s">
        <v>5</v>
      </c>
      <c r="E333" t="s">
        <v>0</v>
      </c>
      <c r="F333">
        <v>0</v>
      </c>
      <c r="G333">
        <v>0.66666666666666663</v>
      </c>
      <c r="H333">
        <v>7</v>
      </c>
      <c r="I333">
        <v>8</v>
      </c>
      <c r="J333">
        <v>6.666666666666667</v>
      </c>
      <c r="K333">
        <v>6.666666666666667</v>
      </c>
      <c r="L333">
        <v>6</v>
      </c>
      <c r="M333">
        <v>7.2</v>
      </c>
      <c r="N333">
        <v>7.5</v>
      </c>
      <c r="O333">
        <v>7.5</v>
      </c>
      <c r="P333">
        <v>5.333333333333333</v>
      </c>
      <c r="Q333">
        <v>5</v>
      </c>
      <c r="R333">
        <v>0</v>
      </c>
      <c r="S333">
        <v>0</v>
      </c>
      <c r="T333">
        <v>4</v>
      </c>
      <c r="U333">
        <v>4.8</v>
      </c>
      <c r="V333">
        <v>5</v>
      </c>
      <c r="W333">
        <v>4.666666666666667</v>
      </c>
      <c r="X333">
        <v>4.4444444444444446</v>
      </c>
      <c r="Y333">
        <v>4</v>
      </c>
      <c r="Z333">
        <v>3</v>
      </c>
      <c r="AA333">
        <v>0</v>
      </c>
      <c r="AB333">
        <v>0</v>
      </c>
      <c r="AC333">
        <v>3</v>
      </c>
      <c r="AD333">
        <v>4.3636363636363633</v>
      </c>
      <c r="AE333">
        <v>4.2</v>
      </c>
      <c r="AF333">
        <v>3.333333333333333</v>
      </c>
      <c r="AG333">
        <v>3</v>
      </c>
      <c r="AH333">
        <v>3</v>
      </c>
      <c r="AI333" s="1">
        <v>10</v>
      </c>
      <c r="AJ333" s="1">
        <v>1040</v>
      </c>
      <c r="AK333" s="1" t="s">
        <v>334</v>
      </c>
      <c r="AL333" t="s">
        <v>5</v>
      </c>
      <c r="AM333" t="s">
        <v>0</v>
      </c>
      <c r="AN333">
        <v>0</v>
      </c>
      <c r="AO333">
        <v>60</v>
      </c>
      <c r="AP333">
        <v>630</v>
      </c>
      <c r="AQ333">
        <v>720</v>
      </c>
      <c r="AR333">
        <v>600</v>
      </c>
      <c r="AS333">
        <v>600</v>
      </c>
      <c r="AT333">
        <v>540</v>
      </c>
      <c r="AU333">
        <v>648</v>
      </c>
      <c r="AV333">
        <v>675</v>
      </c>
      <c r="AW333">
        <v>675</v>
      </c>
      <c r="AX333">
        <v>480</v>
      </c>
      <c r="AY333">
        <v>450</v>
      </c>
      <c r="AZ333">
        <v>0</v>
      </c>
      <c r="BA333">
        <v>0</v>
      </c>
      <c r="BB333">
        <v>360</v>
      </c>
      <c r="BC333">
        <v>432</v>
      </c>
      <c r="BD333">
        <v>450</v>
      </c>
      <c r="BE333">
        <v>420</v>
      </c>
      <c r="BF333">
        <v>400</v>
      </c>
      <c r="BG333">
        <v>360</v>
      </c>
      <c r="BH333">
        <v>270</v>
      </c>
      <c r="BI333">
        <v>0</v>
      </c>
      <c r="BJ333">
        <v>0</v>
      </c>
      <c r="BK333">
        <v>270</v>
      </c>
      <c r="BL333">
        <v>392.72727272727269</v>
      </c>
      <c r="BM333">
        <v>378</v>
      </c>
      <c r="BN333">
        <v>300</v>
      </c>
      <c r="BO333">
        <v>270</v>
      </c>
      <c r="BP333">
        <v>270</v>
      </c>
      <c r="BQ333">
        <f>(I333+J333+N333+O333)/4</f>
        <v>7.416666666666667</v>
      </c>
      <c r="BR333">
        <f>(K333+L333+M333)/3</f>
        <v>6.6222222222222227</v>
      </c>
      <c r="BS333">
        <f>BQ333/BR333</f>
        <v>1.1199664429530201</v>
      </c>
      <c r="BT333">
        <f>AQ333/I333</f>
        <v>90</v>
      </c>
      <c r="BU333" t="str">
        <f>IF(OR(A333=2, A333=12), "Central", IF(A333=3, "Semi-Central", "Periférica"))</f>
        <v>Periférica</v>
      </c>
    </row>
    <row r="334" spans="1:73" x14ac:dyDescent="0.3">
      <c r="A334" s="1">
        <v>18</v>
      </c>
      <c r="B334" s="1">
        <v>1812</v>
      </c>
      <c r="C334" s="1">
        <v>212</v>
      </c>
      <c r="D334" t="s">
        <v>1</v>
      </c>
      <c r="E334" t="s">
        <v>0</v>
      </c>
      <c r="F334">
        <v>0</v>
      </c>
      <c r="G334">
        <v>0</v>
      </c>
      <c r="H334">
        <v>11</v>
      </c>
      <c r="I334">
        <v>10</v>
      </c>
      <c r="J334">
        <v>8</v>
      </c>
      <c r="K334">
        <v>7.666666666666667</v>
      </c>
      <c r="L334">
        <v>8.6666666666666661</v>
      </c>
      <c r="M334">
        <v>8.8000000000000007</v>
      </c>
      <c r="N334">
        <v>10.5</v>
      </c>
      <c r="O334">
        <v>9</v>
      </c>
      <c r="P334">
        <v>7.333333333333333</v>
      </c>
      <c r="Q334">
        <v>4.5</v>
      </c>
      <c r="R334">
        <v>0</v>
      </c>
      <c r="S334">
        <v>0</v>
      </c>
      <c r="T334">
        <v>4</v>
      </c>
      <c r="U334">
        <v>4.8</v>
      </c>
      <c r="V334">
        <v>5</v>
      </c>
      <c r="W334">
        <v>4.333333333333333</v>
      </c>
      <c r="X334">
        <v>4.2222222222222223</v>
      </c>
      <c r="Y334">
        <v>4</v>
      </c>
      <c r="Z334">
        <v>3.5</v>
      </c>
      <c r="AA334">
        <v>0</v>
      </c>
      <c r="AB334">
        <v>0</v>
      </c>
      <c r="AC334">
        <v>4.5</v>
      </c>
      <c r="AD334">
        <v>4.3636363636363633</v>
      </c>
      <c r="AE334">
        <v>4.8</v>
      </c>
      <c r="AF334">
        <v>4</v>
      </c>
      <c r="AG334">
        <v>4</v>
      </c>
      <c r="AH334">
        <v>3</v>
      </c>
      <c r="AI334" s="1">
        <v>18</v>
      </c>
      <c r="AJ334" s="1">
        <v>1812</v>
      </c>
      <c r="AK334" s="1">
        <v>212</v>
      </c>
      <c r="AL334" t="s">
        <v>1</v>
      </c>
      <c r="AM334" t="s">
        <v>0</v>
      </c>
      <c r="AN334">
        <v>0</v>
      </c>
      <c r="AO334">
        <v>0</v>
      </c>
      <c r="AP334">
        <v>1650</v>
      </c>
      <c r="AQ334">
        <v>1500</v>
      </c>
      <c r="AR334">
        <v>1200</v>
      </c>
      <c r="AS334">
        <v>1150</v>
      </c>
      <c r="AT334">
        <v>1300</v>
      </c>
      <c r="AU334">
        <v>1320</v>
      </c>
      <c r="AV334">
        <v>1575</v>
      </c>
      <c r="AW334">
        <v>1350</v>
      </c>
      <c r="AX334">
        <v>1100</v>
      </c>
      <c r="AY334">
        <v>675</v>
      </c>
      <c r="AZ334">
        <v>0</v>
      </c>
      <c r="BA334">
        <v>0</v>
      </c>
      <c r="BB334">
        <v>600</v>
      </c>
      <c r="BC334">
        <v>720</v>
      </c>
      <c r="BD334">
        <v>750</v>
      </c>
      <c r="BE334">
        <v>650</v>
      </c>
      <c r="BF334">
        <v>633.33333333333337</v>
      </c>
      <c r="BG334">
        <v>600</v>
      </c>
      <c r="BH334">
        <v>525</v>
      </c>
      <c r="BI334">
        <v>0</v>
      </c>
      <c r="BJ334">
        <v>0</v>
      </c>
      <c r="BK334">
        <v>405</v>
      </c>
      <c r="BL334">
        <v>392.72727272727269</v>
      </c>
      <c r="BM334">
        <v>432</v>
      </c>
      <c r="BN334">
        <v>360</v>
      </c>
      <c r="BO334">
        <v>360</v>
      </c>
      <c r="BP334">
        <v>270</v>
      </c>
      <c r="BQ334">
        <f>(I334+J334+N334+O334)/4</f>
        <v>9.375</v>
      </c>
      <c r="BR334">
        <f>(K334+L334+M334)/3</f>
        <v>8.3777777777777782</v>
      </c>
      <c r="BS334">
        <f>BQ334/BR334</f>
        <v>1.1190318302387268</v>
      </c>
      <c r="BT334">
        <f>AQ334/I334</f>
        <v>150</v>
      </c>
      <c r="BU334" t="str">
        <f>IF(OR(A334=2, A334=12), "Central", IF(A334=3, "Semi-Central", "Periférica"))</f>
        <v>Periférica</v>
      </c>
    </row>
    <row r="335" spans="1:73" x14ac:dyDescent="0.3">
      <c r="A335" s="1">
        <v>11</v>
      </c>
      <c r="B335" s="1">
        <v>1127</v>
      </c>
      <c r="C335" s="1" t="s">
        <v>115</v>
      </c>
      <c r="D335" t="s">
        <v>5</v>
      </c>
      <c r="F335">
        <v>0</v>
      </c>
      <c r="G335">
        <v>0</v>
      </c>
      <c r="H335">
        <v>4</v>
      </c>
      <c r="I335">
        <v>6.666666666666667</v>
      </c>
      <c r="J335">
        <v>6</v>
      </c>
      <c r="K335">
        <v>5.666666666666667</v>
      </c>
      <c r="L335">
        <v>5.333333333333333</v>
      </c>
      <c r="M335">
        <v>5.2</v>
      </c>
      <c r="N335">
        <v>6.5</v>
      </c>
      <c r="O335">
        <v>5</v>
      </c>
      <c r="P335">
        <v>4.666666666666667</v>
      </c>
      <c r="Q335">
        <v>1.5</v>
      </c>
      <c r="R335">
        <v>0</v>
      </c>
      <c r="S335">
        <v>0</v>
      </c>
      <c r="T335">
        <v>2</v>
      </c>
      <c r="U335">
        <v>5.6</v>
      </c>
      <c r="V335">
        <v>5</v>
      </c>
      <c r="W335">
        <v>4.333333333333333</v>
      </c>
      <c r="X335">
        <v>4.2222222222222223</v>
      </c>
      <c r="Y335">
        <v>2.8</v>
      </c>
      <c r="Z335">
        <v>1.5</v>
      </c>
      <c r="AA335">
        <v>0</v>
      </c>
      <c r="AB335">
        <v>0</v>
      </c>
      <c r="AC335">
        <v>1.5</v>
      </c>
      <c r="AD335">
        <v>3.0909090909090908</v>
      </c>
      <c r="AE335">
        <v>3</v>
      </c>
      <c r="AF335">
        <v>3.666666666666667</v>
      </c>
      <c r="AG335">
        <v>3</v>
      </c>
      <c r="AH335">
        <v>1.5</v>
      </c>
      <c r="AI335" s="1">
        <v>11</v>
      </c>
      <c r="AJ335" s="1">
        <v>1127</v>
      </c>
      <c r="AK335" s="1" t="s">
        <v>115</v>
      </c>
      <c r="AL335" t="s">
        <v>5</v>
      </c>
      <c r="AN335">
        <v>0</v>
      </c>
      <c r="AO335">
        <v>0</v>
      </c>
      <c r="AP335">
        <v>270</v>
      </c>
      <c r="AQ335">
        <v>500</v>
      </c>
      <c r="AR335">
        <v>440</v>
      </c>
      <c r="AS335">
        <v>340</v>
      </c>
      <c r="AT335">
        <v>320</v>
      </c>
      <c r="AU335">
        <v>312</v>
      </c>
      <c r="AV335">
        <v>435</v>
      </c>
      <c r="AW335">
        <v>315</v>
      </c>
      <c r="AX335">
        <v>320</v>
      </c>
      <c r="AY335">
        <v>90</v>
      </c>
      <c r="AZ335">
        <v>0</v>
      </c>
      <c r="BA335">
        <v>0</v>
      </c>
      <c r="BB335">
        <v>120</v>
      </c>
      <c r="BC335">
        <v>336</v>
      </c>
      <c r="BD335">
        <v>300</v>
      </c>
      <c r="BE335">
        <v>260</v>
      </c>
      <c r="BF335">
        <v>253.33333333333329</v>
      </c>
      <c r="BG335">
        <v>168</v>
      </c>
      <c r="BH335">
        <v>90</v>
      </c>
      <c r="BI335">
        <v>0</v>
      </c>
      <c r="BJ335">
        <v>0</v>
      </c>
      <c r="BK335">
        <v>90</v>
      </c>
      <c r="BL335">
        <v>185.4545454545455</v>
      </c>
      <c r="BM335">
        <v>180</v>
      </c>
      <c r="BN335">
        <v>220</v>
      </c>
      <c r="BO335">
        <v>180</v>
      </c>
      <c r="BP335">
        <v>90</v>
      </c>
      <c r="BQ335">
        <f>(I335+J335+N335+O335)/4</f>
        <v>6.041666666666667</v>
      </c>
      <c r="BR335">
        <f>(K335+L335+M335)/3</f>
        <v>5.3999999999999995</v>
      </c>
      <c r="BS335">
        <f>BQ335/BR335</f>
        <v>1.1188271604938274</v>
      </c>
      <c r="BT335">
        <f>AQ335/I335</f>
        <v>75</v>
      </c>
      <c r="BU335" t="str">
        <f>IF(OR(A335=2, A335=12), "Central", IF(A335=3, "Semi-Central", "Periférica"))</f>
        <v>Periférica</v>
      </c>
    </row>
    <row r="336" spans="1:73" x14ac:dyDescent="0.3">
      <c r="A336" s="1">
        <v>19</v>
      </c>
      <c r="B336" s="1" t="s">
        <v>333</v>
      </c>
      <c r="C336" s="1" t="s">
        <v>332</v>
      </c>
      <c r="D336" t="s">
        <v>5</v>
      </c>
      <c r="E336" t="s">
        <v>0</v>
      </c>
      <c r="F336">
        <v>2</v>
      </c>
      <c r="G336">
        <v>2</v>
      </c>
      <c r="H336">
        <v>5</v>
      </c>
      <c r="I336">
        <v>6</v>
      </c>
      <c r="J336">
        <v>4.666666666666667</v>
      </c>
      <c r="K336">
        <v>5</v>
      </c>
      <c r="L336">
        <v>5.333333333333333</v>
      </c>
      <c r="M336">
        <v>5.2</v>
      </c>
      <c r="N336">
        <v>6.5</v>
      </c>
      <c r="O336">
        <v>6</v>
      </c>
      <c r="P336">
        <v>6</v>
      </c>
      <c r="Q336">
        <v>3.5</v>
      </c>
      <c r="R336">
        <v>2</v>
      </c>
      <c r="S336">
        <v>2</v>
      </c>
      <c r="T336">
        <v>3</v>
      </c>
      <c r="U336">
        <v>4</v>
      </c>
      <c r="V336">
        <v>4</v>
      </c>
      <c r="W336">
        <v>5</v>
      </c>
      <c r="X336">
        <v>4.2222222222222223</v>
      </c>
      <c r="Y336">
        <v>4.4000000000000004</v>
      </c>
      <c r="Z336">
        <v>3.5</v>
      </c>
      <c r="AA336">
        <v>2</v>
      </c>
      <c r="AB336">
        <v>2</v>
      </c>
      <c r="AC336">
        <v>5</v>
      </c>
      <c r="AD336">
        <v>4.1818181818181817</v>
      </c>
      <c r="AE336">
        <v>4.2</v>
      </c>
      <c r="AF336">
        <v>4.333333333333333</v>
      </c>
      <c r="AG336">
        <v>4</v>
      </c>
      <c r="AH336">
        <v>3.5</v>
      </c>
      <c r="AI336" s="1">
        <v>19</v>
      </c>
      <c r="AJ336" s="1" t="s">
        <v>333</v>
      </c>
      <c r="AK336" s="1" t="s">
        <v>332</v>
      </c>
      <c r="AL336" t="s">
        <v>5</v>
      </c>
      <c r="AM336" t="s">
        <v>0</v>
      </c>
      <c r="AN336">
        <v>180</v>
      </c>
      <c r="AO336">
        <v>180</v>
      </c>
      <c r="AP336">
        <v>450</v>
      </c>
      <c r="AQ336">
        <v>540</v>
      </c>
      <c r="AR336">
        <v>420</v>
      </c>
      <c r="AS336">
        <v>450</v>
      </c>
      <c r="AT336">
        <v>480</v>
      </c>
      <c r="AU336">
        <v>468</v>
      </c>
      <c r="AV336">
        <v>585</v>
      </c>
      <c r="AW336">
        <v>540</v>
      </c>
      <c r="AX336">
        <v>540</v>
      </c>
      <c r="AY336">
        <v>315</v>
      </c>
      <c r="AZ336">
        <v>180</v>
      </c>
      <c r="BA336">
        <v>180</v>
      </c>
      <c r="BB336">
        <v>270</v>
      </c>
      <c r="BC336">
        <v>360</v>
      </c>
      <c r="BD336">
        <v>360</v>
      </c>
      <c r="BE336">
        <v>450</v>
      </c>
      <c r="BF336">
        <v>380</v>
      </c>
      <c r="BG336">
        <v>396</v>
      </c>
      <c r="BH336">
        <v>315</v>
      </c>
      <c r="BI336">
        <v>180</v>
      </c>
      <c r="BJ336">
        <v>180</v>
      </c>
      <c r="BK336">
        <v>450</v>
      </c>
      <c r="BL336">
        <v>376.36363636363637</v>
      </c>
      <c r="BM336">
        <v>378</v>
      </c>
      <c r="BN336">
        <v>390</v>
      </c>
      <c r="BO336">
        <v>360</v>
      </c>
      <c r="BP336">
        <v>315</v>
      </c>
      <c r="BQ336">
        <f>(I336+J336+N336+O336)/4</f>
        <v>5.791666666666667</v>
      </c>
      <c r="BR336">
        <f>(K336+L336+M336)/3</f>
        <v>5.1777777777777771</v>
      </c>
      <c r="BS336">
        <f>BQ336/BR336</f>
        <v>1.1185622317596569</v>
      </c>
      <c r="BT336">
        <f>AQ336/I336</f>
        <v>90</v>
      </c>
      <c r="BU336" t="str">
        <f>IF(OR(A336=2, A336=12), "Central", IF(A336=3, "Semi-Central", "Periférica"))</f>
        <v>Periférica</v>
      </c>
    </row>
    <row r="337" spans="1:73" x14ac:dyDescent="0.3">
      <c r="A337" s="1">
        <v>3</v>
      </c>
      <c r="B337" s="1">
        <v>368</v>
      </c>
      <c r="C337" s="1" t="s">
        <v>331</v>
      </c>
      <c r="D337" t="s">
        <v>5</v>
      </c>
      <c r="E337" t="s">
        <v>0</v>
      </c>
      <c r="F337">
        <v>0</v>
      </c>
      <c r="G337">
        <v>0</v>
      </c>
      <c r="H337">
        <v>5</v>
      </c>
      <c r="I337">
        <v>4.666666666666667</v>
      </c>
      <c r="J337">
        <v>4.666666666666667</v>
      </c>
      <c r="K337">
        <v>5</v>
      </c>
      <c r="L337">
        <v>4</v>
      </c>
      <c r="M337">
        <v>4</v>
      </c>
      <c r="N337">
        <v>5</v>
      </c>
      <c r="O337">
        <v>5</v>
      </c>
      <c r="P337">
        <v>4</v>
      </c>
      <c r="Q337">
        <v>2</v>
      </c>
      <c r="R337">
        <v>0</v>
      </c>
      <c r="S337">
        <v>0</v>
      </c>
      <c r="T337">
        <v>3</v>
      </c>
      <c r="U337">
        <v>4</v>
      </c>
      <c r="V337">
        <v>4</v>
      </c>
      <c r="W337">
        <v>4</v>
      </c>
      <c r="X337">
        <v>4</v>
      </c>
      <c r="Y337">
        <v>2.8</v>
      </c>
      <c r="Z337">
        <v>1.5</v>
      </c>
      <c r="AA337">
        <v>0</v>
      </c>
      <c r="AB337">
        <v>0</v>
      </c>
      <c r="AC337">
        <v>1</v>
      </c>
      <c r="AD337">
        <v>3.4545454545454546</v>
      </c>
      <c r="AE337">
        <v>3.8</v>
      </c>
      <c r="AF337">
        <v>3.6666666666666665</v>
      </c>
      <c r="AG337">
        <v>3</v>
      </c>
      <c r="AH337">
        <v>1</v>
      </c>
      <c r="AI337" s="1">
        <v>3</v>
      </c>
      <c r="AJ337" s="1">
        <v>368</v>
      </c>
      <c r="AK337" s="1" t="s">
        <v>331</v>
      </c>
      <c r="AL337" t="s">
        <v>5</v>
      </c>
      <c r="AM337" t="s">
        <v>0</v>
      </c>
      <c r="AN337">
        <v>0</v>
      </c>
      <c r="AO337">
        <v>0</v>
      </c>
      <c r="AP337">
        <v>265</v>
      </c>
      <c r="AQ337">
        <v>247.33333333333334</v>
      </c>
      <c r="AR337">
        <v>247.33333333333334</v>
      </c>
      <c r="AS337">
        <v>265</v>
      </c>
      <c r="AT337">
        <v>212</v>
      </c>
      <c r="AU337">
        <v>212</v>
      </c>
      <c r="AV337">
        <v>265</v>
      </c>
      <c r="AW337">
        <v>265</v>
      </c>
      <c r="AX337">
        <v>212</v>
      </c>
      <c r="AY337">
        <v>106</v>
      </c>
      <c r="AZ337">
        <v>0</v>
      </c>
      <c r="BA337">
        <v>0</v>
      </c>
      <c r="BB337">
        <v>159</v>
      </c>
      <c r="BC337">
        <v>212</v>
      </c>
      <c r="BD337">
        <v>212</v>
      </c>
      <c r="BE337">
        <v>212</v>
      </c>
      <c r="BF337">
        <v>212</v>
      </c>
      <c r="BG337">
        <v>148.4</v>
      </c>
      <c r="BH337">
        <v>79.5</v>
      </c>
      <c r="BI337">
        <v>0</v>
      </c>
      <c r="BJ337">
        <v>0</v>
      </c>
      <c r="BK337">
        <v>53</v>
      </c>
      <c r="BL337">
        <v>183.09090909090909</v>
      </c>
      <c r="BM337">
        <v>201.4</v>
      </c>
      <c r="BN337">
        <v>194.33333333333334</v>
      </c>
      <c r="BO337">
        <v>159</v>
      </c>
      <c r="BP337">
        <v>53</v>
      </c>
      <c r="BQ337">
        <f>(I337+J337+N337+O337)/4</f>
        <v>4.8333333333333339</v>
      </c>
      <c r="BR337">
        <f>(K337+L337+M337)/3</f>
        <v>4.333333333333333</v>
      </c>
      <c r="BS337">
        <f>BQ337/BR337</f>
        <v>1.1153846153846156</v>
      </c>
      <c r="BT337">
        <f>AQ337/I337</f>
        <v>53</v>
      </c>
      <c r="BU337" t="str">
        <f>IF(OR(A337=2, A337=12), "Central", IF(A337=3, "Semi-Central", "Periférica"))</f>
        <v>Semi-Central</v>
      </c>
    </row>
    <row r="338" spans="1:73" x14ac:dyDescent="0.3">
      <c r="A338" s="1">
        <v>3</v>
      </c>
      <c r="B338" s="1">
        <v>368</v>
      </c>
      <c r="C338" s="1" t="s">
        <v>331</v>
      </c>
      <c r="D338" t="s">
        <v>1</v>
      </c>
      <c r="E338" t="s">
        <v>0</v>
      </c>
      <c r="F338">
        <v>0</v>
      </c>
      <c r="G338">
        <v>0</v>
      </c>
      <c r="H338">
        <v>2</v>
      </c>
      <c r="I338">
        <v>4.666666666666667</v>
      </c>
      <c r="J338">
        <v>4.666666666666667</v>
      </c>
      <c r="K338">
        <v>5</v>
      </c>
      <c r="L338">
        <v>4</v>
      </c>
      <c r="M338">
        <v>4</v>
      </c>
      <c r="N338">
        <v>5</v>
      </c>
      <c r="O338">
        <v>5</v>
      </c>
      <c r="P338">
        <v>4</v>
      </c>
      <c r="Q338">
        <v>3.5</v>
      </c>
      <c r="R338">
        <v>0</v>
      </c>
      <c r="S338">
        <v>0</v>
      </c>
      <c r="T338">
        <v>1</v>
      </c>
      <c r="U338">
        <v>4</v>
      </c>
      <c r="V338">
        <v>4</v>
      </c>
      <c r="W338">
        <v>4</v>
      </c>
      <c r="X338">
        <v>4</v>
      </c>
      <c r="Y338">
        <v>3.2</v>
      </c>
      <c r="Z338">
        <v>2.5</v>
      </c>
      <c r="AA338">
        <v>0</v>
      </c>
      <c r="AB338">
        <v>0</v>
      </c>
      <c r="AC338">
        <v>2</v>
      </c>
      <c r="AD338">
        <v>3.4545454545454546</v>
      </c>
      <c r="AE338">
        <v>3.8</v>
      </c>
      <c r="AF338">
        <v>3.6666666666666665</v>
      </c>
      <c r="AG338">
        <v>3</v>
      </c>
      <c r="AH338">
        <v>2</v>
      </c>
      <c r="AI338" s="1">
        <v>3</v>
      </c>
      <c r="AJ338" s="1">
        <v>368</v>
      </c>
      <c r="AK338" s="1" t="s">
        <v>331</v>
      </c>
      <c r="AL338" t="s">
        <v>1</v>
      </c>
      <c r="AM338" t="s">
        <v>0</v>
      </c>
      <c r="AN338">
        <v>0</v>
      </c>
      <c r="AO338">
        <v>0</v>
      </c>
      <c r="AP338">
        <v>106</v>
      </c>
      <c r="AQ338">
        <v>247.33333333333334</v>
      </c>
      <c r="AR338">
        <v>247.33333333333334</v>
      </c>
      <c r="AS338">
        <v>265</v>
      </c>
      <c r="AT338">
        <v>212</v>
      </c>
      <c r="AU338">
        <v>212</v>
      </c>
      <c r="AV338">
        <v>265</v>
      </c>
      <c r="AW338">
        <v>265</v>
      </c>
      <c r="AX338">
        <v>212</v>
      </c>
      <c r="AY338">
        <v>185.5</v>
      </c>
      <c r="AZ338">
        <v>0</v>
      </c>
      <c r="BA338">
        <v>0</v>
      </c>
      <c r="BB338">
        <v>53</v>
      </c>
      <c r="BC338">
        <v>212</v>
      </c>
      <c r="BD338">
        <v>212</v>
      </c>
      <c r="BE338">
        <v>212</v>
      </c>
      <c r="BF338">
        <v>212</v>
      </c>
      <c r="BG338">
        <v>169.6</v>
      </c>
      <c r="BH338">
        <v>132.5</v>
      </c>
      <c r="BI338">
        <v>0</v>
      </c>
      <c r="BJ338">
        <v>0</v>
      </c>
      <c r="BK338">
        <v>106</v>
      </c>
      <c r="BL338">
        <v>183.09090909090909</v>
      </c>
      <c r="BM338">
        <v>201.4</v>
      </c>
      <c r="BN338">
        <v>194.33333333333334</v>
      </c>
      <c r="BO338">
        <v>159</v>
      </c>
      <c r="BP338">
        <v>106</v>
      </c>
      <c r="BQ338">
        <f>(I338+J338+N338+O338)/4</f>
        <v>4.8333333333333339</v>
      </c>
      <c r="BR338">
        <f>(K338+L338+M338)/3</f>
        <v>4.333333333333333</v>
      </c>
      <c r="BS338">
        <f>BQ338/BR338</f>
        <v>1.1153846153846156</v>
      </c>
      <c r="BT338">
        <f>AQ338/I338</f>
        <v>53</v>
      </c>
      <c r="BU338" t="str">
        <f>IF(OR(A338=2, A338=12), "Central", IF(A338=3, "Semi-Central", "Periférica"))</f>
        <v>Semi-Central</v>
      </c>
    </row>
    <row r="339" spans="1:73" x14ac:dyDescent="0.3">
      <c r="A339" s="1">
        <v>16</v>
      </c>
      <c r="B339" s="1">
        <v>1638</v>
      </c>
      <c r="C339" s="1" t="s">
        <v>330</v>
      </c>
      <c r="D339" t="s">
        <v>1</v>
      </c>
      <c r="F339">
        <v>0</v>
      </c>
      <c r="G339">
        <v>0</v>
      </c>
      <c r="H339">
        <v>3</v>
      </c>
      <c r="I339">
        <v>5.333333333333333</v>
      </c>
      <c r="J339">
        <v>4</v>
      </c>
      <c r="K339">
        <v>4</v>
      </c>
      <c r="L339">
        <v>4.666666666666667</v>
      </c>
      <c r="M339">
        <v>4</v>
      </c>
      <c r="N339">
        <v>4.5</v>
      </c>
      <c r="O339">
        <v>5</v>
      </c>
      <c r="P339">
        <v>4.666666666666667</v>
      </c>
      <c r="Q339">
        <v>3</v>
      </c>
      <c r="R339">
        <v>0</v>
      </c>
      <c r="S339">
        <v>0</v>
      </c>
      <c r="T339">
        <v>2</v>
      </c>
      <c r="U339">
        <v>3.6</v>
      </c>
      <c r="V339">
        <v>3.666666666666667</v>
      </c>
      <c r="W339">
        <v>3.666666666666667</v>
      </c>
      <c r="X339">
        <v>4</v>
      </c>
      <c r="Y339">
        <v>3.2</v>
      </c>
      <c r="Z339">
        <v>2.5</v>
      </c>
      <c r="AA339">
        <v>0</v>
      </c>
      <c r="AB339">
        <v>0</v>
      </c>
      <c r="AC339">
        <v>1</v>
      </c>
      <c r="AD339">
        <v>4</v>
      </c>
      <c r="AE339">
        <v>3.8</v>
      </c>
      <c r="AF339">
        <v>3.666666666666667</v>
      </c>
      <c r="AG339">
        <v>3</v>
      </c>
      <c r="AH339">
        <v>2.5</v>
      </c>
      <c r="AI339" s="1">
        <v>16</v>
      </c>
      <c r="AJ339" s="1">
        <v>1638</v>
      </c>
      <c r="AK339" s="1" t="s">
        <v>330</v>
      </c>
      <c r="AL339" t="s">
        <v>1</v>
      </c>
      <c r="AN339">
        <v>0</v>
      </c>
      <c r="AO339">
        <v>0</v>
      </c>
      <c r="AP339">
        <v>270</v>
      </c>
      <c r="AQ339">
        <v>480</v>
      </c>
      <c r="AR339">
        <v>360</v>
      </c>
      <c r="AS339">
        <v>360</v>
      </c>
      <c r="AT339">
        <v>420</v>
      </c>
      <c r="AU339">
        <v>360</v>
      </c>
      <c r="AV339">
        <v>405</v>
      </c>
      <c r="AW339">
        <v>450</v>
      </c>
      <c r="AX339">
        <v>420</v>
      </c>
      <c r="AY339">
        <v>270</v>
      </c>
      <c r="AZ339">
        <v>0</v>
      </c>
      <c r="BA339">
        <v>0</v>
      </c>
      <c r="BB339">
        <v>180</v>
      </c>
      <c r="BC339">
        <v>324</v>
      </c>
      <c r="BD339">
        <v>330</v>
      </c>
      <c r="BE339">
        <v>330</v>
      </c>
      <c r="BF339">
        <v>360</v>
      </c>
      <c r="BG339">
        <v>288</v>
      </c>
      <c r="BH339">
        <v>225</v>
      </c>
      <c r="BI339">
        <v>0</v>
      </c>
      <c r="BJ339">
        <v>0</v>
      </c>
      <c r="BK339">
        <v>90</v>
      </c>
      <c r="BL339">
        <v>360</v>
      </c>
      <c r="BM339">
        <v>342</v>
      </c>
      <c r="BN339">
        <v>330</v>
      </c>
      <c r="BO339">
        <v>270</v>
      </c>
      <c r="BP339">
        <v>225</v>
      </c>
      <c r="BQ339">
        <f>(I339+J339+N339+O339)/4</f>
        <v>4.708333333333333</v>
      </c>
      <c r="BR339">
        <f>(K339+L339+M339)/3</f>
        <v>4.2222222222222223</v>
      </c>
      <c r="BS339">
        <f>BQ339/BR339</f>
        <v>1.1151315789473684</v>
      </c>
      <c r="BT339">
        <f>AQ339/I339</f>
        <v>90</v>
      </c>
      <c r="BU339" t="str">
        <f>IF(OR(A339=2, A339=12), "Central", IF(A339=3, "Semi-Central", "Periférica"))</f>
        <v>Periférica</v>
      </c>
    </row>
    <row r="340" spans="1:73" x14ac:dyDescent="0.3">
      <c r="A340" s="1">
        <v>16</v>
      </c>
      <c r="B340" s="1">
        <v>1623</v>
      </c>
      <c r="C340" s="1">
        <v>323</v>
      </c>
      <c r="D340" t="s">
        <v>1</v>
      </c>
      <c r="E340" t="s">
        <v>0</v>
      </c>
      <c r="F340">
        <v>0</v>
      </c>
      <c r="G340">
        <v>0</v>
      </c>
      <c r="H340">
        <v>6</v>
      </c>
      <c r="I340">
        <v>6.666666666666667</v>
      </c>
      <c r="J340">
        <v>5.333333333333333</v>
      </c>
      <c r="K340">
        <v>5</v>
      </c>
      <c r="L340">
        <v>5.333333333333333</v>
      </c>
      <c r="M340">
        <v>4.8</v>
      </c>
      <c r="N340">
        <v>6</v>
      </c>
      <c r="O340">
        <v>4.5</v>
      </c>
      <c r="P340">
        <v>4</v>
      </c>
      <c r="Q340">
        <v>2</v>
      </c>
      <c r="R340">
        <v>0</v>
      </c>
      <c r="S340">
        <v>0</v>
      </c>
      <c r="T340">
        <v>4</v>
      </c>
      <c r="U340">
        <v>4</v>
      </c>
      <c r="V340">
        <v>5</v>
      </c>
      <c r="W340">
        <v>5</v>
      </c>
      <c r="X340">
        <v>4.4444444444444446</v>
      </c>
      <c r="Y340">
        <v>4</v>
      </c>
      <c r="Z340">
        <v>1.5</v>
      </c>
      <c r="AA340">
        <v>0</v>
      </c>
      <c r="AB340">
        <v>0</v>
      </c>
      <c r="AC340">
        <v>1.5</v>
      </c>
      <c r="AD340">
        <v>2.9090909090909092</v>
      </c>
      <c r="AE340">
        <v>3</v>
      </c>
      <c r="AF340">
        <v>3</v>
      </c>
      <c r="AG340">
        <v>3</v>
      </c>
      <c r="AH340">
        <v>1.5</v>
      </c>
      <c r="AI340" s="1">
        <v>16</v>
      </c>
      <c r="AJ340" s="1">
        <v>1623</v>
      </c>
      <c r="AK340" s="1">
        <v>323</v>
      </c>
      <c r="AL340" t="s">
        <v>1</v>
      </c>
      <c r="AM340" t="s">
        <v>0</v>
      </c>
      <c r="AN340">
        <v>0</v>
      </c>
      <c r="AO340">
        <v>0</v>
      </c>
      <c r="AP340">
        <v>360</v>
      </c>
      <c r="AQ340">
        <v>400</v>
      </c>
      <c r="AR340">
        <v>320</v>
      </c>
      <c r="AS340">
        <v>300</v>
      </c>
      <c r="AT340">
        <v>320</v>
      </c>
      <c r="AU340">
        <v>288</v>
      </c>
      <c r="AV340">
        <v>360</v>
      </c>
      <c r="AW340">
        <v>270</v>
      </c>
      <c r="AX340">
        <v>240</v>
      </c>
      <c r="AY340">
        <v>120</v>
      </c>
      <c r="AZ340">
        <v>0</v>
      </c>
      <c r="BA340">
        <v>0</v>
      </c>
      <c r="BB340">
        <v>240</v>
      </c>
      <c r="BC340">
        <v>240</v>
      </c>
      <c r="BD340">
        <v>300</v>
      </c>
      <c r="BE340">
        <v>300</v>
      </c>
      <c r="BF340">
        <v>266.66666666666669</v>
      </c>
      <c r="BG340">
        <v>240</v>
      </c>
      <c r="BH340">
        <v>90</v>
      </c>
      <c r="BI340">
        <v>0</v>
      </c>
      <c r="BJ340">
        <v>0</v>
      </c>
      <c r="BK340">
        <v>90</v>
      </c>
      <c r="BL340">
        <v>174.5454545454545</v>
      </c>
      <c r="BM340">
        <v>180</v>
      </c>
      <c r="BN340">
        <v>180</v>
      </c>
      <c r="BO340">
        <v>180</v>
      </c>
      <c r="BP340">
        <v>90</v>
      </c>
      <c r="BQ340">
        <f>(I340+J340+N340+O340)/4</f>
        <v>5.625</v>
      </c>
      <c r="BR340">
        <f>(K340+L340+M340)/3</f>
        <v>5.0444444444444443</v>
      </c>
      <c r="BS340">
        <f>BQ340/BR340</f>
        <v>1.1150881057268722</v>
      </c>
      <c r="BT340">
        <f>AQ340/I340</f>
        <v>60</v>
      </c>
      <c r="BU340" t="str">
        <f>IF(OR(A340=2, A340=12), "Central", IF(A340=3, "Semi-Central", "Periférica"))</f>
        <v>Periférica</v>
      </c>
    </row>
    <row r="341" spans="1:73" x14ac:dyDescent="0.3">
      <c r="A341" s="1">
        <v>13</v>
      </c>
      <c r="B341" s="1">
        <v>1303</v>
      </c>
      <c r="C341" s="1">
        <v>403</v>
      </c>
      <c r="D341" t="s">
        <v>5</v>
      </c>
      <c r="F341">
        <v>2</v>
      </c>
      <c r="G341">
        <v>2</v>
      </c>
      <c r="H341">
        <v>7</v>
      </c>
      <c r="I341">
        <v>8</v>
      </c>
      <c r="J341">
        <v>7.333333333333333</v>
      </c>
      <c r="K341">
        <v>6.333333333333333</v>
      </c>
      <c r="L341">
        <v>7.333333333333333</v>
      </c>
      <c r="M341">
        <v>6.4</v>
      </c>
      <c r="N341">
        <v>7.5</v>
      </c>
      <c r="O341">
        <v>7</v>
      </c>
      <c r="P341">
        <v>4.666666666666667</v>
      </c>
      <c r="Q341">
        <v>3</v>
      </c>
      <c r="R341">
        <v>2</v>
      </c>
      <c r="S341">
        <v>2</v>
      </c>
      <c r="T341">
        <v>3</v>
      </c>
      <c r="U341">
        <v>4.4000000000000004</v>
      </c>
      <c r="V341">
        <v>5.666666666666667</v>
      </c>
      <c r="W341">
        <v>5.333333333333333</v>
      </c>
      <c r="X341">
        <v>4.8888888888888893</v>
      </c>
      <c r="Y341">
        <v>3.2</v>
      </c>
      <c r="Z341">
        <v>3</v>
      </c>
      <c r="AA341">
        <v>2</v>
      </c>
      <c r="AB341">
        <v>2</v>
      </c>
      <c r="AC341">
        <v>2.5</v>
      </c>
      <c r="AD341">
        <v>3.6363636363636358</v>
      </c>
      <c r="AE341">
        <v>4</v>
      </c>
      <c r="AF341">
        <v>4</v>
      </c>
      <c r="AG341">
        <v>3</v>
      </c>
      <c r="AH341">
        <v>3</v>
      </c>
      <c r="AI341" s="1">
        <v>13</v>
      </c>
      <c r="AJ341" s="1">
        <v>1303</v>
      </c>
      <c r="AK341" s="1">
        <v>403</v>
      </c>
      <c r="AL341" t="s">
        <v>5</v>
      </c>
      <c r="AN341">
        <v>180</v>
      </c>
      <c r="AO341">
        <v>180</v>
      </c>
      <c r="AP341">
        <v>630</v>
      </c>
      <c r="AQ341">
        <v>720</v>
      </c>
      <c r="AR341">
        <v>660</v>
      </c>
      <c r="AS341">
        <v>570</v>
      </c>
      <c r="AT341">
        <v>660</v>
      </c>
      <c r="AU341">
        <v>576</v>
      </c>
      <c r="AV341">
        <v>675</v>
      </c>
      <c r="AW341">
        <v>630</v>
      </c>
      <c r="AX341">
        <v>420</v>
      </c>
      <c r="AY341">
        <v>270</v>
      </c>
      <c r="AZ341">
        <v>180</v>
      </c>
      <c r="BA341">
        <v>180</v>
      </c>
      <c r="BB341">
        <v>270</v>
      </c>
      <c r="BC341">
        <v>396</v>
      </c>
      <c r="BD341">
        <v>510</v>
      </c>
      <c r="BE341">
        <v>480</v>
      </c>
      <c r="BF341">
        <v>440</v>
      </c>
      <c r="BG341">
        <v>288</v>
      </c>
      <c r="BH341">
        <v>270</v>
      </c>
      <c r="BI341">
        <v>180</v>
      </c>
      <c r="BJ341">
        <v>180</v>
      </c>
      <c r="BK341">
        <v>225</v>
      </c>
      <c r="BL341">
        <v>327.27272727272731</v>
      </c>
      <c r="BM341">
        <v>360</v>
      </c>
      <c r="BN341">
        <v>360</v>
      </c>
      <c r="BO341">
        <v>270</v>
      </c>
      <c r="BP341">
        <v>270</v>
      </c>
      <c r="BQ341">
        <f>(I341+J341+N341+O341)/4</f>
        <v>7.458333333333333</v>
      </c>
      <c r="BR341">
        <f>(K341+L341+M341)/3</f>
        <v>6.6888888888888891</v>
      </c>
      <c r="BS341">
        <f>BQ341/BR341</f>
        <v>1.1150332225913619</v>
      </c>
      <c r="BT341">
        <f>AQ341/I341</f>
        <v>90</v>
      </c>
      <c r="BU341" t="str">
        <f>IF(OR(A341=2, A341=12), "Central", IF(A341=3, "Semi-Central", "Periférica"))</f>
        <v>Periférica</v>
      </c>
    </row>
    <row r="342" spans="1:73" x14ac:dyDescent="0.3">
      <c r="A342" s="1">
        <v>5</v>
      </c>
      <c r="B342" s="1">
        <v>526</v>
      </c>
      <c r="C342" s="1" t="s">
        <v>263</v>
      </c>
      <c r="D342" t="s">
        <v>1</v>
      </c>
      <c r="E342" t="s">
        <v>0</v>
      </c>
      <c r="F342">
        <v>0</v>
      </c>
      <c r="G342">
        <v>0</v>
      </c>
      <c r="H342">
        <v>2</v>
      </c>
      <c r="I342">
        <v>1.3333333333333333</v>
      </c>
      <c r="J342">
        <v>2</v>
      </c>
      <c r="K342">
        <v>1.6666666666666667</v>
      </c>
      <c r="L342">
        <v>1.3333333333333333</v>
      </c>
      <c r="M342">
        <v>1.6</v>
      </c>
      <c r="N342">
        <v>2</v>
      </c>
      <c r="O342">
        <v>1.5</v>
      </c>
      <c r="P342">
        <v>1.3333333333333333</v>
      </c>
      <c r="Q342">
        <v>1</v>
      </c>
      <c r="R342">
        <v>0</v>
      </c>
      <c r="S342">
        <v>0</v>
      </c>
      <c r="T342">
        <v>2</v>
      </c>
      <c r="U342">
        <v>1.6</v>
      </c>
      <c r="V342">
        <v>1.6666666666666667</v>
      </c>
      <c r="W342">
        <v>1.6666666666666667</v>
      </c>
      <c r="X342">
        <v>1.5555555555555556</v>
      </c>
      <c r="Y342">
        <v>2</v>
      </c>
      <c r="Z342">
        <v>0.5</v>
      </c>
      <c r="AA342">
        <v>0</v>
      </c>
      <c r="AB342">
        <v>0</v>
      </c>
      <c r="AC342">
        <v>0.5</v>
      </c>
      <c r="AD342">
        <v>1.4545454545454546</v>
      </c>
      <c r="AE342">
        <v>1.4</v>
      </c>
      <c r="AF342">
        <v>1.6666666666666667</v>
      </c>
      <c r="AG342">
        <v>2</v>
      </c>
      <c r="AH342">
        <v>0.5</v>
      </c>
      <c r="AI342" s="1">
        <v>5</v>
      </c>
      <c r="AJ342" s="1">
        <v>526</v>
      </c>
      <c r="AK342" s="1" t="s">
        <v>263</v>
      </c>
      <c r="AL342" t="s">
        <v>1</v>
      </c>
      <c r="AM342" t="s">
        <v>0</v>
      </c>
      <c r="AN342">
        <v>0</v>
      </c>
      <c r="AO342">
        <v>0</v>
      </c>
      <c r="AP342">
        <v>94</v>
      </c>
      <c r="AQ342">
        <v>62.666666666666664</v>
      </c>
      <c r="AR342">
        <v>94</v>
      </c>
      <c r="AS342">
        <v>78.333333333333329</v>
      </c>
      <c r="AT342">
        <v>62.666666666666664</v>
      </c>
      <c r="AU342">
        <v>75.2</v>
      </c>
      <c r="AV342">
        <v>94</v>
      </c>
      <c r="AW342">
        <v>70.5</v>
      </c>
      <c r="AX342">
        <v>62.666666666666664</v>
      </c>
      <c r="AY342">
        <v>47</v>
      </c>
      <c r="AZ342">
        <v>0</v>
      </c>
      <c r="BA342">
        <v>0</v>
      </c>
      <c r="BB342">
        <v>94</v>
      </c>
      <c r="BC342">
        <v>75.2</v>
      </c>
      <c r="BD342">
        <v>78.333333333333329</v>
      </c>
      <c r="BE342">
        <v>78.333333333333329</v>
      </c>
      <c r="BF342">
        <v>73.111111111111114</v>
      </c>
      <c r="BG342">
        <v>94</v>
      </c>
      <c r="BH342">
        <v>23.5</v>
      </c>
      <c r="BI342">
        <v>0</v>
      </c>
      <c r="BJ342">
        <v>0</v>
      </c>
      <c r="BK342">
        <v>23.5</v>
      </c>
      <c r="BL342">
        <v>68.36363636363636</v>
      </c>
      <c r="BM342">
        <v>65.8</v>
      </c>
      <c r="BN342">
        <v>78.333333333333329</v>
      </c>
      <c r="BO342">
        <v>94</v>
      </c>
      <c r="BP342">
        <v>23.5</v>
      </c>
      <c r="BQ342">
        <f>(I342+J342+N342+O342)/4</f>
        <v>1.7083333333333333</v>
      </c>
      <c r="BR342">
        <f>(K342+L342+M342)/3</f>
        <v>1.5333333333333332</v>
      </c>
      <c r="BS342">
        <f>BQ342/BR342</f>
        <v>1.1141304347826086</v>
      </c>
      <c r="BT342">
        <f>AQ342/I342</f>
        <v>47</v>
      </c>
      <c r="BU342" t="str">
        <f>IF(OR(A342=2, A342=12), "Central", IF(A342=3, "Semi-Central", "Periférica"))</f>
        <v>Periférica</v>
      </c>
    </row>
    <row r="343" spans="1:73" x14ac:dyDescent="0.3">
      <c r="A343" s="1">
        <v>15</v>
      </c>
      <c r="B343" s="1">
        <v>1513</v>
      </c>
      <c r="C343" s="1">
        <v>513</v>
      </c>
      <c r="D343" t="s">
        <v>5</v>
      </c>
      <c r="E343" t="s">
        <v>0</v>
      </c>
      <c r="F343">
        <v>3</v>
      </c>
      <c r="G343">
        <v>2</v>
      </c>
      <c r="H343">
        <v>7</v>
      </c>
      <c r="I343">
        <v>6.666666666666667</v>
      </c>
      <c r="J343">
        <v>6</v>
      </c>
      <c r="K343">
        <v>6</v>
      </c>
      <c r="L343">
        <v>6</v>
      </c>
      <c r="M343">
        <v>6</v>
      </c>
      <c r="N343">
        <v>8</v>
      </c>
      <c r="O343">
        <v>6</v>
      </c>
      <c r="P343">
        <v>5.333333333333333</v>
      </c>
      <c r="Q343">
        <v>3.5</v>
      </c>
      <c r="R343">
        <v>3</v>
      </c>
      <c r="S343">
        <v>2</v>
      </c>
      <c r="T343">
        <v>3</v>
      </c>
      <c r="U343">
        <v>3.6</v>
      </c>
      <c r="V343">
        <v>3.666666666666667</v>
      </c>
      <c r="W343">
        <v>4.333333333333333</v>
      </c>
      <c r="X343">
        <v>3.7777777777777781</v>
      </c>
      <c r="Y343">
        <v>4</v>
      </c>
      <c r="Z343">
        <v>3</v>
      </c>
      <c r="AA343">
        <v>3</v>
      </c>
      <c r="AB343">
        <v>2</v>
      </c>
      <c r="AC343">
        <v>4</v>
      </c>
      <c r="AD343">
        <v>3.8181818181818179</v>
      </c>
      <c r="AE343">
        <v>3.8</v>
      </c>
      <c r="AF343">
        <v>3.333333333333333</v>
      </c>
      <c r="AG343">
        <v>3</v>
      </c>
      <c r="AH343">
        <v>3</v>
      </c>
      <c r="AI343" s="1">
        <v>15</v>
      </c>
      <c r="AJ343" s="1">
        <v>1513</v>
      </c>
      <c r="AK343" s="1">
        <v>513</v>
      </c>
      <c r="AL343" t="s">
        <v>5</v>
      </c>
      <c r="AM343" t="s">
        <v>0</v>
      </c>
      <c r="AN343">
        <v>270</v>
      </c>
      <c r="AO343">
        <v>206.66666666666671</v>
      </c>
      <c r="AP343">
        <v>990</v>
      </c>
      <c r="AQ343">
        <v>880</v>
      </c>
      <c r="AR343">
        <v>700</v>
      </c>
      <c r="AS343">
        <v>740</v>
      </c>
      <c r="AT343">
        <v>740</v>
      </c>
      <c r="AU343">
        <v>708</v>
      </c>
      <c r="AV343">
        <v>930</v>
      </c>
      <c r="AW343">
        <v>630</v>
      </c>
      <c r="AX343">
        <v>600</v>
      </c>
      <c r="AY343">
        <v>345</v>
      </c>
      <c r="AZ343">
        <v>450</v>
      </c>
      <c r="BA343">
        <v>300</v>
      </c>
      <c r="BB343">
        <v>450</v>
      </c>
      <c r="BC343">
        <v>540</v>
      </c>
      <c r="BD343">
        <v>550</v>
      </c>
      <c r="BE343">
        <v>650</v>
      </c>
      <c r="BF343">
        <v>566.66666666666663</v>
      </c>
      <c r="BG343">
        <v>600</v>
      </c>
      <c r="BH343">
        <v>450</v>
      </c>
      <c r="BI343">
        <v>270</v>
      </c>
      <c r="BJ343">
        <v>180</v>
      </c>
      <c r="BK343">
        <v>360</v>
      </c>
      <c r="BL343">
        <v>343.63636363636363</v>
      </c>
      <c r="BM343">
        <v>342</v>
      </c>
      <c r="BN343">
        <v>300</v>
      </c>
      <c r="BO343">
        <v>270</v>
      </c>
      <c r="BP343">
        <v>270</v>
      </c>
      <c r="BQ343">
        <f>(I343+J343+N343+O343)/4</f>
        <v>6.666666666666667</v>
      </c>
      <c r="BR343">
        <f>(K343+L343+M343)/3</f>
        <v>6</v>
      </c>
      <c r="BS343">
        <f>BQ343/BR343</f>
        <v>1.1111111111111112</v>
      </c>
      <c r="BT343">
        <f>AQ343/I343</f>
        <v>132</v>
      </c>
      <c r="BU343" t="str">
        <f>IF(OR(A343=2, A343=12), "Central", IF(A343=3, "Semi-Central", "Periférica"))</f>
        <v>Periférica</v>
      </c>
    </row>
    <row r="344" spans="1:73" x14ac:dyDescent="0.3">
      <c r="A344" s="1">
        <v>15</v>
      </c>
      <c r="B344" s="1">
        <v>1513</v>
      </c>
      <c r="C344" s="1">
        <v>513</v>
      </c>
      <c r="D344" t="s">
        <v>1</v>
      </c>
      <c r="E344" t="s">
        <v>0</v>
      </c>
      <c r="F344">
        <v>3</v>
      </c>
      <c r="G344">
        <v>2</v>
      </c>
      <c r="H344">
        <v>5</v>
      </c>
      <c r="I344">
        <v>6.666666666666667</v>
      </c>
      <c r="J344">
        <v>6</v>
      </c>
      <c r="K344">
        <v>6</v>
      </c>
      <c r="L344">
        <v>6</v>
      </c>
      <c r="M344">
        <v>6</v>
      </c>
      <c r="N344">
        <v>8</v>
      </c>
      <c r="O344">
        <v>6</v>
      </c>
      <c r="P344">
        <v>6</v>
      </c>
      <c r="Q344">
        <v>3.5</v>
      </c>
      <c r="R344">
        <v>3</v>
      </c>
      <c r="S344">
        <v>2</v>
      </c>
      <c r="T344">
        <v>3</v>
      </c>
      <c r="U344">
        <v>3.6</v>
      </c>
      <c r="V344">
        <v>3.666666666666667</v>
      </c>
      <c r="W344">
        <v>4</v>
      </c>
      <c r="X344">
        <v>4</v>
      </c>
      <c r="Y344">
        <v>4</v>
      </c>
      <c r="Z344">
        <v>3</v>
      </c>
      <c r="AA344">
        <v>3</v>
      </c>
      <c r="AB344">
        <v>2</v>
      </c>
      <c r="AC344">
        <v>3.5</v>
      </c>
      <c r="AD344">
        <v>3.6363636363636358</v>
      </c>
      <c r="AE344">
        <v>3.8</v>
      </c>
      <c r="AF344">
        <v>4</v>
      </c>
      <c r="AG344">
        <v>3</v>
      </c>
      <c r="AH344">
        <v>3</v>
      </c>
      <c r="AI344" s="1">
        <v>15</v>
      </c>
      <c r="AJ344" s="1">
        <v>1513</v>
      </c>
      <c r="AK344" s="1">
        <v>513</v>
      </c>
      <c r="AL344" t="s">
        <v>1</v>
      </c>
      <c r="AM344" t="s">
        <v>0</v>
      </c>
      <c r="AN344">
        <v>330</v>
      </c>
      <c r="AO344">
        <v>180</v>
      </c>
      <c r="AP344">
        <v>690</v>
      </c>
      <c r="AQ344">
        <v>840</v>
      </c>
      <c r="AR344">
        <v>780</v>
      </c>
      <c r="AS344">
        <v>740</v>
      </c>
      <c r="AT344">
        <v>740</v>
      </c>
      <c r="AU344">
        <v>732</v>
      </c>
      <c r="AV344">
        <v>900</v>
      </c>
      <c r="AW344">
        <v>690</v>
      </c>
      <c r="AX344">
        <v>700</v>
      </c>
      <c r="AY344">
        <v>435</v>
      </c>
      <c r="AZ344">
        <v>450</v>
      </c>
      <c r="BA344">
        <v>300</v>
      </c>
      <c r="BB344">
        <v>450</v>
      </c>
      <c r="BC344">
        <v>540</v>
      </c>
      <c r="BD344">
        <v>550</v>
      </c>
      <c r="BE344">
        <v>600</v>
      </c>
      <c r="BF344">
        <v>600</v>
      </c>
      <c r="BG344">
        <v>600</v>
      </c>
      <c r="BH344">
        <v>450</v>
      </c>
      <c r="BI344">
        <v>270</v>
      </c>
      <c r="BJ344">
        <v>180</v>
      </c>
      <c r="BK344">
        <v>315</v>
      </c>
      <c r="BL344">
        <v>327.27272727272731</v>
      </c>
      <c r="BM344">
        <v>342</v>
      </c>
      <c r="BN344">
        <v>360</v>
      </c>
      <c r="BO344">
        <v>270</v>
      </c>
      <c r="BP344">
        <v>270</v>
      </c>
      <c r="BQ344">
        <f>(I344+J344+N344+O344)/4</f>
        <v>6.666666666666667</v>
      </c>
      <c r="BR344">
        <f>(K344+L344+M344)/3</f>
        <v>6</v>
      </c>
      <c r="BS344">
        <f>BQ344/BR344</f>
        <v>1.1111111111111112</v>
      </c>
      <c r="BT344">
        <f>AQ344/I344</f>
        <v>126</v>
      </c>
      <c r="BU344" t="str">
        <f>IF(OR(A344=2, A344=12), "Central", IF(A344=3, "Semi-Central", "Periférica"))</f>
        <v>Periférica</v>
      </c>
    </row>
    <row r="345" spans="1:73" x14ac:dyDescent="0.3">
      <c r="A345" s="1">
        <v>3</v>
      </c>
      <c r="B345" s="1">
        <v>374</v>
      </c>
      <c r="C345" s="1" t="s">
        <v>324</v>
      </c>
      <c r="D345" t="s">
        <v>1</v>
      </c>
      <c r="E345" t="s">
        <v>0</v>
      </c>
      <c r="F345">
        <v>2</v>
      </c>
      <c r="G345">
        <v>0</v>
      </c>
      <c r="H345">
        <v>3</v>
      </c>
      <c r="I345">
        <v>6</v>
      </c>
      <c r="J345">
        <v>4.666666666666667</v>
      </c>
      <c r="K345">
        <v>5.666666666666667</v>
      </c>
      <c r="L345">
        <v>6</v>
      </c>
      <c r="M345">
        <v>6</v>
      </c>
      <c r="N345">
        <v>8</v>
      </c>
      <c r="O345">
        <v>7.5</v>
      </c>
      <c r="P345">
        <v>5.333333333333333</v>
      </c>
      <c r="Q345">
        <v>3.5</v>
      </c>
      <c r="R345">
        <v>2</v>
      </c>
      <c r="S345">
        <v>0</v>
      </c>
      <c r="T345">
        <v>4</v>
      </c>
      <c r="U345">
        <v>4.8</v>
      </c>
      <c r="V345">
        <v>4.666666666666667</v>
      </c>
      <c r="W345">
        <v>4.666666666666667</v>
      </c>
      <c r="X345">
        <v>4.666666666666667</v>
      </c>
      <c r="Y345">
        <v>4</v>
      </c>
      <c r="Z345">
        <v>3.5</v>
      </c>
      <c r="AA345">
        <v>2</v>
      </c>
      <c r="AB345">
        <v>0</v>
      </c>
      <c r="AC345">
        <v>3</v>
      </c>
      <c r="AD345">
        <v>4</v>
      </c>
      <c r="AE345">
        <v>4</v>
      </c>
      <c r="AF345">
        <v>4</v>
      </c>
      <c r="AG345">
        <v>3</v>
      </c>
      <c r="AH345">
        <v>3</v>
      </c>
      <c r="AI345" s="1">
        <v>3</v>
      </c>
      <c r="AJ345" s="1">
        <v>374</v>
      </c>
      <c r="AK345" s="1" t="s">
        <v>324</v>
      </c>
      <c r="AL345" t="s">
        <v>1</v>
      </c>
      <c r="AM345" t="s">
        <v>0</v>
      </c>
      <c r="AN345">
        <v>186</v>
      </c>
      <c r="AO345">
        <v>0</v>
      </c>
      <c r="AP345">
        <v>279</v>
      </c>
      <c r="AQ345">
        <v>558</v>
      </c>
      <c r="AR345">
        <v>434</v>
      </c>
      <c r="AS345">
        <v>527</v>
      </c>
      <c r="AT345">
        <v>558</v>
      </c>
      <c r="AU345">
        <v>558</v>
      </c>
      <c r="AV345">
        <v>744</v>
      </c>
      <c r="AW345">
        <v>697.5</v>
      </c>
      <c r="AX345">
        <v>496</v>
      </c>
      <c r="AY345">
        <v>325.5</v>
      </c>
      <c r="AZ345">
        <v>186</v>
      </c>
      <c r="BA345">
        <v>0</v>
      </c>
      <c r="BB345">
        <v>372</v>
      </c>
      <c r="BC345">
        <v>446.4</v>
      </c>
      <c r="BD345">
        <v>434</v>
      </c>
      <c r="BE345">
        <v>434</v>
      </c>
      <c r="BF345">
        <v>434</v>
      </c>
      <c r="BG345">
        <v>372</v>
      </c>
      <c r="BH345">
        <v>325.5</v>
      </c>
      <c r="BI345">
        <v>186</v>
      </c>
      <c r="BJ345">
        <v>0</v>
      </c>
      <c r="BK345">
        <v>279</v>
      </c>
      <c r="BL345">
        <v>372</v>
      </c>
      <c r="BM345">
        <v>372</v>
      </c>
      <c r="BN345">
        <v>372</v>
      </c>
      <c r="BO345">
        <v>279</v>
      </c>
      <c r="BP345">
        <v>279</v>
      </c>
      <c r="BQ345">
        <f>(I345+J345+N345+O345)/4</f>
        <v>6.541666666666667</v>
      </c>
      <c r="BR345">
        <f>(K345+L345+M345)/3</f>
        <v>5.8888888888888893</v>
      </c>
      <c r="BS345">
        <f>BQ345/BR345</f>
        <v>1.1108490566037736</v>
      </c>
      <c r="BT345">
        <f>AQ345/I345</f>
        <v>93</v>
      </c>
      <c r="BU345" t="str">
        <f>IF(OR(A345=2, A345=12), "Central", IF(A345=3, "Semi-Central", "Periférica"))</f>
        <v>Semi-Central</v>
      </c>
    </row>
    <row r="346" spans="1:73" x14ac:dyDescent="0.3">
      <c r="A346" s="1">
        <v>5</v>
      </c>
      <c r="B346" s="1">
        <v>549</v>
      </c>
      <c r="C346" s="1">
        <v>109</v>
      </c>
      <c r="D346" t="s">
        <v>5</v>
      </c>
      <c r="E346" t="s">
        <v>0</v>
      </c>
      <c r="F346">
        <v>0</v>
      </c>
      <c r="G346">
        <v>0</v>
      </c>
      <c r="H346">
        <v>8</v>
      </c>
      <c r="I346">
        <v>6.666666666666667</v>
      </c>
      <c r="J346">
        <v>6</v>
      </c>
      <c r="K346">
        <v>6.333333333333333</v>
      </c>
      <c r="L346">
        <v>5.333333333333333</v>
      </c>
      <c r="M346">
        <v>6</v>
      </c>
      <c r="N346">
        <v>7.5</v>
      </c>
      <c r="O346">
        <v>6</v>
      </c>
      <c r="P346">
        <v>4.666666666666667</v>
      </c>
      <c r="Q346">
        <v>3.5</v>
      </c>
      <c r="R346">
        <v>0</v>
      </c>
      <c r="S346">
        <v>0</v>
      </c>
      <c r="T346">
        <v>3</v>
      </c>
      <c r="U346">
        <v>4</v>
      </c>
      <c r="V346">
        <v>4</v>
      </c>
      <c r="W346">
        <v>4</v>
      </c>
      <c r="X346">
        <v>4</v>
      </c>
      <c r="Y346">
        <v>4</v>
      </c>
      <c r="Z346">
        <v>3</v>
      </c>
      <c r="AA346">
        <v>0</v>
      </c>
      <c r="AB346">
        <v>0</v>
      </c>
      <c r="AC346">
        <v>3</v>
      </c>
      <c r="AD346">
        <v>3.8181818181818183</v>
      </c>
      <c r="AE346">
        <v>4</v>
      </c>
      <c r="AF346">
        <v>3</v>
      </c>
      <c r="AG346">
        <v>3</v>
      </c>
      <c r="AH346">
        <v>3</v>
      </c>
      <c r="AI346" s="1">
        <v>5</v>
      </c>
      <c r="AJ346" s="1">
        <v>549</v>
      </c>
      <c r="AK346" s="1">
        <v>109</v>
      </c>
      <c r="AL346" t="s">
        <v>5</v>
      </c>
      <c r="AM346" t="s">
        <v>0</v>
      </c>
      <c r="AN346">
        <v>0</v>
      </c>
      <c r="AO346">
        <v>0</v>
      </c>
      <c r="AP346">
        <v>648</v>
      </c>
      <c r="AQ346">
        <v>540</v>
      </c>
      <c r="AR346">
        <v>486</v>
      </c>
      <c r="AS346">
        <v>513</v>
      </c>
      <c r="AT346">
        <v>432</v>
      </c>
      <c r="AU346">
        <v>486</v>
      </c>
      <c r="AV346">
        <v>607.5</v>
      </c>
      <c r="AW346">
        <v>486</v>
      </c>
      <c r="AX346">
        <v>378</v>
      </c>
      <c r="AY346">
        <v>283.5</v>
      </c>
      <c r="AZ346">
        <v>0</v>
      </c>
      <c r="BA346">
        <v>0</v>
      </c>
      <c r="BB346">
        <v>243</v>
      </c>
      <c r="BC346">
        <v>324</v>
      </c>
      <c r="BD346">
        <v>324</v>
      </c>
      <c r="BE346">
        <v>324</v>
      </c>
      <c r="BF346">
        <v>324</v>
      </c>
      <c r="BG346">
        <v>324</v>
      </c>
      <c r="BH346">
        <v>243</v>
      </c>
      <c r="BI346">
        <v>0</v>
      </c>
      <c r="BJ346">
        <v>0</v>
      </c>
      <c r="BK346">
        <v>243</v>
      </c>
      <c r="BL346">
        <v>309.27272727272725</v>
      </c>
      <c r="BM346">
        <v>324</v>
      </c>
      <c r="BN346">
        <v>243</v>
      </c>
      <c r="BO346">
        <v>243</v>
      </c>
      <c r="BP346">
        <v>243</v>
      </c>
      <c r="BQ346">
        <f>(I346+J346+N346+O346)/4</f>
        <v>6.541666666666667</v>
      </c>
      <c r="BR346">
        <f>(K346+L346+M346)/3</f>
        <v>5.8888888888888884</v>
      </c>
      <c r="BS346">
        <f>BQ346/BR346</f>
        <v>1.1108490566037736</v>
      </c>
      <c r="BT346">
        <f>AQ346/I346</f>
        <v>81</v>
      </c>
      <c r="BU346" t="str">
        <f>IF(OR(A346=2, A346=12), "Central", IF(A346=3, "Semi-Central", "Periférica"))</f>
        <v>Periférica</v>
      </c>
    </row>
    <row r="347" spans="1:73" x14ac:dyDescent="0.3">
      <c r="A347" s="1">
        <v>16</v>
      </c>
      <c r="B347" s="1">
        <v>1622</v>
      </c>
      <c r="C347" s="1">
        <v>322</v>
      </c>
      <c r="D347" t="s">
        <v>1</v>
      </c>
      <c r="E347" t="s">
        <v>0</v>
      </c>
      <c r="F347">
        <v>0</v>
      </c>
      <c r="G347">
        <v>0</v>
      </c>
      <c r="H347">
        <v>4</v>
      </c>
      <c r="I347">
        <v>6</v>
      </c>
      <c r="J347">
        <v>6</v>
      </c>
      <c r="K347">
        <v>5.666666666666667</v>
      </c>
      <c r="L347">
        <v>4.666666666666667</v>
      </c>
      <c r="M347">
        <v>5.2</v>
      </c>
      <c r="N347">
        <v>6</v>
      </c>
      <c r="O347">
        <v>5</v>
      </c>
      <c r="P347">
        <v>4</v>
      </c>
      <c r="Q347">
        <v>2</v>
      </c>
      <c r="R347">
        <v>0</v>
      </c>
      <c r="S347">
        <v>0</v>
      </c>
      <c r="T347">
        <v>2</v>
      </c>
      <c r="U347">
        <v>4</v>
      </c>
      <c r="V347">
        <v>4</v>
      </c>
      <c r="W347">
        <v>5</v>
      </c>
      <c r="X347">
        <v>4</v>
      </c>
      <c r="Y347">
        <v>4</v>
      </c>
      <c r="Z347">
        <v>1.5</v>
      </c>
      <c r="AA347">
        <v>0</v>
      </c>
      <c r="AB347">
        <v>0</v>
      </c>
      <c r="AC347">
        <v>1.5</v>
      </c>
      <c r="AD347">
        <v>3.0909090909090908</v>
      </c>
      <c r="AE347">
        <v>3</v>
      </c>
      <c r="AF347">
        <v>3</v>
      </c>
      <c r="AG347">
        <v>3</v>
      </c>
      <c r="AH347">
        <v>1.5</v>
      </c>
      <c r="AI347" s="1">
        <v>16</v>
      </c>
      <c r="AJ347" s="1">
        <v>1622</v>
      </c>
      <c r="AK347" s="1">
        <v>322</v>
      </c>
      <c r="AL347" t="s">
        <v>1</v>
      </c>
      <c r="AM347" t="s">
        <v>0</v>
      </c>
      <c r="AN347">
        <v>0</v>
      </c>
      <c r="AO347">
        <v>0</v>
      </c>
      <c r="AP347">
        <v>240</v>
      </c>
      <c r="AQ347">
        <v>360</v>
      </c>
      <c r="AR347">
        <v>360</v>
      </c>
      <c r="AS347">
        <v>340</v>
      </c>
      <c r="AT347">
        <v>280</v>
      </c>
      <c r="AU347">
        <v>312</v>
      </c>
      <c r="AV347">
        <v>360</v>
      </c>
      <c r="AW347">
        <v>300</v>
      </c>
      <c r="AX347">
        <v>240</v>
      </c>
      <c r="AY347">
        <v>120</v>
      </c>
      <c r="AZ347">
        <v>0</v>
      </c>
      <c r="BA347">
        <v>0</v>
      </c>
      <c r="BB347">
        <v>120</v>
      </c>
      <c r="BC347">
        <v>240</v>
      </c>
      <c r="BD347">
        <v>240</v>
      </c>
      <c r="BE347">
        <v>300</v>
      </c>
      <c r="BF347">
        <v>240</v>
      </c>
      <c r="BG347">
        <v>240</v>
      </c>
      <c r="BH347">
        <v>90</v>
      </c>
      <c r="BI347">
        <v>0</v>
      </c>
      <c r="BJ347">
        <v>0</v>
      </c>
      <c r="BK347">
        <v>90</v>
      </c>
      <c r="BL347">
        <v>185.4545454545455</v>
      </c>
      <c r="BM347">
        <v>180</v>
      </c>
      <c r="BN347">
        <v>180</v>
      </c>
      <c r="BO347">
        <v>180</v>
      </c>
      <c r="BP347">
        <v>90</v>
      </c>
      <c r="BQ347">
        <f>(I347+J347+N347+O347)/4</f>
        <v>5.75</v>
      </c>
      <c r="BR347">
        <f>(K347+L347+M347)/3</f>
        <v>5.177777777777778</v>
      </c>
      <c r="BS347">
        <f>BQ347/BR347</f>
        <v>1.1105150214592274</v>
      </c>
      <c r="BT347">
        <f>AQ347/I347</f>
        <v>60</v>
      </c>
      <c r="BU347" t="str">
        <f>IF(OR(A347=2, A347=12), "Central", IF(A347=3, "Semi-Central", "Periférica"))</f>
        <v>Periférica</v>
      </c>
    </row>
    <row r="348" spans="1:73" x14ac:dyDescent="0.3">
      <c r="A348" s="1">
        <v>16</v>
      </c>
      <c r="B348" s="1" t="s">
        <v>292</v>
      </c>
      <c r="C348" s="1" t="s">
        <v>291</v>
      </c>
      <c r="D348" t="s">
        <v>1</v>
      </c>
      <c r="E348" t="s">
        <v>0</v>
      </c>
      <c r="F348">
        <v>0</v>
      </c>
      <c r="G348">
        <v>0</v>
      </c>
      <c r="H348">
        <v>4</v>
      </c>
      <c r="I348">
        <v>7.333333333333333</v>
      </c>
      <c r="J348">
        <v>5.333333333333333</v>
      </c>
      <c r="K348">
        <v>5</v>
      </c>
      <c r="L348">
        <v>6</v>
      </c>
      <c r="M348">
        <v>6</v>
      </c>
      <c r="N348">
        <v>6</v>
      </c>
      <c r="O348">
        <v>6.5</v>
      </c>
      <c r="P348">
        <v>4</v>
      </c>
      <c r="Q348">
        <v>1.5</v>
      </c>
      <c r="R348">
        <v>0</v>
      </c>
      <c r="S348">
        <v>0</v>
      </c>
      <c r="T348">
        <v>0</v>
      </c>
      <c r="U348">
        <v>4</v>
      </c>
      <c r="V348">
        <v>3.666666666666667</v>
      </c>
      <c r="W348">
        <v>3.666666666666667</v>
      </c>
      <c r="X348">
        <v>3.7777777777777781</v>
      </c>
      <c r="Y348">
        <v>3.2</v>
      </c>
      <c r="Z348">
        <v>1.5</v>
      </c>
      <c r="AA348">
        <v>0</v>
      </c>
      <c r="AB348">
        <v>0</v>
      </c>
      <c r="AC348">
        <v>0</v>
      </c>
      <c r="AD348">
        <v>2.545454545454545</v>
      </c>
      <c r="AE348">
        <v>3.2</v>
      </c>
      <c r="AF348">
        <v>3.333333333333333</v>
      </c>
      <c r="AG348">
        <v>3</v>
      </c>
      <c r="AH348">
        <v>1.5</v>
      </c>
      <c r="AI348" s="1">
        <v>16</v>
      </c>
      <c r="AJ348" s="1" t="s">
        <v>292</v>
      </c>
      <c r="AK348" s="1" t="s">
        <v>291</v>
      </c>
      <c r="AL348" t="s">
        <v>1</v>
      </c>
      <c r="AM348" t="s">
        <v>0</v>
      </c>
      <c r="AN348">
        <v>0</v>
      </c>
      <c r="AO348">
        <v>0</v>
      </c>
      <c r="AP348">
        <v>360</v>
      </c>
      <c r="AQ348">
        <v>660</v>
      </c>
      <c r="AR348">
        <v>480</v>
      </c>
      <c r="AS348">
        <v>450</v>
      </c>
      <c r="AT348">
        <v>540</v>
      </c>
      <c r="AU348">
        <v>540</v>
      </c>
      <c r="AV348">
        <v>540</v>
      </c>
      <c r="AW348">
        <v>585</v>
      </c>
      <c r="AX348">
        <v>360</v>
      </c>
      <c r="AY348">
        <v>135</v>
      </c>
      <c r="AZ348">
        <v>0</v>
      </c>
      <c r="BA348">
        <v>0</v>
      </c>
      <c r="BB348">
        <v>0</v>
      </c>
      <c r="BC348">
        <v>360</v>
      </c>
      <c r="BD348">
        <v>330</v>
      </c>
      <c r="BE348">
        <v>330</v>
      </c>
      <c r="BF348">
        <v>340</v>
      </c>
      <c r="BG348">
        <v>288</v>
      </c>
      <c r="BH348">
        <v>135</v>
      </c>
      <c r="BI348">
        <v>0</v>
      </c>
      <c r="BJ348">
        <v>0</v>
      </c>
      <c r="BK348">
        <v>0</v>
      </c>
      <c r="BL348">
        <v>229.09090909090909</v>
      </c>
      <c r="BM348">
        <v>288</v>
      </c>
      <c r="BN348">
        <v>300</v>
      </c>
      <c r="BO348">
        <v>270</v>
      </c>
      <c r="BP348">
        <v>135</v>
      </c>
      <c r="BQ348">
        <f>(I348+J348+N348+O348)/4</f>
        <v>6.2916666666666661</v>
      </c>
      <c r="BR348">
        <f>(K348+L348+M348)/3</f>
        <v>5.666666666666667</v>
      </c>
      <c r="BS348">
        <f>BQ348/BR348</f>
        <v>1.1102941176470587</v>
      </c>
      <c r="BT348">
        <f>AQ348/I348</f>
        <v>90</v>
      </c>
      <c r="BU348" t="str">
        <f>IF(OR(A348=2, A348=12), "Central", IF(A348=3, "Semi-Central", "Periférica"))</f>
        <v>Periférica</v>
      </c>
    </row>
    <row r="349" spans="1:73" x14ac:dyDescent="0.3">
      <c r="A349" s="1">
        <v>5</v>
      </c>
      <c r="B349" s="1">
        <v>549</v>
      </c>
      <c r="C349" s="1">
        <v>109</v>
      </c>
      <c r="D349" t="s">
        <v>1</v>
      </c>
      <c r="E349" t="s">
        <v>0</v>
      </c>
      <c r="F349">
        <v>0</v>
      </c>
      <c r="G349">
        <v>0</v>
      </c>
      <c r="H349">
        <v>8</v>
      </c>
      <c r="I349">
        <v>7.333333333333333</v>
      </c>
      <c r="J349">
        <v>6</v>
      </c>
      <c r="K349">
        <v>5.666666666666667</v>
      </c>
      <c r="L349">
        <v>5.333333333333333</v>
      </c>
      <c r="M349">
        <v>6.8</v>
      </c>
      <c r="N349">
        <v>7</v>
      </c>
      <c r="O349">
        <v>6</v>
      </c>
      <c r="P349">
        <v>4.666666666666667</v>
      </c>
      <c r="Q349">
        <v>3.5</v>
      </c>
      <c r="R349">
        <v>0</v>
      </c>
      <c r="S349">
        <v>0</v>
      </c>
      <c r="T349">
        <v>5</v>
      </c>
      <c r="U349">
        <v>4</v>
      </c>
      <c r="V349">
        <v>4</v>
      </c>
      <c r="W349">
        <v>4</v>
      </c>
      <c r="X349">
        <v>4</v>
      </c>
      <c r="Y349">
        <v>3.2</v>
      </c>
      <c r="Z349">
        <v>3</v>
      </c>
      <c r="AA349">
        <v>0</v>
      </c>
      <c r="AB349">
        <v>0</v>
      </c>
      <c r="AC349">
        <v>3</v>
      </c>
      <c r="AD349">
        <v>3.8181818181818183</v>
      </c>
      <c r="AE349">
        <v>4</v>
      </c>
      <c r="AF349">
        <v>3</v>
      </c>
      <c r="AG349">
        <v>3</v>
      </c>
      <c r="AH349">
        <v>3</v>
      </c>
      <c r="AI349" s="1">
        <v>5</v>
      </c>
      <c r="AJ349" s="1">
        <v>549</v>
      </c>
      <c r="AK349" s="1">
        <v>109</v>
      </c>
      <c r="AL349" t="s">
        <v>1</v>
      </c>
      <c r="AM349" t="s">
        <v>0</v>
      </c>
      <c r="AN349">
        <v>0</v>
      </c>
      <c r="AO349">
        <v>0</v>
      </c>
      <c r="AP349">
        <v>648</v>
      </c>
      <c r="AQ349">
        <v>594</v>
      </c>
      <c r="AR349">
        <v>486</v>
      </c>
      <c r="AS349">
        <v>459</v>
      </c>
      <c r="AT349">
        <v>432</v>
      </c>
      <c r="AU349">
        <v>550.79999999999995</v>
      </c>
      <c r="AV349">
        <v>567</v>
      </c>
      <c r="AW349">
        <v>486</v>
      </c>
      <c r="AX349">
        <v>378</v>
      </c>
      <c r="AY349">
        <v>283.5</v>
      </c>
      <c r="AZ349">
        <v>0</v>
      </c>
      <c r="BA349">
        <v>0</v>
      </c>
      <c r="BB349">
        <v>405</v>
      </c>
      <c r="BC349">
        <v>324</v>
      </c>
      <c r="BD349">
        <v>324</v>
      </c>
      <c r="BE349">
        <v>324</v>
      </c>
      <c r="BF349">
        <v>324</v>
      </c>
      <c r="BG349">
        <v>259.2</v>
      </c>
      <c r="BH349">
        <v>243</v>
      </c>
      <c r="BI349">
        <v>0</v>
      </c>
      <c r="BJ349">
        <v>0</v>
      </c>
      <c r="BK349">
        <v>243</v>
      </c>
      <c r="BL349">
        <v>309.27272727272725</v>
      </c>
      <c r="BM349">
        <v>324</v>
      </c>
      <c r="BN349">
        <v>243</v>
      </c>
      <c r="BO349">
        <v>243</v>
      </c>
      <c r="BP349">
        <v>243</v>
      </c>
      <c r="BQ349">
        <f>(I349+J349+N349+O349)/4</f>
        <v>6.583333333333333</v>
      </c>
      <c r="BR349">
        <f>(K349+L349+M349)/3</f>
        <v>5.9333333333333336</v>
      </c>
      <c r="BS349">
        <f>BQ349/BR349</f>
        <v>1.1095505617977528</v>
      </c>
      <c r="BT349">
        <f>AQ349/I349</f>
        <v>81</v>
      </c>
      <c r="BU349" t="str">
        <f>IF(OR(A349=2, A349=12), "Central", IF(A349=3, "Semi-Central", "Periférica"))</f>
        <v>Periférica</v>
      </c>
    </row>
    <row r="350" spans="1:73" x14ac:dyDescent="0.3">
      <c r="A350" s="1">
        <v>19</v>
      </c>
      <c r="B350" s="1">
        <v>1935</v>
      </c>
      <c r="C350" s="1" t="s">
        <v>329</v>
      </c>
      <c r="D350" t="s">
        <v>5</v>
      </c>
      <c r="E350" t="s">
        <v>0</v>
      </c>
      <c r="F350">
        <v>0</v>
      </c>
      <c r="G350">
        <v>0</v>
      </c>
      <c r="H350">
        <v>4</v>
      </c>
      <c r="I350">
        <v>5.333333333333333</v>
      </c>
      <c r="J350">
        <v>4</v>
      </c>
      <c r="K350">
        <v>4</v>
      </c>
      <c r="L350">
        <v>4</v>
      </c>
      <c r="M350">
        <v>4.4000000000000004</v>
      </c>
      <c r="N350">
        <v>5</v>
      </c>
      <c r="O350">
        <v>4</v>
      </c>
      <c r="P350">
        <v>4</v>
      </c>
      <c r="Q350">
        <v>3</v>
      </c>
      <c r="R350">
        <v>0</v>
      </c>
      <c r="S350">
        <v>0</v>
      </c>
      <c r="T350">
        <v>3</v>
      </c>
      <c r="U350">
        <v>3.6</v>
      </c>
      <c r="V350">
        <v>3.666666666666667</v>
      </c>
      <c r="W350">
        <v>3.666666666666667</v>
      </c>
      <c r="X350">
        <v>4</v>
      </c>
      <c r="Y350">
        <v>3.2</v>
      </c>
      <c r="Z350">
        <v>2.5</v>
      </c>
      <c r="AA350">
        <v>0</v>
      </c>
      <c r="AB350">
        <v>0</v>
      </c>
      <c r="AC350">
        <v>3</v>
      </c>
      <c r="AD350">
        <v>3.0909090909090908</v>
      </c>
      <c r="AE350">
        <v>3.2</v>
      </c>
      <c r="AF350">
        <v>3</v>
      </c>
      <c r="AG350">
        <v>3</v>
      </c>
      <c r="AH350">
        <v>2.5</v>
      </c>
      <c r="AI350" s="1">
        <v>19</v>
      </c>
      <c r="AJ350" s="1">
        <v>1935</v>
      </c>
      <c r="AK350" s="1" t="s">
        <v>329</v>
      </c>
      <c r="AL350" t="s">
        <v>5</v>
      </c>
      <c r="AM350" t="s">
        <v>0</v>
      </c>
      <c r="AN350">
        <v>0</v>
      </c>
      <c r="AO350">
        <v>0</v>
      </c>
      <c r="AP350">
        <v>360</v>
      </c>
      <c r="AQ350">
        <v>480</v>
      </c>
      <c r="AR350">
        <v>360</v>
      </c>
      <c r="AS350">
        <v>360</v>
      </c>
      <c r="AT350">
        <v>360</v>
      </c>
      <c r="AU350">
        <v>396</v>
      </c>
      <c r="AV350">
        <v>450</v>
      </c>
      <c r="AW350">
        <v>360</v>
      </c>
      <c r="AX350">
        <v>360</v>
      </c>
      <c r="AY350">
        <v>270</v>
      </c>
      <c r="AZ350">
        <v>0</v>
      </c>
      <c r="BA350">
        <v>0</v>
      </c>
      <c r="BB350">
        <v>270</v>
      </c>
      <c r="BC350">
        <v>324</v>
      </c>
      <c r="BD350">
        <v>330</v>
      </c>
      <c r="BE350">
        <v>330</v>
      </c>
      <c r="BF350">
        <v>360</v>
      </c>
      <c r="BG350">
        <v>288</v>
      </c>
      <c r="BH350">
        <v>225</v>
      </c>
      <c r="BI350">
        <v>0</v>
      </c>
      <c r="BJ350">
        <v>0</v>
      </c>
      <c r="BK350">
        <v>270</v>
      </c>
      <c r="BL350">
        <v>278.18181818181819</v>
      </c>
      <c r="BM350">
        <v>288</v>
      </c>
      <c r="BN350">
        <v>270</v>
      </c>
      <c r="BO350">
        <v>270</v>
      </c>
      <c r="BP350">
        <v>225</v>
      </c>
      <c r="BQ350">
        <f>(I350+J350+N350+O350)/4</f>
        <v>4.583333333333333</v>
      </c>
      <c r="BR350">
        <f>(K350+L350+M350)/3</f>
        <v>4.1333333333333337</v>
      </c>
      <c r="BS350">
        <f>BQ350/BR350</f>
        <v>1.1088709677419353</v>
      </c>
      <c r="BT350">
        <f>AQ350/I350</f>
        <v>90</v>
      </c>
      <c r="BU350" t="str">
        <f>IF(OR(A350=2, A350=12), "Central", IF(A350=3, "Semi-Central", "Periférica"))</f>
        <v>Periférica</v>
      </c>
    </row>
    <row r="351" spans="1:73" x14ac:dyDescent="0.3">
      <c r="A351" s="1">
        <v>19</v>
      </c>
      <c r="B351" s="1">
        <v>1935</v>
      </c>
      <c r="C351" s="1" t="s">
        <v>329</v>
      </c>
      <c r="D351" t="s">
        <v>1</v>
      </c>
      <c r="E351" t="s">
        <v>0</v>
      </c>
      <c r="F351">
        <v>0</v>
      </c>
      <c r="G351">
        <v>0</v>
      </c>
      <c r="H351">
        <v>5</v>
      </c>
      <c r="I351">
        <v>5.333333333333333</v>
      </c>
      <c r="J351">
        <v>4</v>
      </c>
      <c r="K351">
        <v>4</v>
      </c>
      <c r="L351">
        <v>4</v>
      </c>
      <c r="M351">
        <v>4.4000000000000004</v>
      </c>
      <c r="N351">
        <v>5</v>
      </c>
      <c r="O351">
        <v>4</v>
      </c>
      <c r="P351">
        <v>4</v>
      </c>
      <c r="Q351">
        <v>1.5</v>
      </c>
      <c r="R351">
        <v>0</v>
      </c>
      <c r="S351">
        <v>0</v>
      </c>
      <c r="T351">
        <v>3</v>
      </c>
      <c r="U351">
        <v>3.6</v>
      </c>
      <c r="V351">
        <v>3.666666666666667</v>
      </c>
      <c r="W351">
        <v>3.666666666666667</v>
      </c>
      <c r="X351">
        <v>4</v>
      </c>
      <c r="Y351">
        <v>3.2</v>
      </c>
      <c r="Z351">
        <v>1.5</v>
      </c>
      <c r="AA351">
        <v>0</v>
      </c>
      <c r="AB351">
        <v>0</v>
      </c>
      <c r="AC351">
        <v>3</v>
      </c>
      <c r="AD351">
        <v>3.0909090909090908</v>
      </c>
      <c r="AE351">
        <v>3.2</v>
      </c>
      <c r="AF351">
        <v>3</v>
      </c>
      <c r="AG351">
        <v>3</v>
      </c>
      <c r="AH351">
        <v>1.5</v>
      </c>
      <c r="AI351" s="1">
        <v>19</v>
      </c>
      <c r="AJ351" s="1">
        <v>1935</v>
      </c>
      <c r="AK351" s="1" t="s">
        <v>329</v>
      </c>
      <c r="AL351" t="s">
        <v>1</v>
      </c>
      <c r="AM351" t="s">
        <v>0</v>
      </c>
      <c r="AN351">
        <v>0</v>
      </c>
      <c r="AO351">
        <v>0</v>
      </c>
      <c r="AP351">
        <v>450</v>
      </c>
      <c r="AQ351">
        <v>480</v>
      </c>
      <c r="AR351">
        <v>360</v>
      </c>
      <c r="AS351">
        <v>360</v>
      </c>
      <c r="AT351">
        <v>360</v>
      </c>
      <c r="AU351">
        <v>396</v>
      </c>
      <c r="AV351">
        <v>450</v>
      </c>
      <c r="AW351">
        <v>360</v>
      </c>
      <c r="AX351">
        <v>360</v>
      </c>
      <c r="AY351">
        <v>135</v>
      </c>
      <c r="AZ351">
        <v>0</v>
      </c>
      <c r="BA351">
        <v>0</v>
      </c>
      <c r="BB351">
        <v>270</v>
      </c>
      <c r="BC351">
        <v>324</v>
      </c>
      <c r="BD351">
        <v>330</v>
      </c>
      <c r="BE351">
        <v>330</v>
      </c>
      <c r="BF351">
        <v>360</v>
      </c>
      <c r="BG351">
        <v>288</v>
      </c>
      <c r="BH351">
        <v>135</v>
      </c>
      <c r="BI351">
        <v>0</v>
      </c>
      <c r="BJ351">
        <v>0</v>
      </c>
      <c r="BK351">
        <v>270</v>
      </c>
      <c r="BL351">
        <v>278.18181818181819</v>
      </c>
      <c r="BM351">
        <v>288</v>
      </c>
      <c r="BN351">
        <v>270</v>
      </c>
      <c r="BO351">
        <v>270</v>
      </c>
      <c r="BP351">
        <v>135</v>
      </c>
      <c r="BQ351">
        <f>(I351+J351+N351+O351)/4</f>
        <v>4.583333333333333</v>
      </c>
      <c r="BR351">
        <f>(K351+L351+M351)/3</f>
        <v>4.1333333333333337</v>
      </c>
      <c r="BS351">
        <f>BQ351/BR351</f>
        <v>1.1088709677419353</v>
      </c>
      <c r="BT351">
        <f>AQ351/I351</f>
        <v>90</v>
      </c>
      <c r="BU351" t="str">
        <f>IF(OR(A351=2, A351=12), "Central", IF(A351=3, "Semi-Central", "Periférica"))</f>
        <v>Periférica</v>
      </c>
    </row>
    <row r="352" spans="1:73" x14ac:dyDescent="0.3">
      <c r="A352" s="1">
        <v>9</v>
      </c>
      <c r="B352" s="1">
        <v>964</v>
      </c>
      <c r="C352" s="1">
        <v>124</v>
      </c>
      <c r="D352" t="s">
        <v>1</v>
      </c>
      <c r="F352">
        <v>0</v>
      </c>
      <c r="G352">
        <v>0.66666666666666663</v>
      </c>
      <c r="H352">
        <v>7</v>
      </c>
      <c r="I352">
        <v>7.333333333333333</v>
      </c>
      <c r="J352">
        <v>6</v>
      </c>
      <c r="K352">
        <v>5</v>
      </c>
      <c r="L352">
        <v>6</v>
      </c>
      <c r="M352">
        <v>4.8</v>
      </c>
      <c r="N352">
        <v>5</v>
      </c>
      <c r="O352">
        <v>5</v>
      </c>
      <c r="P352">
        <v>4.666666666666667</v>
      </c>
      <c r="Q352">
        <v>3</v>
      </c>
      <c r="R352">
        <v>0</v>
      </c>
      <c r="S352">
        <v>0.88888888888888884</v>
      </c>
      <c r="T352">
        <v>5</v>
      </c>
      <c r="U352">
        <v>5.6</v>
      </c>
      <c r="V352">
        <v>5</v>
      </c>
      <c r="W352">
        <v>5</v>
      </c>
      <c r="X352">
        <v>3.7777777777777781</v>
      </c>
      <c r="Y352">
        <v>3.2</v>
      </c>
      <c r="Z352">
        <v>2.5</v>
      </c>
      <c r="AA352">
        <v>0</v>
      </c>
      <c r="AB352">
        <v>0.44444444444444442</v>
      </c>
      <c r="AC352">
        <v>3.5</v>
      </c>
      <c r="AD352">
        <v>4.1818181818181817</v>
      </c>
      <c r="AE352">
        <v>3.8</v>
      </c>
      <c r="AF352">
        <v>3.666666666666667</v>
      </c>
      <c r="AG352">
        <v>3</v>
      </c>
      <c r="AH352">
        <v>2</v>
      </c>
      <c r="AI352" s="1">
        <v>9</v>
      </c>
      <c r="AJ352" s="1">
        <v>964</v>
      </c>
      <c r="AK352" s="1">
        <v>124</v>
      </c>
      <c r="AL352" t="s">
        <v>1</v>
      </c>
      <c r="AN352">
        <v>0</v>
      </c>
      <c r="AO352">
        <v>60</v>
      </c>
      <c r="AP352">
        <v>630</v>
      </c>
      <c r="AQ352">
        <v>660</v>
      </c>
      <c r="AR352">
        <v>540</v>
      </c>
      <c r="AS352">
        <v>450</v>
      </c>
      <c r="AT352">
        <v>540</v>
      </c>
      <c r="AU352">
        <v>432</v>
      </c>
      <c r="AV352">
        <v>450</v>
      </c>
      <c r="AW352">
        <v>450</v>
      </c>
      <c r="AX352">
        <v>420</v>
      </c>
      <c r="AY352">
        <v>270</v>
      </c>
      <c r="AZ352">
        <v>0</v>
      </c>
      <c r="BA352">
        <v>80</v>
      </c>
      <c r="BB352">
        <v>450</v>
      </c>
      <c r="BC352">
        <v>504</v>
      </c>
      <c r="BD352">
        <v>450</v>
      </c>
      <c r="BE352">
        <v>450</v>
      </c>
      <c r="BF352">
        <v>340</v>
      </c>
      <c r="BG352">
        <v>288</v>
      </c>
      <c r="BH352">
        <v>225</v>
      </c>
      <c r="BI352">
        <v>0</v>
      </c>
      <c r="BJ352">
        <v>40</v>
      </c>
      <c r="BK352">
        <v>315</v>
      </c>
      <c r="BL352">
        <v>376.36363636363637</v>
      </c>
      <c r="BM352">
        <v>342</v>
      </c>
      <c r="BN352">
        <v>330</v>
      </c>
      <c r="BO352">
        <v>270</v>
      </c>
      <c r="BP352">
        <v>180</v>
      </c>
      <c r="BQ352">
        <f>(I352+J352+N352+O352)/4</f>
        <v>5.833333333333333</v>
      </c>
      <c r="BR352">
        <f>(K352+L352+M352)/3</f>
        <v>5.2666666666666666</v>
      </c>
      <c r="BS352">
        <f>BQ352/BR352</f>
        <v>1.1075949367088607</v>
      </c>
      <c r="BT352">
        <f>AQ352/I352</f>
        <v>90</v>
      </c>
      <c r="BU352" t="str">
        <f>IF(OR(A352=2, A352=12), "Central", IF(A352=3, "Semi-Central", "Periférica"))</f>
        <v>Periférica</v>
      </c>
    </row>
    <row r="353" spans="1:73" x14ac:dyDescent="0.3">
      <c r="A353" s="1">
        <v>11</v>
      </c>
      <c r="B353" s="1">
        <v>1125</v>
      </c>
      <c r="C353" s="1" t="s">
        <v>328</v>
      </c>
      <c r="D353" t="s">
        <v>5</v>
      </c>
      <c r="F353">
        <v>0</v>
      </c>
      <c r="G353">
        <v>0</v>
      </c>
      <c r="H353">
        <v>5</v>
      </c>
      <c r="I353">
        <v>6</v>
      </c>
      <c r="J353">
        <v>5.333333333333333</v>
      </c>
      <c r="K353">
        <v>5</v>
      </c>
      <c r="L353">
        <v>5.333333333333333</v>
      </c>
      <c r="M353">
        <v>4.8</v>
      </c>
      <c r="N353">
        <v>6</v>
      </c>
      <c r="O353">
        <v>5</v>
      </c>
      <c r="P353">
        <v>4.666666666666667</v>
      </c>
      <c r="Q353">
        <v>1.5</v>
      </c>
      <c r="R353">
        <v>0</v>
      </c>
      <c r="S353">
        <v>0</v>
      </c>
      <c r="T353">
        <v>3</v>
      </c>
      <c r="U353">
        <v>4.8</v>
      </c>
      <c r="V353">
        <v>5</v>
      </c>
      <c r="W353">
        <v>3</v>
      </c>
      <c r="X353">
        <v>3.1111111111111112</v>
      </c>
      <c r="Y353">
        <v>3.2</v>
      </c>
      <c r="Z353">
        <v>1.5</v>
      </c>
      <c r="AA353">
        <v>0</v>
      </c>
      <c r="AB353">
        <v>0</v>
      </c>
      <c r="AC353">
        <v>3</v>
      </c>
      <c r="AD353">
        <v>3.0909090909090908</v>
      </c>
      <c r="AE353">
        <v>3</v>
      </c>
      <c r="AF353">
        <v>3.333333333333333</v>
      </c>
      <c r="AG353">
        <v>3</v>
      </c>
      <c r="AH353">
        <v>2.5</v>
      </c>
      <c r="AI353" s="1">
        <v>11</v>
      </c>
      <c r="AJ353" s="1">
        <v>1125</v>
      </c>
      <c r="AK353" s="1" t="s">
        <v>328</v>
      </c>
      <c r="AL353" t="s">
        <v>5</v>
      </c>
      <c r="AN353">
        <v>0</v>
      </c>
      <c r="AO353">
        <v>0</v>
      </c>
      <c r="AP353">
        <v>450</v>
      </c>
      <c r="AQ353">
        <v>540</v>
      </c>
      <c r="AR353">
        <v>480</v>
      </c>
      <c r="AS353">
        <v>450</v>
      </c>
      <c r="AT353">
        <v>480</v>
      </c>
      <c r="AU353">
        <v>432</v>
      </c>
      <c r="AV353">
        <v>540</v>
      </c>
      <c r="AW353">
        <v>450</v>
      </c>
      <c r="AX353">
        <v>420</v>
      </c>
      <c r="AY353">
        <v>135</v>
      </c>
      <c r="AZ353">
        <v>0</v>
      </c>
      <c r="BA353">
        <v>0</v>
      </c>
      <c r="BB353">
        <v>270</v>
      </c>
      <c r="BC353">
        <v>432</v>
      </c>
      <c r="BD353">
        <v>450</v>
      </c>
      <c r="BE353">
        <v>270</v>
      </c>
      <c r="BF353">
        <v>280</v>
      </c>
      <c r="BG353">
        <v>288</v>
      </c>
      <c r="BH353">
        <v>135</v>
      </c>
      <c r="BI353">
        <v>0</v>
      </c>
      <c r="BJ353">
        <v>0</v>
      </c>
      <c r="BK353">
        <v>270</v>
      </c>
      <c r="BL353">
        <v>278.18181818181819</v>
      </c>
      <c r="BM353">
        <v>270</v>
      </c>
      <c r="BN353">
        <v>300</v>
      </c>
      <c r="BO353">
        <v>270</v>
      </c>
      <c r="BP353">
        <v>225</v>
      </c>
      <c r="BQ353">
        <f>(I353+J353+N353+O353)/4</f>
        <v>5.583333333333333</v>
      </c>
      <c r="BR353">
        <f>(K353+L353+M353)/3</f>
        <v>5.0444444444444443</v>
      </c>
      <c r="BS353">
        <f>BQ353/BR353</f>
        <v>1.106828193832599</v>
      </c>
      <c r="BT353">
        <f>AQ353/I353</f>
        <v>90</v>
      </c>
      <c r="BU353" t="str">
        <f>IF(OR(A353=2, A353=12), "Central", IF(A353=3, "Semi-Central", "Periférica"))</f>
        <v>Periférica</v>
      </c>
    </row>
    <row r="354" spans="1:73" x14ac:dyDescent="0.3">
      <c r="A354" s="1">
        <v>11</v>
      </c>
      <c r="B354" s="1">
        <v>1125</v>
      </c>
      <c r="C354" s="1" t="s">
        <v>328</v>
      </c>
      <c r="D354" t="s">
        <v>1</v>
      </c>
      <c r="F354">
        <v>0</v>
      </c>
      <c r="G354">
        <v>0</v>
      </c>
      <c r="H354">
        <v>5</v>
      </c>
      <c r="I354">
        <v>6</v>
      </c>
      <c r="J354">
        <v>5.333333333333333</v>
      </c>
      <c r="K354">
        <v>5</v>
      </c>
      <c r="L354">
        <v>5.333333333333333</v>
      </c>
      <c r="M354">
        <v>4.8</v>
      </c>
      <c r="N354">
        <v>6</v>
      </c>
      <c r="O354">
        <v>5</v>
      </c>
      <c r="P354">
        <v>4.666666666666667</v>
      </c>
      <c r="Q354">
        <v>1.5</v>
      </c>
      <c r="R354">
        <v>0</v>
      </c>
      <c r="S354">
        <v>0</v>
      </c>
      <c r="T354">
        <v>3</v>
      </c>
      <c r="U354">
        <v>5.2</v>
      </c>
      <c r="V354">
        <v>4.666666666666667</v>
      </c>
      <c r="W354">
        <v>3</v>
      </c>
      <c r="X354">
        <v>3.1111111111111112</v>
      </c>
      <c r="Y354">
        <v>3.2</v>
      </c>
      <c r="Z354">
        <v>1.5</v>
      </c>
      <c r="AA354">
        <v>0</v>
      </c>
      <c r="AB354">
        <v>0</v>
      </c>
      <c r="AC354">
        <v>3</v>
      </c>
      <c r="AD354">
        <v>3.0909090909090908</v>
      </c>
      <c r="AE354">
        <v>3</v>
      </c>
      <c r="AF354">
        <v>3.333333333333333</v>
      </c>
      <c r="AG354">
        <v>3</v>
      </c>
      <c r="AH354">
        <v>2.5</v>
      </c>
      <c r="AI354" s="1">
        <v>11</v>
      </c>
      <c r="AJ354" s="1">
        <v>1125</v>
      </c>
      <c r="AK354" s="1" t="s">
        <v>328</v>
      </c>
      <c r="AL354" t="s">
        <v>1</v>
      </c>
      <c r="AN354">
        <v>0</v>
      </c>
      <c r="AO354">
        <v>0</v>
      </c>
      <c r="AP354">
        <v>450</v>
      </c>
      <c r="AQ354">
        <v>540</v>
      </c>
      <c r="AR354">
        <v>480</v>
      </c>
      <c r="AS354">
        <v>450</v>
      </c>
      <c r="AT354">
        <v>480</v>
      </c>
      <c r="AU354">
        <v>432</v>
      </c>
      <c r="AV354">
        <v>540</v>
      </c>
      <c r="AW354">
        <v>450</v>
      </c>
      <c r="AX354">
        <v>420</v>
      </c>
      <c r="AY354">
        <v>135</v>
      </c>
      <c r="AZ354">
        <v>0</v>
      </c>
      <c r="BA354">
        <v>0</v>
      </c>
      <c r="BB354">
        <v>270</v>
      </c>
      <c r="BC354">
        <v>468</v>
      </c>
      <c r="BD354">
        <v>420</v>
      </c>
      <c r="BE354">
        <v>270</v>
      </c>
      <c r="BF354">
        <v>280</v>
      </c>
      <c r="BG354">
        <v>288</v>
      </c>
      <c r="BH354">
        <v>135</v>
      </c>
      <c r="BI354">
        <v>0</v>
      </c>
      <c r="BJ354">
        <v>0</v>
      </c>
      <c r="BK354">
        <v>270</v>
      </c>
      <c r="BL354">
        <v>278.18181818181819</v>
      </c>
      <c r="BM354">
        <v>270</v>
      </c>
      <c r="BN354">
        <v>300</v>
      </c>
      <c r="BO354">
        <v>270</v>
      </c>
      <c r="BP354">
        <v>225</v>
      </c>
      <c r="BQ354">
        <f>(I354+J354+N354+O354)/4</f>
        <v>5.583333333333333</v>
      </c>
      <c r="BR354">
        <f>(K354+L354+M354)/3</f>
        <v>5.0444444444444443</v>
      </c>
      <c r="BS354">
        <f>BQ354/BR354</f>
        <v>1.106828193832599</v>
      </c>
      <c r="BT354">
        <f>AQ354/I354</f>
        <v>90</v>
      </c>
      <c r="BU354" t="str">
        <f>IF(OR(A354=2, A354=12), "Central", IF(A354=3, "Semi-Central", "Periférica"))</f>
        <v>Periférica</v>
      </c>
    </row>
    <row r="355" spans="1:73" x14ac:dyDescent="0.3">
      <c r="A355" s="1">
        <v>12</v>
      </c>
      <c r="B355" s="1">
        <v>1202</v>
      </c>
      <c r="C355" s="1" t="s">
        <v>319</v>
      </c>
      <c r="D355" t="s">
        <v>5</v>
      </c>
      <c r="E355" t="s">
        <v>0</v>
      </c>
      <c r="F355">
        <v>0</v>
      </c>
      <c r="G355">
        <v>0</v>
      </c>
      <c r="H355">
        <v>4</v>
      </c>
      <c r="I355">
        <v>6</v>
      </c>
      <c r="J355">
        <v>5.333333333333333</v>
      </c>
      <c r="K355">
        <v>5</v>
      </c>
      <c r="L355">
        <v>5.333333333333333</v>
      </c>
      <c r="M355">
        <v>4.8</v>
      </c>
      <c r="N355">
        <v>5.5</v>
      </c>
      <c r="O355">
        <v>5.5</v>
      </c>
      <c r="P355">
        <v>4</v>
      </c>
      <c r="Q355">
        <v>3.5</v>
      </c>
      <c r="R355">
        <v>0</v>
      </c>
      <c r="S355">
        <v>0</v>
      </c>
      <c r="T355">
        <v>2</v>
      </c>
      <c r="U355">
        <v>4</v>
      </c>
      <c r="V355">
        <v>3.666666666666667</v>
      </c>
      <c r="W355">
        <v>3</v>
      </c>
      <c r="X355">
        <v>3.1111111111111112</v>
      </c>
      <c r="Y355">
        <v>2.8</v>
      </c>
      <c r="Z355">
        <v>3.5</v>
      </c>
      <c r="AA355">
        <v>0</v>
      </c>
      <c r="AB355">
        <v>0</v>
      </c>
      <c r="AC355">
        <v>1.5</v>
      </c>
      <c r="AD355">
        <v>2.7272727272727271</v>
      </c>
      <c r="AE355">
        <v>3.2</v>
      </c>
      <c r="AF355">
        <v>2.666666666666667</v>
      </c>
      <c r="AG355">
        <v>2</v>
      </c>
      <c r="AH355">
        <v>3</v>
      </c>
      <c r="AI355" s="1">
        <v>12</v>
      </c>
      <c r="AJ355" s="1">
        <v>1202</v>
      </c>
      <c r="AK355" s="1" t="s">
        <v>319</v>
      </c>
      <c r="AL355" t="s">
        <v>5</v>
      </c>
      <c r="AM355" t="s">
        <v>0</v>
      </c>
      <c r="AN355">
        <v>0</v>
      </c>
      <c r="AO355">
        <v>0</v>
      </c>
      <c r="AP355">
        <v>360</v>
      </c>
      <c r="AQ355">
        <v>540</v>
      </c>
      <c r="AR355">
        <v>480</v>
      </c>
      <c r="AS355">
        <v>450</v>
      </c>
      <c r="AT355">
        <v>480</v>
      </c>
      <c r="AU355">
        <v>432</v>
      </c>
      <c r="AV355">
        <v>495</v>
      </c>
      <c r="AW355">
        <v>495</v>
      </c>
      <c r="AX355">
        <v>360</v>
      </c>
      <c r="AY355">
        <v>315</v>
      </c>
      <c r="AZ355">
        <v>0</v>
      </c>
      <c r="BA355">
        <v>0</v>
      </c>
      <c r="BB355">
        <v>180</v>
      </c>
      <c r="BC355">
        <v>360</v>
      </c>
      <c r="BD355">
        <v>330</v>
      </c>
      <c r="BE355">
        <v>270</v>
      </c>
      <c r="BF355">
        <v>280</v>
      </c>
      <c r="BG355">
        <v>252</v>
      </c>
      <c r="BH355">
        <v>315</v>
      </c>
      <c r="BI355">
        <v>0</v>
      </c>
      <c r="BJ355">
        <v>0</v>
      </c>
      <c r="BK355">
        <v>135</v>
      </c>
      <c r="BL355">
        <v>245.4545454545455</v>
      </c>
      <c r="BM355">
        <v>288</v>
      </c>
      <c r="BN355">
        <v>240</v>
      </c>
      <c r="BO355">
        <v>180</v>
      </c>
      <c r="BP355">
        <v>270</v>
      </c>
      <c r="BQ355">
        <f>(I355+J355+N355+O355)/4</f>
        <v>5.583333333333333</v>
      </c>
      <c r="BR355">
        <f>(K355+L355+M355)/3</f>
        <v>5.0444444444444443</v>
      </c>
      <c r="BS355">
        <f>BQ355/BR355</f>
        <v>1.106828193832599</v>
      </c>
      <c r="BT355">
        <f>AQ355/I355</f>
        <v>90</v>
      </c>
      <c r="BU355" t="str">
        <f>IF(OR(A355=2, A355=12), "Central", IF(A355=3, "Semi-Central", "Periférica"))</f>
        <v>Central</v>
      </c>
    </row>
    <row r="356" spans="1:73" x14ac:dyDescent="0.3">
      <c r="A356" s="1">
        <v>19</v>
      </c>
      <c r="B356" s="1">
        <v>1939</v>
      </c>
      <c r="C356" s="1" t="s">
        <v>327</v>
      </c>
      <c r="D356" t="s">
        <v>5</v>
      </c>
      <c r="E356" t="s">
        <v>0</v>
      </c>
      <c r="F356">
        <v>0</v>
      </c>
      <c r="G356">
        <v>0</v>
      </c>
      <c r="H356">
        <v>5</v>
      </c>
      <c r="I356">
        <v>4.666666666666667</v>
      </c>
      <c r="J356">
        <v>4</v>
      </c>
      <c r="K356">
        <v>4</v>
      </c>
      <c r="L356">
        <v>4</v>
      </c>
      <c r="M356">
        <v>4</v>
      </c>
      <c r="N356">
        <v>5</v>
      </c>
      <c r="O356">
        <v>4</v>
      </c>
      <c r="P356">
        <v>4</v>
      </c>
      <c r="Q356">
        <v>2.5</v>
      </c>
      <c r="R356">
        <v>0</v>
      </c>
      <c r="S356">
        <v>0</v>
      </c>
      <c r="T356">
        <v>3</v>
      </c>
      <c r="U356">
        <v>4</v>
      </c>
      <c r="V356">
        <v>4</v>
      </c>
      <c r="W356">
        <v>4.333333333333333</v>
      </c>
      <c r="X356">
        <v>4</v>
      </c>
      <c r="Y356">
        <v>2.8</v>
      </c>
      <c r="Z356">
        <v>2.5</v>
      </c>
      <c r="AA356">
        <v>0</v>
      </c>
      <c r="AB356">
        <v>0</v>
      </c>
      <c r="AC356">
        <v>2.5</v>
      </c>
      <c r="AD356">
        <v>3.0909090909090908</v>
      </c>
      <c r="AE356">
        <v>3.2</v>
      </c>
      <c r="AF356">
        <v>3</v>
      </c>
      <c r="AG356">
        <v>3</v>
      </c>
      <c r="AH356">
        <v>2.5</v>
      </c>
      <c r="AI356" s="1">
        <v>19</v>
      </c>
      <c r="AJ356" s="1">
        <v>1939</v>
      </c>
      <c r="AK356" s="1" t="s">
        <v>327</v>
      </c>
      <c r="AL356" t="s">
        <v>5</v>
      </c>
      <c r="AM356" t="s">
        <v>0</v>
      </c>
      <c r="AN356">
        <v>0</v>
      </c>
      <c r="AO356">
        <v>0</v>
      </c>
      <c r="AP356">
        <v>300</v>
      </c>
      <c r="AQ356">
        <v>280</v>
      </c>
      <c r="AR356">
        <v>240</v>
      </c>
      <c r="AS356">
        <v>240</v>
      </c>
      <c r="AT356">
        <v>240</v>
      </c>
      <c r="AU356">
        <v>240</v>
      </c>
      <c r="AV356">
        <v>300</v>
      </c>
      <c r="AW356">
        <v>240</v>
      </c>
      <c r="AX356">
        <v>240</v>
      </c>
      <c r="AY356">
        <v>150</v>
      </c>
      <c r="AZ356">
        <v>0</v>
      </c>
      <c r="BA356">
        <v>0</v>
      </c>
      <c r="BB356">
        <v>180</v>
      </c>
      <c r="BC356">
        <v>240</v>
      </c>
      <c r="BD356">
        <v>240</v>
      </c>
      <c r="BE356">
        <v>260</v>
      </c>
      <c r="BF356">
        <v>240</v>
      </c>
      <c r="BG356">
        <v>168</v>
      </c>
      <c r="BH356">
        <v>150</v>
      </c>
      <c r="BI356">
        <v>0</v>
      </c>
      <c r="BJ356">
        <v>0</v>
      </c>
      <c r="BK356">
        <v>150</v>
      </c>
      <c r="BL356">
        <v>185.4545454545455</v>
      </c>
      <c r="BM356">
        <v>192</v>
      </c>
      <c r="BN356">
        <v>180</v>
      </c>
      <c r="BO356">
        <v>180</v>
      </c>
      <c r="BP356">
        <v>150</v>
      </c>
      <c r="BQ356">
        <f>(I356+J356+N356+O356)/4</f>
        <v>4.416666666666667</v>
      </c>
      <c r="BR356">
        <f>(K356+L356+M356)/3</f>
        <v>4</v>
      </c>
      <c r="BS356">
        <f>BQ356/BR356</f>
        <v>1.1041666666666667</v>
      </c>
      <c r="BT356">
        <f>AQ356/I356</f>
        <v>59.999999999999993</v>
      </c>
      <c r="BU356" t="str">
        <f>IF(OR(A356=2, A356=12), "Central", IF(A356=3, "Semi-Central", "Periférica"))</f>
        <v>Periférica</v>
      </c>
    </row>
    <row r="357" spans="1:73" x14ac:dyDescent="0.3">
      <c r="A357" s="1">
        <v>19</v>
      </c>
      <c r="B357" s="1">
        <v>1939</v>
      </c>
      <c r="C357" s="1" t="s">
        <v>327</v>
      </c>
      <c r="D357" t="s">
        <v>1</v>
      </c>
      <c r="E357" t="s">
        <v>0</v>
      </c>
      <c r="F357">
        <v>0</v>
      </c>
      <c r="G357">
        <v>0</v>
      </c>
      <c r="H357">
        <v>5</v>
      </c>
      <c r="I357">
        <v>4.666666666666667</v>
      </c>
      <c r="J357">
        <v>4</v>
      </c>
      <c r="K357">
        <v>4</v>
      </c>
      <c r="L357">
        <v>4</v>
      </c>
      <c r="M357">
        <v>4</v>
      </c>
      <c r="N357">
        <v>5</v>
      </c>
      <c r="O357">
        <v>4</v>
      </c>
      <c r="P357">
        <v>4</v>
      </c>
      <c r="Q357">
        <v>2.5</v>
      </c>
      <c r="R357">
        <v>0</v>
      </c>
      <c r="S357">
        <v>0</v>
      </c>
      <c r="T357">
        <v>3</v>
      </c>
      <c r="U357">
        <v>4</v>
      </c>
      <c r="V357">
        <v>4</v>
      </c>
      <c r="W357">
        <v>4</v>
      </c>
      <c r="X357">
        <v>4</v>
      </c>
      <c r="Y357">
        <v>2.8</v>
      </c>
      <c r="Z357">
        <v>2.5</v>
      </c>
      <c r="AA357">
        <v>0</v>
      </c>
      <c r="AB357">
        <v>0</v>
      </c>
      <c r="AC357">
        <v>2.5</v>
      </c>
      <c r="AD357">
        <v>3.0909090909090908</v>
      </c>
      <c r="AE357">
        <v>3</v>
      </c>
      <c r="AF357">
        <v>3</v>
      </c>
      <c r="AG357">
        <v>3</v>
      </c>
      <c r="AH357">
        <v>2.5</v>
      </c>
      <c r="AI357" s="1">
        <v>19</v>
      </c>
      <c r="AJ357" s="1">
        <v>1939</v>
      </c>
      <c r="AK357" s="1" t="s">
        <v>327</v>
      </c>
      <c r="AL357" t="s">
        <v>1</v>
      </c>
      <c r="AM357" t="s">
        <v>0</v>
      </c>
      <c r="AN357">
        <v>0</v>
      </c>
      <c r="AO357">
        <v>0</v>
      </c>
      <c r="AP357">
        <v>300</v>
      </c>
      <c r="AQ357">
        <v>280</v>
      </c>
      <c r="AR357">
        <v>240</v>
      </c>
      <c r="AS357">
        <v>240</v>
      </c>
      <c r="AT357">
        <v>240</v>
      </c>
      <c r="AU357">
        <v>240</v>
      </c>
      <c r="AV357">
        <v>300</v>
      </c>
      <c r="AW357">
        <v>240</v>
      </c>
      <c r="AX357">
        <v>240</v>
      </c>
      <c r="AY357">
        <v>150</v>
      </c>
      <c r="AZ357">
        <v>0</v>
      </c>
      <c r="BA357">
        <v>0</v>
      </c>
      <c r="BB357">
        <v>180</v>
      </c>
      <c r="BC357">
        <v>240</v>
      </c>
      <c r="BD357">
        <v>240</v>
      </c>
      <c r="BE357">
        <v>240</v>
      </c>
      <c r="BF357">
        <v>240</v>
      </c>
      <c r="BG357">
        <v>168</v>
      </c>
      <c r="BH357">
        <v>150</v>
      </c>
      <c r="BI357">
        <v>0</v>
      </c>
      <c r="BJ357">
        <v>0</v>
      </c>
      <c r="BK357">
        <v>150</v>
      </c>
      <c r="BL357">
        <v>185.4545454545455</v>
      </c>
      <c r="BM357">
        <v>180</v>
      </c>
      <c r="BN357">
        <v>180</v>
      </c>
      <c r="BO357">
        <v>180</v>
      </c>
      <c r="BP357">
        <v>150</v>
      </c>
      <c r="BQ357">
        <f>(I357+J357+N357+O357)/4</f>
        <v>4.416666666666667</v>
      </c>
      <c r="BR357">
        <f>(K357+L357+M357)/3</f>
        <v>4</v>
      </c>
      <c r="BS357">
        <f>BQ357/BR357</f>
        <v>1.1041666666666667</v>
      </c>
      <c r="BT357">
        <f>AQ357/I357</f>
        <v>59.999999999999993</v>
      </c>
      <c r="BU357" t="str">
        <f>IF(OR(A357=2, A357=12), "Central", IF(A357=3, "Semi-Central", "Periférica"))</f>
        <v>Periférica</v>
      </c>
    </row>
    <row r="358" spans="1:73" x14ac:dyDescent="0.3">
      <c r="A358" s="1">
        <v>3</v>
      </c>
      <c r="B358" s="1">
        <v>329</v>
      </c>
      <c r="C358" s="1">
        <v>329</v>
      </c>
      <c r="D358" t="s">
        <v>1</v>
      </c>
      <c r="E358" t="s">
        <v>0</v>
      </c>
      <c r="F358">
        <v>0</v>
      </c>
      <c r="G358">
        <v>0</v>
      </c>
      <c r="H358">
        <v>3</v>
      </c>
      <c r="I358">
        <v>6.666666666666667</v>
      </c>
      <c r="J358">
        <v>4.666666666666667</v>
      </c>
      <c r="K358">
        <v>5</v>
      </c>
      <c r="L358">
        <v>4.666666666666667</v>
      </c>
      <c r="M358">
        <v>5.2</v>
      </c>
      <c r="N358">
        <v>5.5</v>
      </c>
      <c r="O358">
        <v>5</v>
      </c>
      <c r="P358">
        <v>5.333333333333333</v>
      </c>
      <c r="Q358">
        <v>2.5</v>
      </c>
      <c r="R358">
        <v>0</v>
      </c>
      <c r="S358">
        <v>0</v>
      </c>
      <c r="T358">
        <v>2</v>
      </c>
      <c r="U358">
        <v>4.4000000000000004</v>
      </c>
      <c r="V358">
        <v>4.333333333333333</v>
      </c>
      <c r="W358">
        <v>4.333333333333333</v>
      </c>
      <c r="X358">
        <v>4.2222222222222223</v>
      </c>
      <c r="Y358">
        <v>3.6</v>
      </c>
      <c r="Z358">
        <v>1.5</v>
      </c>
      <c r="AA358">
        <v>0</v>
      </c>
      <c r="AB358">
        <v>0</v>
      </c>
      <c r="AC358">
        <v>2.5</v>
      </c>
      <c r="AD358">
        <v>4</v>
      </c>
      <c r="AE358">
        <v>4</v>
      </c>
      <c r="AF358">
        <v>4</v>
      </c>
      <c r="AG358">
        <v>3</v>
      </c>
      <c r="AH358">
        <v>1.5</v>
      </c>
      <c r="AI358" s="1">
        <v>3</v>
      </c>
      <c r="AJ358" s="1">
        <v>329</v>
      </c>
      <c r="AK358" s="1">
        <v>329</v>
      </c>
      <c r="AL358" t="s">
        <v>1</v>
      </c>
      <c r="AM358" t="s">
        <v>0</v>
      </c>
      <c r="AN358">
        <v>0</v>
      </c>
      <c r="AO358">
        <v>0</v>
      </c>
      <c r="AP358">
        <v>138</v>
      </c>
      <c r="AQ358">
        <v>306.66666666666669</v>
      </c>
      <c r="AR358">
        <v>214.66666666666666</v>
      </c>
      <c r="AS358">
        <v>230</v>
      </c>
      <c r="AT358">
        <v>214.66666666666666</v>
      </c>
      <c r="AU358">
        <v>239.2</v>
      </c>
      <c r="AV358">
        <v>253</v>
      </c>
      <c r="AW358">
        <v>230</v>
      </c>
      <c r="AX358">
        <v>245.33333333333334</v>
      </c>
      <c r="AY358">
        <v>115</v>
      </c>
      <c r="AZ358">
        <v>0</v>
      </c>
      <c r="BA358">
        <v>0</v>
      </c>
      <c r="BB358">
        <v>92</v>
      </c>
      <c r="BC358">
        <v>202.4</v>
      </c>
      <c r="BD358">
        <v>199.33333333333334</v>
      </c>
      <c r="BE358">
        <v>199.33333333333334</v>
      </c>
      <c r="BF358">
        <v>194.22222222222223</v>
      </c>
      <c r="BG358">
        <v>165.6</v>
      </c>
      <c r="BH358">
        <v>69</v>
      </c>
      <c r="BI358">
        <v>0</v>
      </c>
      <c r="BJ358">
        <v>0</v>
      </c>
      <c r="BK358">
        <v>115</v>
      </c>
      <c r="BL358">
        <v>184</v>
      </c>
      <c r="BM358">
        <v>184</v>
      </c>
      <c r="BN358">
        <v>184</v>
      </c>
      <c r="BO358">
        <v>138</v>
      </c>
      <c r="BP358">
        <v>69</v>
      </c>
      <c r="BQ358">
        <f>(I358+J358+N358+O358)/4</f>
        <v>5.4583333333333339</v>
      </c>
      <c r="BR358">
        <f>(K358+L358+M358)/3</f>
        <v>4.9555555555555557</v>
      </c>
      <c r="BS358">
        <f>BQ358/BR358</f>
        <v>1.1014573991031391</v>
      </c>
      <c r="BT358">
        <f>AQ358/I358</f>
        <v>46</v>
      </c>
      <c r="BU358" t="str">
        <f>IF(OR(A358=2, A358=12), "Central", IF(A358=3, "Semi-Central", "Periférica"))</f>
        <v>Semi-Central</v>
      </c>
    </row>
    <row r="359" spans="1:73" x14ac:dyDescent="0.3">
      <c r="A359" s="1">
        <v>18</v>
      </c>
      <c r="B359" s="1">
        <v>1848</v>
      </c>
      <c r="C359" s="1" t="s">
        <v>326</v>
      </c>
      <c r="D359" t="s">
        <v>5</v>
      </c>
      <c r="E359" t="s">
        <v>0</v>
      </c>
      <c r="F359">
        <v>0</v>
      </c>
      <c r="G359">
        <v>0</v>
      </c>
      <c r="H359">
        <v>7</v>
      </c>
      <c r="I359">
        <v>6.666666666666667</v>
      </c>
      <c r="J359">
        <v>4.666666666666667</v>
      </c>
      <c r="K359">
        <v>4</v>
      </c>
      <c r="L359">
        <v>4.666666666666667</v>
      </c>
      <c r="M359">
        <v>5.2</v>
      </c>
      <c r="N359">
        <v>5</v>
      </c>
      <c r="O359">
        <v>4</v>
      </c>
      <c r="P359">
        <v>3.333333333333333</v>
      </c>
      <c r="Q359">
        <v>2</v>
      </c>
      <c r="R359">
        <v>0</v>
      </c>
      <c r="S359">
        <v>0</v>
      </c>
      <c r="T359">
        <v>4</v>
      </c>
      <c r="U359">
        <v>4.4000000000000004</v>
      </c>
      <c r="V359">
        <v>3.666666666666667</v>
      </c>
      <c r="W359">
        <v>4</v>
      </c>
      <c r="X359">
        <v>4</v>
      </c>
      <c r="Y359">
        <v>3.2</v>
      </c>
      <c r="Z359">
        <v>1.5</v>
      </c>
      <c r="AA359">
        <v>0</v>
      </c>
      <c r="AB359">
        <v>0</v>
      </c>
      <c r="AC359">
        <v>2.5</v>
      </c>
      <c r="AD359">
        <v>3.0909090909090908</v>
      </c>
      <c r="AE359">
        <v>3</v>
      </c>
      <c r="AF359">
        <v>3</v>
      </c>
      <c r="AG359">
        <v>3</v>
      </c>
      <c r="AH359">
        <v>1.5</v>
      </c>
      <c r="AI359" s="1">
        <v>18</v>
      </c>
      <c r="AJ359" s="1">
        <v>1848</v>
      </c>
      <c r="AK359" s="1" t="s">
        <v>326</v>
      </c>
      <c r="AL359" t="s">
        <v>5</v>
      </c>
      <c r="AM359" t="s">
        <v>0</v>
      </c>
      <c r="AN359">
        <v>0</v>
      </c>
      <c r="AO359">
        <v>0</v>
      </c>
      <c r="AP359">
        <v>630</v>
      </c>
      <c r="AQ359">
        <v>600</v>
      </c>
      <c r="AR359">
        <v>420</v>
      </c>
      <c r="AS359">
        <v>360</v>
      </c>
      <c r="AT359">
        <v>420</v>
      </c>
      <c r="AU359">
        <v>468</v>
      </c>
      <c r="AV359">
        <v>450</v>
      </c>
      <c r="AW359">
        <v>360</v>
      </c>
      <c r="AX359">
        <v>300</v>
      </c>
      <c r="AY359">
        <v>180</v>
      </c>
      <c r="AZ359">
        <v>0</v>
      </c>
      <c r="BA359">
        <v>0</v>
      </c>
      <c r="BB359">
        <v>360</v>
      </c>
      <c r="BC359">
        <v>396</v>
      </c>
      <c r="BD359">
        <v>330</v>
      </c>
      <c r="BE359">
        <v>360</v>
      </c>
      <c r="BF359">
        <v>360</v>
      </c>
      <c r="BG359">
        <v>288</v>
      </c>
      <c r="BH359">
        <v>135</v>
      </c>
      <c r="BI359">
        <v>0</v>
      </c>
      <c r="BJ359">
        <v>0</v>
      </c>
      <c r="BK359">
        <v>225</v>
      </c>
      <c r="BL359">
        <v>278.18181818181819</v>
      </c>
      <c r="BM359">
        <v>270</v>
      </c>
      <c r="BN359">
        <v>270</v>
      </c>
      <c r="BO359">
        <v>270</v>
      </c>
      <c r="BP359">
        <v>135</v>
      </c>
      <c r="BQ359">
        <f>(I359+J359+N359+O359)/4</f>
        <v>5.0833333333333339</v>
      </c>
      <c r="BR359">
        <f>(K359+L359+M359)/3</f>
        <v>4.6222222222222227</v>
      </c>
      <c r="BS359">
        <f>BQ359/BR359</f>
        <v>1.0997596153846154</v>
      </c>
      <c r="BT359">
        <f>AQ359/I359</f>
        <v>90</v>
      </c>
      <c r="BU359" t="str">
        <f>IF(OR(A359=2, A359=12), "Central", IF(A359=3, "Semi-Central", "Periférica"))</f>
        <v>Periférica</v>
      </c>
    </row>
    <row r="360" spans="1:73" x14ac:dyDescent="0.3">
      <c r="A360" s="1">
        <v>3</v>
      </c>
      <c r="B360" s="1">
        <v>373</v>
      </c>
      <c r="C360" s="1" t="s">
        <v>302</v>
      </c>
      <c r="D360" t="s">
        <v>1</v>
      </c>
      <c r="E360" t="s">
        <v>0</v>
      </c>
      <c r="F360">
        <v>0</v>
      </c>
      <c r="G360">
        <v>0</v>
      </c>
      <c r="H360">
        <v>3</v>
      </c>
      <c r="I360">
        <v>6</v>
      </c>
      <c r="J360">
        <v>6</v>
      </c>
      <c r="K360">
        <v>7</v>
      </c>
      <c r="L360">
        <v>6.666666666666667</v>
      </c>
      <c r="M360">
        <v>6.8</v>
      </c>
      <c r="N360">
        <v>9</v>
      </c>
      <c r="O360">
        <v>9</v>
      </c>
      <c r="P360">
        <v>5.333333333333333</v>
      </c>
      <c r="Q360">
        <v>3.5</v>
      </c>
      <c r="R360">
        <v>0</v>
      </c>
      <c r="S360">
        <v>0</v>
      </c>
      <c r="T360">
        <v>3</v>
      </c>
      <c r="U360">
        <v>4.4000000000000004</v>
      </c>
      <c r="V360">
        <v>4.666666666666667</v>
      </c>
      <c r="W360">
        <v>4.333333333333333</v>
      </c>
      <c r="X360">
        <v>4</v>
      </c>
      <c r="Y360">
        <v>4.8</v>
      </c>
      <c r="Z360">
        <v>3.5</v>
      </c>
      <c r="AA360">
        <v>0</v>
      </c>
      <c r="AB360">
        <v>0</v>
      </c>
      <c r="AC360">
        <v>3</v>
      </c>
      <c r="AD360">
        <v>3.4545454545454546</v>
      </c>
      <c r="AE360">
        <v>3.6</v>
      </c>
      <c r="AF360">
        <v>3.6666666666666665</v>
      </c>
      <c r="AG360">
        <v>4</v>
      </c>
      <c r="AH360">
        <v>3</v>
      </c>
      <c r="AI360" s="1">
        <v>3</v>
      </c>
      <c r="AJ360" s="1">
        <v>373</v>
      </c>
      <c r="AK360" s="1" t="s">
        <v>302</v>
      </c>
      <c r="AL360" t="s">
        <v>1</v>
      </c>
      <c r="AM360" t="s">
        <v>0</v>
      </c>
      <c r="AN360">
        <v>0</v>
      </c>
      <c r="AO360">
        <v>0</v>
      </c>
      <c r="AP360">
        <v>294</v>
      </c>
      <c r="AQ360">
        <v>588</v>
      </c>
      <c r="AR360">
        <v>588</v>
      </c>
      <c r="AS360">
        <v>686</v>
      </c>
      <c r="AT360">
        <v>653.33333333333337</v>
      </c>
      <c r="AU360">
        <v>666.4</v>
      </c>
      <c r="AV360">
        <v>882</v>
      </c>
      <c r="AW360">
        <v>882</v>
      </c>
      <c r="AX360">
        <v>522.66666666666663</v>
      </c>
      <c r="AY360">
        <v>343</v>
      </c>
      <c r="AZ360">
        <v>0</v>
      </c>
      <c r="BA360">
        <v>0</v>
      </c>
      <c r="BB360">
        <v>294</v>
      </c>
      <c r="BC360">
        <v>431.2</v>
      </c>
      <c r="BD360">
        <v>457.33333333333331</v>
      </c>
      <c r="BE360">
        <v>424.66666666666669</v>
      </c>
      <c r="BF360">
        <v>392</v>
      </c>
      <c r="BG360">
        <v>470.4</v>
      </c>
      <c r="BH360">
        <v>343</v>
      </c>
      <c r="BI360">
        <v>0</v>
      </c>
      <c r="BJ360">
        <v>0</v>
      </c>
      <c r="BK360">
        <v>294</v>
      </c>
      <c r="BL360">
        <v>338.54545454545456</v>
      </c>
      <c r="BM360">
        <v>352.8</v>
      </c>
      <c r="BN360">
        <v>359.33333333333331</v>
      </c>
      <c r="BO360">
        <v>392</v>
      </c>
      <c r="BP360">
        <v>294</v>
      </c>
      <c r="BQ360">
        <f>(I360+J360+N360+O360)/4</f>
        <v>7.5</v>
      </c>
      <c r="BR360">
        <f>(K360+L360+M360)/3</f>
        <v>6.8222222222222229</v>
      </c>
      <c r="BS360">
        <f>BQ360/BR360</f>
        <v>1.0993485342019542</v>
      </c>
      <c r="BT360">
        <f>AQ360/I360</f>
        <v>98</v>
      </c>
      <c r="BU360" t="str">
        <f>IF(OR(A360=2, A360=12), "Central", IF(A360=3, "Semi-Central", "Periférica"))</f>
        <v>Semi-Central</v>
      </c>
    </row>
    <row r="361" spans="1:73" x14ac:dyDescent="0.3">
      <c r="A361" s="1">
        <v>15</v>
      </c>
      <c r="B361" s="1">
        <v>1517</v>
      </c>
      <c r="C361" s="1">
        <v>517</v>
      </c>
      <c r="D361" t="s">
        <v>1</v>
      </c>
      <c r="E361" t="s">
        <v>0</v>
      </c>
      <c r="F361">
        <v>0</v>
      </c>
      <c r="G361">
        <v>0</v>
      </c>
      <c r="H361">
        <v>2</v>
      </c>
      <c r="I361">
        <v>4.666666666666667</v>
      </c>
      <c r="J361">
        <v>4</v>
      </c>
      <c r="K361">
        <v>4</v>
      </c>
      <c r="L361">
        <v>4</v>
      </c>
      <c r="M361">
        <v>4.4000000000000004</v>
      </c>
      <c r="N361">
        <v>5.5</v>
      </c>
      <c r="O361">
        <v>4</v>
      </c>
      <c r="P361">
        <v>2</v>
      </c>
      <c r="Q361">
        <v>1</v>
      </c>
      <c r="R361">
        <v>0</v>
      </c>
      <c r="S361">
        <v>0</v>
      </c>
      <c r="T361">
        <v>2</v>
      </c>
      <c r="U361">
        <v>4</v>
      </c>
      <c r="V361">
        <v>3.666666666666667</v>
      </c>
      <c r="W361">
        <v>3.333333333333333</v>
      </c>
      <c r="X361">
        <v>3.1111111111111112</v>
      </c>
      <c r="Y361">
        <v>2</v>
      </c>
      <c r="Z361">
        <v>1</v>
      </c>
      <c r="AA361">
        <v>0</v>
      </c>
      <c r="AB361">
        <v>0</v>
      </c>
      <c r="AC361">
        <v>1</v>
      </c>
      <c r="AD361">
        <v>3.0909090909090908</v>
      </c>
      <c r="AE361">
        <v>3</v>
      </c>
      <c r="AF361">
        <v>2.666666666666667</v>
      </c>
      <c r="AG361">
        <v>2</v>
      </c>
      <c r="AH361">
        <v>1</v>
      </c>
      <c r="AI361" s="1">
        <v>15</v>
      </c>
      <c r="AJ361" s="1">
        <v>1517</v>
      </c>
      <c r="AK361" s="1">
        <v>517</v>
      </c>
      <c r="AL361" t="s">
        <v>1</v>
      </c>
      <c r="AM361" t="s">
        <v>0</v>
      </c>
      <c r="AN361">
        <v>0</v>
      </c>
      <c r="AO361">
        <v>0</v>
      </c>
      <c r="AP361">
        <v>180</v>
      </c>
      <c r="AQ361">
        <v>420</v>
      </c>
      <c r="AR361">
        <v>360</v>
      </c>
      <c r="AS361">
        <v>360</v>
      </c>
      <c r="AT361">
        <v>360</v>
      </c>
      <c r="AU361">
        <v>396</v>
      </c>
      <c r="AV361">
        <v>495</v>
      </c>
      <c r="AW361">
        <v>360</v>
      </c>
      <c r="AX361">
        <v>180</v>
      </c>
      <c r="AY361">
        <v>90</v>
      </c>
      <c r="AZ361">
        <v>0</v>
      </c>
      <c r="BA361">
        <v>0</v>
      </c>
      <c r="BB361">
        <v>180</v>
      </c>
      <c r="BC361">
        <v>360</v>
      </c>
      <c r="BD361">
        <v>330</v>
      </c>
      <c r="BE361">
        <v>300</v>
      </c>
      <c r="BF361">
        <v>280</v>
      </c>
      <c r="BG361">
        <v>180</v>
      </c>
      <c r="BH361">
        <v>90</v>
      </c>
      <c r="BI361">
        <v>0</v>
      </c>
      <c r="BJ361">
        <v>0</v>
      </c>
      <c r="BK361">
        <v>90</v>
      </c>
      <c r="BL361">
        <v>278.18181818181819</v>
      </c>
      <c r="BM361">
        <v>270</v>
      </c>
      <c r="BN361">
        <v>240</v>
      </c>
      <c r="BO361">
        <v>180</v>
      </c>
      <c r="BP361">
        <v>90</v>
      </c>
      <c r="BQ361">
        <f>(I361+J361+N361+O361)/4</f>
        <v>4.541666666666667</v>
      </c>
      <c r="BR361">
        <f>(K361+L361+M361)/3</f>
        <v>4.1333333333333337</v>
      </c>
      <c r="BS361">
        <f>BQ361/BR361</f>
        <v>1.098790322580645</v>
      </c>
      <c r="BT361">
        <f>AQ361/I361</f>
        <v>90</v>
      </c>
      <c r="BU361" t="str">
        <f>IF(OR(A361=2, A361=12), "Central", IF(A361=3, "Semi-Central", "Periférica"))</f>
        <v>Periférica</v>
      </c>
    </row>
    <row r="362" spans="1:73" x14ac:dyDescent="0.3">
      <c r="A362" s="1">
        <v>10</v>
      </c>
      <c r="B362" s="1">
        <v>1014</v>
      </c>
      <c r="C362" s="1">
        <v>114</v>
      </c>
      <c r="D362" t="s">
        <v>5</v>
      </c>
      <c r="E362" t="s">
        <v>0</v>
      </c>
      <c r="F362">
        <v>0</v>
      </c>
      <c r="G362">
        <v>0</v>
      </c>
      <c r="H362">
        <v>4</v>
      </c>
      <c r="I362">
        <v>6</v>
      </c>
      <c r="J362">
        <v>4.666666666666667</v>
      </c>
      <c r="K362">
        <v>5</v>
      </c>
      <c r="L362">
        <v>5.333333333333333</v>
      </c>
      <c r="M362">
        <v>4.8</v>
      </c>
      <c r="N362">
        <v>6</v>
      </c>
      <c r="O362">
        <v>5.5</v>
      </c>
      <c r="P362">
        <v>4.666666666666667</v>
      </c>
      <c r="Q362">
        <v>2.5</v>
      </c>
      <c r="R362">
        <v>0</v>
      </c>
      <c r="S362">
        <v>0</v>
      </c>
      <c r="T362">
        <v>3</v>
      </c>
      <c r="U362">
        <v>4</v>
      </c>
      <c r="V362">
        <v>4</v>
      </c>
      <c r="W362">
        <v>4</v>
      </c>
      <c r="X362">
        <v>4</v>
      </c>
      <c r="Y362">
        <v>3.2</v>
      </c>
      <c r="Z362">
        <v>2.5</v>
      </c>
      <c r="AA362">
        <v>0</v>
      </c>
      <c r="AB362">
        <v>0</v>
      </c>
      <c r="AC362">
        <v>2</v>
      </c>
      <c r="AD362">
        <v>3.454545454545455</v>
      </c>
      <c r="AE362">
        <v>4</v>
      </c>
      <c r="AF362">
        <v>3.666666666666667</v>
      </c>
      <c r="AG362">
        <v>3</v>
      </c>
      <c r="AH362">
        <v>2.5</v>
      </c>
      <c r="AI362" s="1">
        <v>10</v>
      </c>
      <c r="AJ362" s="1">
        <v>1014</v>
      </c>
      <c r="AK362" s="1">
        <v>114</v>
      </c>
      <c r="AL362" t="s">
        <v>5</v>
      </c>
      <c r="AM362" t="s">
        <v>0</v>
      </c>
      <c r="AN362">
        <v>0</v>
      </c>
      <c r="AO362">
        <v>0</v>
      </c>
      <c r="AP362">
        <v>600</v>
      </c>
      <c r="AQ362">
        <v>900</v>
      </c>
      <c r="AR362">
        <v>700</v>
      </c>
      <c r="AS362">
        <v>750</v>
      </c>
      <c r="AT362">
        <v>800</v>
      </c>
      <c r="AU362">
        <v>720</v>
      </c>
      <c r="AV362">
        <v>900</v>
      </c>
      <c r="AW362">
        <v>825</v>
      </c>
      <c r="AX362">
        <v>700</v>
      </c>
      <c r="AY362">
        <v>375</v>
      </c>
      <c r="AZ362">
        <v>0</v>
      </c>
      <c r="BA362">
        <v>0</v>
      </c>
      <c r="BB362">
        <v>450</v>
      </c>
      <c r="BC362">
        <v>600</v>
      </c>
      <c r="BD362">
        <v>600</v>
      </c>
      <c r="BE362">
        <v>600</v>
      </c>
      <c r="BF362">
        <v>600</v>
      </c>
      <c r="BG362">
        <v>480</v>
      </c>
      <c r="BH362">
        <v>375</v>
      </c>
      <c r="BI362">
        <v>0</v>
      </c>
      <c r="BJ362">
        <v>0</v>
      </c>
      <c r="BK362">
        <v>180</v>
      </c>
      <c r="BL362">
        <v>310.90909090909088</v>
      </c>
      <c r="BM362">
        <v>360</v>
      </c>
      <c r="BN362">
        <v>330</v>
      </c>
      <c r="BO362">
        <v>270</v>
      </c>
      <c r="BP362">
        <v>225</v>
      </c>
      <c r="BQ362">
        <f>(I362+J362+N362+O362)/4</f>
        <v>5.541666666666667</v>
      </c>
      <c r="BR362">
        <f>(K362+L362+M362)/3</f>
        <v>5.0444444444444443</v>
      </c>
      <c r="BS362">
        <f>BQ362/BR362</f>
        <v>1.098568281938326</v>
      </c>
      <c r="BT362">
        <f>AQ362/I362</f>
        <v>150</v>
      </c>
      <c r="BU362" t="str">
        <f>IF(OR(A362=2, A362=12), "Central", IF(A362=3, "Semi-Central", "Periférica"))</f>
        <v>Periférica</v>
      </c>
    </row>
    <row r="363" spans="1:73" x14ac:dyDescent="0.3">
      <c r="A363" s="1">
        <v>10</v>
      </c>
      <c r="B363" s="1">
        <v>1014</v>
      </c>
      <c r="C363" s="1">
        <v>114</v>
      </c>
      <c r="D363" t="s">
        <v>1</v>
      </c>
      <c r="E363" t="s">
        <v>0</v>
      </c>
      <c r="F363">
        <v>0</v>
      </c>
      <c r="G363">
        <v>0.66666666666666663</v>
      </c>
      <c r="H363">
        <v>6</v>
      </c>
      <c r="I363">
        <v>7.333333333333333</v>
      </c>
      <c r="J363">
        <v>5.333333333333333</v>
      </c>
      <c r="K363">
        <v>5</v>
      </c>
      <c r="L363">
        <v>5.333333333333333</v>
      </c>
      <c r="M363">
        <v>4.8</v>
      </c>
      <c r="N363">
        <v>5</v>
      </c>
      <c r="O363">
        <v>4.5</v>
      </c>
      <c r="P363">
        <v>4</v>
      </c>
      <c r="Q363">
        <v>1.5</v>
      </c>
      <c r="R363">
        <v>0</v>
      </c>
      <c r="S363">
        <v>0.66666666666666663</v>
      </c>
      <c r="T363">
        <v>3</v>
      </c>
      <c r="U363">
        <v>4</v>
      </c>
      <c r="V363">
        <v>4</v>
      </c>
      <c r="W363">
        <v>4</v>
      </c>
      <c r="X363">
        <v>4</v>
      </c>
      <c r="Y363">
        <v>3.2</v>
      </c>
      <c r="Z363">
        <v>1.5</v>
      </c>
      <c r="AA363">
        <v>0</v>
      </c>
      <c r="AB363">
        <v>0.66666666666666663</v>
      </c>
      <c r="AC363">
        <v>3.5</v>
      </c>
      <c r="AD363">
        <v>3.454545454545455</v>
      </c>
      <c r="AE363">
        <v>4</v>
      </c>
      <c r="AF363">
        <v>3.666666666666667</v>
      </c>
      <c r="AG363">
        <v>2</v>
      </c>
      <c r="AH363">
        <v>2</v>
      </c>
      <c r="AI363" s="1">
        <v>10</v>
      </c>
      <c r="AJ363" s="1">
        <v>1014</v>
      </c>
      <c r="AK363" s="1">
        <v>114</v>
      </c>
      <c r="AL363" t="s">
        <v>1</v>
      </c>
      <c r="AM363" t="s">
        <v>0</v>
      </c>
      <c r="AN363">
        <v>0</v>
      </c>
      <c r="AO363">
        <v>100</v>
      </c>
      <c r="AP363">
        <v>900</v>
      </c>
      <c r="AQ363">
        <v>1100</v>
      </c>
      <c r="AR363">
        <v>800</v>
      </c>
      <c r="AS363">
        <v>750</v>
      </c>
      <c r="AT363">
        <v>800</v>
      </c>
      <c r="AU363">
        <v>720</v>
      </c>
      <c r="AV363">
        <v>750</v>
      </c>
      <c r="AW363">
        <v>675</v>
      </c>
      <c r="AX363">
        <v>600</v>
      </c>
      <c r="AY363">
        <v>225</v>
      </c>
      <c r="AZ363">
        <v>0</v>
      </c>
      <c r="BA363">
        <v>100</v>
      </c>
      <c r="BB363">
        <v>450</v>
      </c>
      <c r="BC363">
        <v>600</v>
      </c>
      <c r="BD363">
        <v>600</v>
      </c>
      <c r="BE363">
        <v>600</v>
      </c>
      <c r="BF363">
        <v>600</v>
      </c>
      <c r="BG363">
        <v>480</v>
      </c>
      <c r="BH363">
        <v>225</v>
      </c>
      <c r="BI363">
        <v>0</v>
      </c>
      <c r="BJ363">
        <v>60</v>
      </c>
      <c r="BK363">
        <v>315</v>
      </c>
      <c r="BL363">
        <v>310.90909090909088</v>
      </c>
      <c r="BM363">
        <v>360</v>
      </c>
      <c r="BN363">
        <v>330</v>
      </c>
      <c r="BO363">
        <v>180</v>
      </c>
      <c r="BP363">
        <v>180</v>
      </c>
      <c r="BQ363">
        <f>(I363+J363+N363+O363)/4</f>
        <v>5.5416666666666661</v>
      </c>
      <c r="BR363">
        <f>(K363+L363+M363)/3</f>
        <v>5.0444444444444443</v>
      </c>
      <c r="BS363">
        <f>BQ363/BR363</f>
        <v>1.098568281938326</v>
      </c>
      <c r="BT363">
        <f>AQ363/I363</f>
        <v>150</v>
      </c>
      <c r="BU363" t="str">
        <f>IF(OR(A363=2, A363=12), "Central", IF(A363=3, "Semi-Central", "Periférica"))</f>
        <v>Periférica</v>
      </c>
    </row>
    <row r="364" spans="1:73" x14ac:dyDescent="0.3">
      <c r="A364" s="1">
        <v>3</v>
      </c>
      <c r="B364" s="1">
        <v>387</v>
      </c>
      <c r="C364" s="1" t="s">
        <v>305</v>
      </c>
      <c r="D364" t="s">
        <v>5</v>
      </c>
      <c r="E364" t="s">
        <v>0</v>
      </c>
      <c r="F364">
        <v>0</v>
      </c>
      <c r="G364">
        <v>0</v>
      </c>
      <c r="H364">
        <v>4</v>
      </c>
      <c r="I364">
        <v>5.333333333333333</v>
      </c>
      <c r="J364">
        <v>4.666666666666667</v>
      </c>
      <c r="K364">
        <v>5</v>
      </c>
      <c r="L364">
        <v>4.666666666666667</v>
      </c>
      <c r="M364">
        <v>4</v>
      </c>
      <c r="N364">
        <v>5</v>
      </c>
      <c r="O364">
        <v>5</v>
      </c>
      <c r="P364">
        <v>4</v>
      </c>
      <c r="Q364">
        <v>1.5</v>
      </c>
      <c r="R364">
        <v>0</v>
      </c>
      <c r="S364">
        <v>0</v>
      </c>
      <c r="T364">
        <v>3</v>
      </c>
      <c r="U364">
        <v>3.6</v>
      </c>
      <c r="V364">
        <v>3.6666666666666665</v>
      </c>
      <c r="W364">
        <v>3.6666666666666665</v>
      </c>
      <c r="X364">
        <v>3.7777777777777777</v>
      </c>
      <c r="Y364">
        <v>3.2</v>
      </c>
      <c r="Z364">
        <v>1</v>
      </c>
      <c r="AA364">
        <v>0</v>
      </c>
      <c r="AB364">
        <v>0</v>
      </c>
      <c r="AC364">
        <v>3</v>
      </c>
      <c r="AD364">
        <v>3.0909090909090908</v>
      </c>
      <c r="AE364">
        <v>3</v>
      </c>
      <c r="AF364">
        <v>3</v>
      </c>
      <c r="AG364">
        <v>3</v>
      </c>
      <c r="AH364">
        <v>1.5</v>
      </c>
      <c r="AI364" s="1">
        <v>3</v>
      </c>
      <c r="AJ364" s="1">
        <v>387</v>
      </c>
      <c r="AK364" s="1" t="s">
        <v>305</v>
      </c>
      <c r="AL364" t="s">
        <v>5</v>
      </c>
      <c r="AM364" t="s">
        <v>0</v>
      </c>
      <c r="AN364">
        <v>0</v>
      </c>
      <c r="AO364">
        <v>0</v>
      </c>
      <c r="AP364">
        <v>372</v>
      </c>
      <c r="AQ364">
        <v>496</v>
      </c>
      <c r="AR364">
        <v>434</v>
      </c>
      <c r="AS364">
        <v>465</v>
      </c>
      <c r="AT364">
        <v>434</v>
      </c>
      <c r="AU364">
        <v>372</v>
      </c>
      <c r="AV364">
        <v>465</v>
      </c>
      <c r="AW364">
        <v>465</v>
      </c>
      <c r="AX364">
        <v>372</v>
      </c>
      <c r="AY364">
        <v>139.5</v>
      </c>
      <c r="AZ364">
        <v>0</v>
      </c>
      <c r="BA364">
        <v>0</v>
      </c>
      <c r="BB364">
        <v>279</v>
      </c>
      <c r="BC364">
        <v>334.8</v>
      </c>
      <c r="BD364">
        <v>341</v>
      </c>
      <c r="BE364">
        <v>341</v>
      </c>
      <c r="BF364">
        <v>351.33333333333331</v>
      </c>
      <c r="BG364">
        <v>297.60000000000002</v>
      </c>
      <c r="BH364">
        <v>93</v>
      </c>
      <c r="BI364">
        <v>0</v>
      </c>
      <c r="BJ364">
        <v>0</v>
      </c>
      <c r="BK364">
        <v>279</v>
      </c>
      <c r="BL364">
        <v>287.45454545454544</v>
      </c>
      <c r="BM364">
        <v>279</v>
      </c>
      <c r="BN364">
        <v>279</v>
      </c>
      <c r="BO364">
        <v>279</v>
      </c>
      <c r="BP364">
        <v>139.5</v>
      </c>
      <c r="BQ364">
        <f>(I364+J364+N364+O364)/4</f>
        <v>5</v>
      </c>
      <c r="BR364">
        <f>(K364+L364+M364)/3</f>
        <v>4.5555555555555562</v>
      </c>
      <c r="BS364">
        <f>BQ364/BR364</f>
        <v>1.097560975609756</v>
      </c>
      <c r="BT364">
        <f>AQ364/I364</f>
        <v>93</v>
      </c>
      <c r="BU364" t="str">
        <f>IF(OR(A364=2, A364=12), "Central", IF(A364=3, "Semi-Central", "Periférica"))</f>
        <v>Semi-Central</v>
      </c>
    </row>
    <row r="365" spans="1:73" x14ac:dyDescent="0.3">
      <c r="A365" s="1">
        <v>11</v>
      </c>
      <c r="B365" s="1">
        <v>1106</v>
      </c>
      <c r="C365" s="1" t="s">
        <v>325</v>
      </c>
      <c r="D365" t="s">
        <v>1</v>
      </c>
      <c r="F365">
        <v>0</v>
      </c>
      <c r="G365">
        <v>0</v>
      </c>
      <c r="H365">
        <v>5</v>
      </c>
      <c r="I365">
        <v>7.333333333333333</v>
      </c>
      <c r="J365">
        <v>6</v>
      </c>
      <c r="K365">
        <v>6</v>
      </c>
      <c r="L365">
        <v>6</v>
      </c>
      <c r="M365">
        <v>6</v>
      </c>
      <c r="N365">
        <v>7</v>
      </c>
      <c r="O365">
        <v>6</v>
      </c>
      <c r="P365">
        <v>4.666666666666667</v>
      </c>
      <c r="Q365">
        <v>1.5</v>
      </c>
      <c r="R365">
        <v>0</v>
      </c>
      <c r="S365">
        <v>0</v>
      </c>
      <c r="T365">
        <v>3</v>
      </c>
      <c r="U365">
        <v>3.2</v>
      </c>
      <c r="V365">
        <v>4</v>
      </c>
      <c r="W365">
        <v>3.333333333333333</v>
      </c>
      <c r="X365">
        <v>2.8888888888888888</v>
      </c>
      <c r="Y365">
        <v>3.2</v>
      </c>
      <c r="Z365">
        <v>1.5</v>
      </c>
      <c r="AA365">
        <v>0</v>
      </c>
      <c r="AB365">
        <v>0</v>
      </c>
      <c r="AC365">
        <v>3</v>
      </c>
      <c r="AD365">
        <v>3.0909090909090908</v>
      </c>
      <c r="AE365">
        <v>3</v>
      </c>
      <c r="AF365">
        <v>4</v>
      </c>
      <c r="AG365">
        <v>4</v>
      </c>
      <c r="AH365">
        <v>2.5</v>
      </c>
      <c r="AI365" s="1">
        <v>11</v>
      </c>
      <c r="AJ365" s="1">
        <v>1106</v>
      </c>
      <c r="AK365" s="1" t="s">
        <v>325</v>
      </c>
      <c r="AL365" t="s">
        <v>1</v>
      </c>
      <c r="AN365">
        <v>0</v>
      </c>
      <c r="AO365">
        <v>0</v>
      </c>
      <c r="AP365">
        <v>450</v>
      </c>
      <c r="AQ365">
        <v>660</v>
      </c>
      <c r="AR365">
        <v>540</v>
      </c>
      <c r="AS365">
        <v>540</v>
      </c>
      <c r="AT365">
        <v>540</v>
      </c>
      <c r="AU365">
        <v>540</v>
      </c>
      <c r="AV365">
        <v>630</v>
      </c>
      <c r="AW365">
        <v>540</v>
      </c>
      <c r="AX365">
        <v>420</v>
      </c>
      <c r="AY365">
        <v>135</v>
      </c>
      <c r="AZ365">
        <v>0</v>
      </c>
      <c r="BA365">
        <v>0</v>
      </c>
      <c r="BB365">
        <v>270</v>
      </c>
      <c r="BC365">
        <v>288</v>
      </c>
      <c r="BD365">
        <v>360</v>
      </c>
      <c r="BE365">
        <v>300</v>
      </c>
      <c r="BF365">
        <v>260</v>
      </c>
      <c r="BG365">
        <v>288</v>
      </c>
      <c r="BH365">
        <v>135</v>
      </c>
      <c r="BI365">
        <v>0</v>
      </c>
      <c r="BJ365">
        <v>0</v>
      </c>
      <c r="BK365">
        <v>270</v>
      </c>
      <c r="BL365">
        <v>278.18181818181819</v>
      </c>
      <c r="BM365">
        <v>270</v>
      </c>
      <c r="BN365">
        <v>360</v>
      </c>
      <c r="BO365">
        <v>360</v>
      </c>
      <c r="BP365">
        <v>225</v>
      </c>
      <c r="BQ365">
        <f>(I365+J365+N365+O365)/4</f>
        <v>6.583333333333333</v>
      </c>
      <c r="BR365">
        <f>(K365+L365+M365)/3</f>
        <v>6</v>
      </c>
      <c r="BS365">
        <f>BQ365/BR365</f>
        <v>1.0972222222222221</v>
      </c>
      <c r="BT365">
        <f>AQ365/I365</f>
        <v>90</v>
      </c>
      <c r="BU365" t="str">
        <f>IF(OR(A365=2, A365=12), "Central", IF(A365=3, "Semi-Central", "Periférica"))</f>
        <v>Periférica</v>
      </c>
    </row>
    <row r="366" spans="1:73" x14ac:dyDescent="0.3">
      <c r="A366" s="1">
        <v>3</v>
      </c>
      <c r="B366" s="1">
        <v>374</v>
      </c>
      <c r="C366" s="1" t="s">
        <v>324</v>
      </c>
      <c r="D366" t="s">
        <v>5</v>
      </c>
      <c r="E366" t="s">
        <v>0</v>
      </c>
      <c r="F366">
        <v>0</v>
      </c>
      <c r="G366">
        <v>0.44444444444444442</v>
      </c>
      <c r="H366">
        <v>6</v>
      </c>
      <c r="I366">
        <v>6.666666666666667</v>
      </c>
      <c r="J366">
        <v>6</v>
      </c>
      <c r="K366">
        <v>5.666666666666667</v>
      </c>
      <c r="L366">
        <v>6</v>
      </c>
      <c r="M366">
        <v>5.2</v>
      </c>
      <c r="N366">
        <v>6.5</v>
      </c>
      <c r="O366">
        <v>5.5</v>
      </c>
      <c r="P366">
        <v>4.666666666666667</v>
      </c>
      <c r="Q366">
        <v>3</v>
      </c>
      <c r="R366">
        <v>0</v>
      </c>
      <c r="S366">
        <v>0</v>
      </c>
      <c r="T366">
        <v>4</v>
      </c>
      <c r="U366">
        <v>4.4000000000000004</v>
      </c>
      <c r="V366">
        <v>4.666666666666667</v>
      </c>
      <c r="W366">
        <v>4.666666666666667</v>
      </c>
      <c r="X366">
        <v>4.666666666666667</v>
      </c>
      <c r="Y366">
        <v>3.2</v>
      </c>
      <c r="Z366">
        <v>2.5</v>
      </c>
      <c r="AA366">
        <v>0</v>
      </c>
      <c r="AB366">
        <v>0</v>
      </c>
      <c r="AC366">
        <v>4</v>
      </c>
      <c r="AD366">
        <v>4</v>
      </c>
      <c r="AE366">
        <v>4</v>
      </c>
      <c r="AF366">
        <v>4</v>
      </c>
      <c r="AG366">
        <v>3</v>
      </c>
      <c r="AH366">
        <v>2.5</v>
      </c>
      <c r="AI366" s="1">
        <v>3</v>
      </c>
      <c r="AJ366" s="1">
        <v>374</v>
      </c>
      <c r="AK366" s="1" t="s">
        <v>324</v>
      </c>
      <c r="AL366" t="s">
        <v>5</v>
      </c>
      <c r="AM366" t="s">
        <v>0</v>
      </c>
      <c r="AN366">
        <v>0</v>
      </c>
      <c r="AO366">
        <v>41.333333333333336</v>
      </c>
      <c r="AP366">
        <v>558</v>
      </c>
      <c r="AQ366">
        <v>620</v>
      </c>
      <c r="AR366">
        <v>558</v>
      </c>
      <c r="AS366">
        <v>527</v>
      </c>
      <c r="AT366">
        <v>558</v>
      </c>
      <c r="AU366">
        <v>483.6</v>
      </c>
      <c r="AV366">
        <v>604.5</v>
      </c>
      <c r="AW366">
        <v>511.5</v>
      </c>
      <c r="AX366">
        <v>434</v>
      </c>
      <c r="AY366">
        <v>279</v>
      </c>
      <c r="AZ366">
        <v>0</v>
      </c>
      <c r="BA366">
        <v>0</v>
      </c>
      <c r="BB366">
        <v>372</v>
      </c>
      <c r="BC366">
        <v>409.2</v>
      </c>
      <c r="BD366">
        <v>434</v>
      </c>
      <c r="BE366">
        <v>434</v>
      </c>
      <c r="BF366">
        <v>434</v>
      </c>
      <c r="BG366">
        <v>297.60000000000002</v>
      </c>
      <c r="BH366">
        <v>232.5</v>
      </c>
      <c r="BI366">
        <v>0</v>
      </c>
      <c r="BJ366">
        <v>0</v>
      </c>
      <c r="BK366">
        <v>372</v>
      </c>
      <c r="BL366">
        <v>372</v>
      </c>
      <c r="BM366">
        <v>372</v>
      </c>
      <c r="BN366">
        <v>372</v>
      </c>
      <c r="BO366">
        <v>279</v>
      </c>
      <c r="BP366">
        <v>232.5</v>
      </c>
      <c r="BQ366">
        <f>(I366+J366+N366+O366)/4</f>
        <v>6.166666666666667</v>
      </c>
      <c r="BR366">
        <f>(K366+L366+M366)/3</f>
        <v>5.6222222222222227</v>
      </c>
      <c r="BS366">
        <f>BQ366/BR366</f>
        <v>1.0968379446640315</v>
      </c>
      <c r="BT366">
        <f>AQ366/I366</f>
        <v>93</v>
      </c>
      <c r="BU366" t="str">
        <f>IF(OR(A366=2, A366=12), "Central", IF(A366=3, "Semi-Central", "Periférica"))</f>
        <v>Semi-Central</v>
      </c>
    </row>
    <row r="367" spans="1:73" x14ac:dyDescent="0.3">
      <c r="A367" s="1">
        <v>12</v>
      </c>
      <c r="B367" s="1">
        <v>1227</v>
      </c>
      <c r="C367" s="1">
        <v>107</v>
      </c>
      <c r="D367" t="s">
        <v>5</v>
      </c>
      <c r="E367" t="s">
        <v>0</v>
      </c>
      <c r="F367">
        <v>2</v>
      </c>
      <c r="G367">
        <v>2.666666666666667</v>
      </c>
      <c r="H367">
        <v>8</v>
      </c>
      <c r="I367">
        <v>10</v>
      </c>
      <c r="J367">
        <v>8.6666666666666661</v>
      </c>
      <c r="K367">
        <v>8</v>
      </c>
      <c r="L367">
        <v>8</v>
      </c>
      <c r="M367">
        <v>8.4</v>
      </c>
      <c r="N367">
        <v>10</v>
      </c>
      <c r="O367">
        <v>7</v>
      </c>
      <c r="P367">
        <v>4.666666666666667</v>
      </c>
      <c r="Q367">
        <v>3</v>
      </c>
      <c r="R367">
        <v>2</v>
      </c>
      <c r="S367">
        <v>2.2222222222222219</v>
      </c>
      <c r="T367">
        <v>6</v>
      </c>
      <c r="U367">
        <v>7.2</v>
      </c>
      <c r="V367">
        <v>7</v>
      </c>
      <c r="W367">
        <v>7</v>
      </c>
      <c r="X367">
        <v>6.8888888888888893</v>
      </c>
      <c r="Y367">
        <v>5.2</v>
      </c>
      <c r="Z367">
        <v>3</v>
      </c>
      <c r="AA367">
        <v>2</v>
      </c>
      <c r="AB367">
        <v>2</v>
      </c>
      <c r="AC367">
        <v>4</v>
      </c>
      <c r="AD367">
        <v>6</v>
      </c>
      <c r="AE367">
        <v>6</v>
      </c>
      <c r="AF367">
        <v>6</v>
      </c>
      <c r="AG367">
        <v>5</v>
      </c>
      <c r="AH367">
        <v>3.5</v>
      </c>
      <c r="AI367" s="1">
        <v>12</v>
      </c>
      <c r="AJ367" s="1">
        <v>1227</v>
      </c>
      <c r="AK367" s="1">
        <v>107</v>
      </c>
      <c r="AL367" t="s">
        <v>5</v>
      </c>
      <c r="AM367" t="s">
        <v>0</v>
      </c>
      <c r="AN367">
        <v>300</v>
      </c>
      <c r="AO367">
        <v>400</v>
      </c>
      <c r="AP367">
        <v>1200</v>
      </c>
      <c r="AQ367">
        <v>1500</v>
      </c>
      <c r="AR367">
        <v>1300</v>
      </c>
      <c r="AS367">
        <v>1200</v>
      </c>
      <c r="AT367">
        <v>1200</v>
      </c>
      <c r="AU367">
        <v>1260</v>
      </c>
      <c r="AV367">
        <v>1500</v>
      </c>
      <c r="AW367">
        <v>1050</v>
      </c>
      <c r="AX367">
        <v>700</v>
      </c>
      <c r="AY367">
        <v>450</v>
      </c>
      <c r="AZ367">
        <v>180</v>
      </c>
      <c r="BA367">
        <v>200</v>
      </c>
      <c r="BB367">
        <v>540</v>
      </c>
      <c r="BC367">
        <v>648</v>
      </c>
      <c r="BD367">
        <v>630</v>
      </c>
      <c r="BE367">
        <v>630</v>
      </c>
      <c r="BF367">
        <v>620</v>
      </c>
      <c r="BG367">
        <v>468</v>
      </c>
      <c r="BH367">
        <v>270</v>
      </c>
      <c r="BI367">
        <v>180</v>
      </c>
      <c r="BJ367">
        <v>180</v>
      </c>
      <c r="BK367">
        <v>360</v>
      </c>
      <c r="BL367">
        <v>540</v>
      </c>
      <c r="BM367">
        <v>540</v>
      </c>
      <c r="BN367">
        <v>540</v>
      </c>
      <c r="BO367">
        <v>450</v>
      </c>
      <c r="BP367">
        <v>315</v>
      </c>
      <c r="BQ367">
        <f>(I367+J367+N367+O367)/4</f>
        <v>8.9166666666666661</v>
      </c>
      <c r="BR367">
        <f>(K367+L367+M367)/3</f>
        <v>8.1333333333333329</v>
      </c>
      <c r="BS367">
        <f>BQ367/BR367</f>
        <v>1.096311475409836</v>
      </c>
      <c r="BT367">
        <f>AQ367/I367</f>
        <v>150</v>
      </c>
      <c r="BU367" t="str">
        <f>IF(OR(A367=2, A367=12), "Central", IF(A367=3, "Semi-Central", "Periférica"))</f>
        <v>Central</v>
      </c>
    </row>
    <row r="368" spans="1:73" x14ac:dyDescent="0.3">
      <c r="A368" s="1">
        <v>5</v>
      </c>
      <c r="B368" s="1">
        <v>557</v>
      </c>
      <c r="C368" s="1">
        <v>407</v>
      </c>
      <c r="D368" t="s">
        <v>1</v>
      </c>
      <c r="E368" t="s">
        <v>0</v>
      </c>
      <c r="F368">
        <v>2</v>
      </c>
      <c r="G368">
        <v>2.2222222222222223</v>
      </c>
      <c r="H368">
        <v>6</v>
      </c>
      <c r="I368">
        <v>11.333333333333334</v>
      </c>
      <c r="J368">
        <v>8</v>
      </c>
      <c r="K368">
        <v>8</v>
      </c>
      <c r="L368">
        <v>8</v>
      </c>
      <c r="M368">
        <v>9.1999999999999993</v>
      </c>
      <c r="N368">
        <v>12</v>
      </c>
      <c r="O368">
        <v>5.5</v>
      </c>
      <c r="P368">
        <v>4.666666666666667</v>
      </c>
      <c r="Q368">
        <v>2.5</v>
      </c>
      <c r="R368">
        <v>2</v>
      </c>
      <c r="S368">
        <v>2.2222222222222223</v>
      </c>
      <c r="T368">
        <v>3</v>
      </c>
      <c r="U368">
        <v>4</v>
      </c>
      <c r="V368">
        <v>3.6666666666666665</v>
      </c>
      <c r="W368">
        <v>4</v>
      </c>
      <c r="X368">
        <v>4</v>
      </c>
      <c r="Y368">
        <v>3.6</v>
      </c>
      <c r="Z368">
        <v>3</v>
      </c>
      <c r="AA368">
        <v>2</v>
      </c>
      <c r="AB368">
        <v>2</v>
      </c>
      <c r="AC368">
        <v>3.5</v>
      </c>
      <c r="AD368">
        <v>3.8181818181818183</v>
      </c>
      <c r="AE368">
        <v>3.6</v>
      </c>
      <c r="AF368">
        <v>3.6666666666666665</v>
      </c>
      <c r="AG368">
        <v>2</v>
      </c>
      <c r="AH368">
        <v>2</v>
      </c>
      <c r="AI368" s="1">
        <v>5</v>
      </c>
      <c r="AJ368" s="1">
        <v>557</v>
      </c>
      <c r="AK368" s="1">
        <v>407</v>
      </c>
      <c r="AL368" t="s">
        <v>1</v>
      </c>
      <c r="AM368" t="s">
        <v>0</v>
      </c>
      <c r="AN368">
        <v>162</v>
      </c>
      <c r="AO368">
        <v>180</v>
      </c>
      <c r="AP368">
        <v>486</v>
      </c>
      <c r="AQ368">
        <v>918</v>
      </c>
      <c r="AR368">
        <v>648</v>
      </c>
      <c r="AS368">
        <v>648</v>
      </c>
      <c r="AT368">
        <v>648</v>
      </c>
      <c r="AU368">
        <v>745.2</v>
      </c>
      <c r="AV368">
        <v>972</v>
      </c>
      <c r="AW368">
        <v>445.5</v>
      </c>
      <c r="AX368">
        <v>378</v>
      </c>
      <c r="AY368">
        <v>202.5</v>
      </c>
      <c r="AZ368">
        <v>162</v>
      </c>
      <c r="BA368">
        <v>180</v>
      </c>
      <c r="BB368">
        <v>243</v>
      </c>
      <c r="BC368">
        <v>324</v>
      </c>
      <c r="BD368">
        <v>297</v>
      </c>
      <c r="BE368">
        <v>324</v>
      </c>
      <c r="BF368">
        <v>324</v>
      </c>
      <c r="BG368">
        <v>291.60000000000002</v>
      </c>
      <c r="BH368">
        <v>243</v>
      </c>
      <c r="BI368">
        <v>162</v>
      </c>
      <c r="BJ368">
        <v>162</v>
      </c>
      <c r="BK368">
        <v>283.5</v>
      </c>
      <c r="BL368">
        <v>309.27272727272725</v>
      </c>
      <c r="BM368">
        <v>291.60000000000002</v>
      </c>
      <c r="BN368">
        <v>297</v>
      </c>
      <c r="BO368">
        <v>162</v>
      </c>
      <c r="BP368">
        <v>162</v>
      </c>
      <c r="BQ368">
        <f>(I368+J368+N368+O368)/4</f>
        <v>9.2083333333333339</v>
      </c>
      <c r="BR368">
        <f>(K368+L368+M368)/3</f>
        <v>8.4</v>
      </c>
      <c r="BS368">
        <f>BQ368/BR368</f>
        <v>1.0962301587301588</v>
      </c>
      <c r="BT368">
        <f>AQ368/I368</f>
        <v>81</v>
      </c>
      <c r="BU368" t="str">
        <f>IF(OR(A368=2, A368=12), "Central", IF(A368=3, "Semi-Central", "Periférica"))</f>
        <v>Periférica</v>
      </c>
    </row>
    <row r="369" spans="1:73" x14ac:dyDescent="0.3">
      <c r="A369" s="1">
        <v>18</v>
      </c>
      <c r="B369" s="1">
        <v>1829</v>
      </c>
      <c r="C369" s="1">
        <v>229</v>
      </c>
      <c r="D369" t="s">
        <v>5</v>
      </c>
      <c r="E369" t="s">
        <v>0</v>
      </c>
      <c r="F369">
        <v>0</v>
      </c>
      <c r="G369">
        <v>0</v>
      </c>
      <c r="H369">
        <v>3</v>
      </c>
      <c r="I369">
        <v>6.666666666666667</v>
      </c>
      <c r="J369">
        <v>4.666666666666667</v>
      </c>
      <c r="K369">
        <v>5.666666666666667</v>
      </c>
      <c r="L369">
        <v>4.666666666666667</v>
      </c>
      <c r="M369">
        <v>6</v>
      </c>
      <c r="N369">
        <v>6.5</v>
      </c>
      <c r="O369">
        <v>6</v>
      </c>
      <c r="P369">
        <v>6</v>
      </c>
      <c r="Q369">
        <v>2</v>
      </c>
      <c r="R369">
        <v>0</v>
      </c>
      <c r="S369">
        <v>0</v>
      </c>
      <c r="T369">
        <v>3</v>
      </c>
      <c r="U369">
        <v>4</v>
      </c>
      <c r="V369">
        <v>4.666666666666667</v>
      </c>
      <c r="W369">
        <v>4.333333333333333</v>
      </c>
      <c r="X369">
        <v>4.4444444444444446</v>
      </c>
      <c r="Y369">
        <v>4.4000000000000004</v>
      </c>
      <c r="Z369">
        <v>2</v>
      </c>
      <c r="AA369">
        <v>0</v>
      </c>
      <c r="AB369">
        <v>0</v>
      </c>
      <c r="AC369">
        <v>2.5</v>
      </c>
      <c r="AD369">
        <v>4</v>
      </c>
      <c r="AE369">
        <v>4.4000000000000004</v>
      </c>
      <c r="AF369">
        <v>4.333333333333333</v>
      </c>
      <c r="AG369">
        <v>3</v>
      </c>
      <c r="AH369">
        <v>1.5</v>
      </c>
      <c r="AI369" s="1">
        <v>18</v>
      </c>
      <c r="AJ369" s="1">
        <v>1829</v>
      </c>
      <c r="AK369" s="1">
        <v>229</v>
      </c>
      <c r="AL369" t="s">
        <v>5</v>
      </c>
      <c r="AM369" t="s">
        <v>0</v>
      </c>
      <c r="AN369">
        <v>0</v>
      </c>
      <c r="AO369">
        <v>0</v>
      </c>
      <c r="AP369">
        <v>270</v>
      </c>
      <c r="AQ369">
        <v>600</v>
      </c>
      <c r="AR369">
        <v>420</v>
      </c>
      <c r="AS369">
        <v>510</v>
      </c>
      <c r="AT369">
        <v>420</v>
      </c>
      <c r="AU369">
        <v>540</v>
      </c>
      <c r="AV369">
        <v>585</v>
      </c>
      <c r="AW369">
        <v>540</v>
      </c>
      <c r="AX369">
        <v>540</v>
      </c>
      <c r="AY369">
        <v>180</v>
      </c>
      <c r="AZ369">
        <v>0</v>
      </c>
      <c r="BA369">
        <v>0</v>
      </c>
      <c r="BB369">
        <v>270</v>
      </c>
      <c r="BC369">
        <v>360</v>
      </c>
      <c r="BD369">
        <v>420</v>
      </c>
      <c r="BE369">
        <v>390</v>
      </c>
      <c r="BF369">
        <v>400</v>
      </c>
      <c r="BG369">
        <v>396</v>
      </c>
      <c r="BH369">
        <v>180</v>
      </c>
      <c r="BI369">
        <v>0</v>
      </c>
      <c r="BJ369">
        <v>0</v>
      </c>
      <c r="BK369">
        <v>225</v>
      </c>
      <c r="BL369">
        <v>360</v>
      </c>
      <c r="BM369">
        <v>396</v>
      </c>
      <c r="BN369">
        <v>390</v>
      </c>
      <c r="BO369">
        <v>270</v>
      </c>
      <c r="BP369">
        <v>135</v>
      </c>
      <c r="BQ369">
        <f>(I369+J369+N369+O369)/4</f>
        <v>5.9583333333333339</v>
      </c>
      <c r="BR369">
        <f>(K369+L369+M369)/3</f>
        <v>5.4444444444444455</v>
      </c>
      <c r="BS369">
        <f>BQ369/BR369</f>
        <v>1.0943877551020407</v>
      </c>
      <c r="BT369">
        <f>AQ369/I369</f>
        <v>90</v>
      </c>
      <c r="BU369" t="str">
        <f>IF(OR(A369=2, A369=12), "Central", IF(A369=3, "Semi-Central", "Periférica"))</f>
        <v>Periférica</v>
      </c>
    </row>
    <row r="370" spans="1:73" x14ac:dyDescent="0.3">
      <c r="A370" s="1">
        <v>11</v>
      </c>
      <c r="B370" s="1">
        <v>1126</v>
      </c>
      <c r="C370" s="1" t="s">
        <v>323</v>
      </c>
      <c r="D370" t="s">
        <v>5</v>
      </c>
      <c r="F370">
        <v>0</v>
      </c>
      <c r="G370">
        <v>0</v>
      </c>
      <c r="H370">
        <v>6</v>
      </c>
      <c r="I370">
        <v>5.333333333333333</v>
      </c>
      <c r="J370">
        <v>5.333333333333333</v>
      </c>
      <c r="K370">
        <v>5</v>
      </c>
      <c r="L370">
        <v>4.666666666666667</v>
      </c>
      <c r="M370">
        <v>5.2</v>
      </c>
      <c r="N370">
        <v>6</v>
      </c>
      <c r="O370">
        <v>5</v>
      </c>
      <c r="P370">
        <v>4</v>
      </c>
      <c r="Q370">
        <v>2.5</v>
      </c>
      <c r="R370">
        <v>0</v>
      </c>
      <c r="S370">
        <v>0</v>
      </c>
      <c r="T370">
        <v>3</v>
      </c>
      <c r="U370">
        <v>3.2</v>
      </c>
      <c r="V370">
        <v>4</v>
      </c>
      <c r="W370">
        <v>4</v>
      </c>
      <c r="X370">
        <v>4</v>
      </c>
      <c r="Y370">
        <v>4</v>
      </c>
      <c r="Z370">
        <v>2.5</v>
      </c>
      <c r="AA370">
        <v>0</v>
      </c>
      <c r="AB370">
        <v>0</v>
      </c>
      <c r="AC370">
        <v>3</v>
      </c>
      <c r="AD370">
        <v>3.0909090909090908</v>
      </c>
      <c r="AE370">
        <v>3.2</v>
      </c>
      <c r="AF370">
        <v>4</v>
      </c>
      <c r="AG370">
        <v>5</v>
      </c>
      <c r="AH370">
        <v>3</v>
      </c>
      <c r="AI370" s="1">
        <v>11</v>
      </c>
      <c r="AJ370" s="1">
        <v>1126</v>
      </c>
      <c r="AK370" s="1" t="s">
        <v>323</v>
      </c>
      <c r="AL370" t="s">
        <v>5</v>
      </c>
      <c r="AN370">
        <v>0</v>
      </c>
      <c r="AO370">
        <v>0</v>
      </c>
      <c r="AP370">
        <v>540</v>
      </c>
      <c r="AQ370">
        <v>480</v>
      </c>
      <c r="AR370">
        <v>480</v>
      </c>
      <c r="AS370">
        <v>450</v>
      </c>
      <c r="AT370">
        <v>420</v>
      </c>
      <c r="AU370">
        <v>468</v>
      </c>
      <c r="AV370">
        <v>540</v>
      </c>
      <c r="AW370">
        <v>450</v>
      </c>
      <c r="AX370">
        <v>360</v>
      </c>
      <c r="AY370">
        <v>225</v>
      </c>
      <c r="AZ370">
        <v>0</v>
      </c>
      <c r="BA370">
        <v>0</v>
      </c>
      <c r="BB370">
        <v>270</v>
      </c>
      <c r="BC370">
        <v>288</v>
      </c>
      <c r="BD370">
        <v>360</v>
      </c>
      <c r="BE370">
        <v>360</v>
      </c>
      <c r="BF370">
        <v>360</v>
      </c>
      <c r="BG370">
        <v>360</v>
      </c>
      <c r="BH370">
        <v>225</v>
      </c>
      <c r="BI370">
        <v>0</v>
      </c>
      <c r="BJ370">
        <v>0</v>
      </c>
      <c r="BK370">
        <v>270</v>
      </c>
      <c r="BL370">
        <v>278.18181818181819</v>
      </c>
      <c r="BM370">
        <v>288</v>
      </c>
      <c r="BN370">
        <v>360</v>
      </c>
      <c r="BO370">
        <v>450</v>
      </c>
      <c r="BP370">
        <v>270</v>
      </c>
      <c r="BQ370">
        <f>(I370+J370+N370+O370)/4</f>
        <v>5.4166666666666661</v>
      </c>
      <c r="BR370">
        <f>(K370+L370+M370)/3</f>
        <v>4.9555555555555557</v>
      </c>
      <c r="BS370">
        <f>BQ370/BR370</f>
        <v>1.0930493273542599</v>
      </c>
      <c r="BT370">
        <f>AQ370/I370</f>
        <v>90</v>
      </c>
      <c r="BU370" t="str">
        <f>IF(OR(A370=2, A370=12), "Central", IF(A370=3, "Semi-Central", "Periférica"))</f>
        <v>Periférica</v>
      </c>
    </row>
    <row r="371" spans="1:73" x14ac:dyDescent="0.3">
      <c r="A371" s="1">
        <v>3</v>
      </c>
      <c r="B371" s="1">
        <v>383</v>
      </c>
      <c r="C371" s="1" t="s">
        <v>219</v>
      </c>
      <c r="D371" t="s">
        <v>1</v>
      </c>
      <c r="E371" t="s">
        <v>0</v>
      </c>
      <c r="F371">
        <v>0</v>
      </c>
      <c r="G371">
        <v>0</v>
      </c>
      <c r="H371">
        <v>3</v>
      </c>
      <c r="I371">
        <v>5.333333333333333</v>
      </c>
      <c r="J371">
        <v>4.666666666666667</v>
      </c>
      <c r="K371">
        <v>5</v>
      </c>
      <c r="L371">
        <v>4.666666666666667</v>
      </c>
      <c r="M371">
        <v>4.4000000000000004</v>
      </c>
      <c r="N371">
        <v>5</v>
      </c>
      <c r="O371">
        <v>5.5</v>
      </c>
      <c r="P371">
        <v>4.666666666666667</v>
      </c>
      <c r="Q371">
        <v>4</v>
      </c>
      <c r="R371">
        <v>0</v>
      </c>
      <c r="S371">
        <v>0</v>
      </c>
      <c r="T371">
        <v>2</v>
      </c>
      <c r="U371">
        <v>3.2</v>
      </c>
      <c r="V371">
        <v>4</v>
      </c>
      <c r="W371">
        <v>4</v>
      </c>
      <c r="X371">
        <v>3.7777777777777777</v>
      </c>
      <c r="Y371">
        <v>3.2</v>
      </c>
      <c r="Z371">
        <v>2.5</v>
      </c>
      <c r="AA371">
        <v>0</v>
      </c>
      <c r="AB371">
        <v>0</v>
      </c>
      <c r="AC371">
        <v>2</v>
      </c>
      <c r="AD371">
        <v>4</v>
      </c>
      <c r="AE371">
        <v>4</v>
      </c>
      <c r="AF371">
        <v>4</v>
      </c>
      <c r="AG371">
        <v>3</v>
      </c>
      <c r="AH371">
        <v>2.5</v>
      </c>
      <c r="AI371" s="1">
        <v>3</v>
      </c>
      <c r="AJ371" s="1">
        <v>383</v>
      </c>
      <c r="AK371" s="1" t="s">
        <v>219</v>
      </c>
      <c r="AL371" t="s">
        <v>1</v>
      </c>
      <c r="AM371" t="s">
        <v>0</v>
      </c>
      <c r="AN371">
        <v>0</v>
      </c>
      <c r="AO371">
        <v>0</v>
      </c>
      <c r="AP371">
        <v>279</v>
      </c>
      <c r="AQ371">
        <v>496</v>
      </c>
      <c r="AR371">
        <v>434</v>
      </c>
      <c r="AS371">
        <v>465</v>
      </c>
      <c r="AT371">
        <v>434</v>
      </c>
      <c r="AU371">
        <v>409.2</v>
      </c>
      <c r="AV371">
        <v>465</v>
      </c>
      <c r="AW371">
        <v>511.5</v>
      </c>
      <c r="AX371">
        <v>434</v>
      </c>
      <c r="AY371">
        <v>372</v>
      </c>
      <c r="AZ371">
        <v>0</v>
      </c>
      <c r="BA371">
        <v>0</v>
      </c>
      <c r="BB371">
        <v>186</v>
      </c>
      <c r="BC371">
        <v>297.60000000000002</v>
      </c>
      <c r="BD371">
        <v>372</v>
      </c>
      <c r="BE371">
        <v>372</v>
      </c>
      <c r="BF371">
        <v>351.33333333333331</v>
      </c>
      <c r="BG371">
        <v>297.60000000000002</v>
      </c>
      <c r="BH371">
        <v>232.5</v>
      </c>
      <c r="BI371">
        <v>0</v>
      </c>
      <c r="BJ371">
        <v>0</v>
      </c>
      <c r="BK371">
        <v>186</v>
      </c>
      <c r="BL371">
        <v>372</v>
      </c>
      <c r="BM371">
        <v>372</v>
      </c>
      <c r="BN371">
        <v>372</v>
      </c>
      <c r="BO371">
        <v>279</v>
      </c>
      <c r="BP371">
        <v>232.5</v>
      </c>
      <c r="BQ371">
        <f>(I371+J371+N371+O371)/4</f>
        <v>5.125</v>
      </c>
      <c r="BR371">
        <f>(K371+L371+M371)/3</f>
        <v>4.6888888888888891</v>
      </c>
      <c r="BS371">
        <f>BQ371/BR371</f>
        <v>1.0930094786729858</v>
      </c>
      <c r="BT371">
        <f>AQ371/I371</f>
        <v>93</v>
      </c>
      <c r="BU371" t="str">
        <f>IF(OR(A371=2, A371=12), "Central", IF(A371=3, "Semi-Central", "Periférica"))</f>
        <v>Semi-Central</v>
      </c>
    </row>
    <row r="372" spans="1:73" x14ac:dyDescent="0.3">
      <c r="A372" s="1">
        <v>13</v>
      </c>
      <c r="B372" s="1">
        <v>1303</v>
      </c>
      <c r="C372" s="1">
        <v>403</v>
      </c>
      <c r="D372" t="s">
        <v>1</v>
      </c>
      <c r="F372">
        <v>2</v>
      </c>
      <c r="G372">
        <v>2</v>
      </c>
      <c r="H372">
        <v>6</v>
      </c>
      <c r="I372">
        <v>7.333333333333333</v>
      </c>
      <c r="J372">
        <v>8</v>
      </c>
      <c r="K372">
        <v>6.666666666666667</v>
      </c>
      <c r="L372">
        <v>6.666666666666667</v>
      </c>
      <c r="M372">
        <v>6.8</v>
      </c>
      <c r="N372">
        <v>7.5</v>
      </c>
      <c r="O372">
        <v>6.5</v>
      </c>
      <c r="P372">
        <v>4.666666666666667</v>
      </c>
      <c r="Q372">
        <v>3</v>
      </c>
      <c r="R372">
        <v>2</v>
      </c>
      <c r="S372">
        <v>2</v>
      </c>
      <c r="T372">
        <v>3</v>
      </c>
      <c r="U372">
        <v>4.4000000000000004</v>
      </c>
      <c r="V372">
        <v>5.666666666666667</v>
      </c>
      <c r="W372">
        <v>5.333333333333333</v>
      </c>
      <c r="X372">
        <v>4.8888888888888893</v>
      </c>
      <c r="Y372">
        <v>3.2</v>
      </c>
      <c r="Z372">
        <v>2.5</v>
      </c>
      <c r="AA372">
        <v>2</v>
      </c>
      <c r="AB372">
        <v>2</v>
      </c>
      <c r="AC372">
        <v>2.5</v>
      </c>
      <c r="AD372">
        <v>3.6363636363636358</v>
      </c>
      <c r="AE372">
        <v>4</v>
      </c>
      <c r="AF372">
        <v>4</v>
      </c>
      <c r="AG372">
        <v>3</v>
      </c>
      <c r="AH372">
        <v>3</v>
      </c>
      <c r="AI372" s="1">
        <v>13</v>
      </c>
      <c r="AJ372" s="1">
        <v>1303</v>
      </c>
      <c r="AK372" s="1">
        <v>403</v>
      </c>
      <c r="AL372" t="s">
        <v>1</v>
      </c>
      <c r="AN372">
        <v>180</v>
      </c>
      <c r="AO372">
        <v>180</v>
      </c>
      <c r="AP372">
        <v>540</v>
      </c>
      <c r="AQ372">
        <v>660</v>
      </c>
      <c r="AR372">
        <v>720</v>
      </c>
      <c r="AS372">
        <v>600</v>
      </c>
      <c r="AT372">
        <v>600</v>
      </c>
      <c r="AU372">
        <v>612</v>
      </c>
      <c r="AV372">
        <v>675</v>
      </c>
      <c r="AW372">
        <v>585</v>
      </c>
      <c r="AX372">
        <v>420</v>
      </c>
      <c r="AY372">
        <v>270</v>
      </c>
      <c r="AZ372">
        <v>180</v>
      </c>
      <c r="BA372">
        <v>180</v>
      </c>
      <c r="BB372">
        <v>270</v>
      </c>
      <c r="BC372">
        <v>396</v>
      </c>
      <c r="BD372">
        <v>510</v>
      </c>
      <c r="BE372">
        <v>480</v>
      </c>
      <c r="BF372">
        <v>440</v>
      </c>
      <c r="BG372">
        <v>288</v>
      </c>
      <c r="BH372">
        <v>225</v>
      </c>
      <c r="BI372">
        <v>180</v>
      </c>
      <c r="BJ372">
        <v>180</v>
      </c>
      <c r="BK372">
        <v>225</v>
      </c>
      <c r="BL372">
        <v>327.27272727272731</v>
      </c>
      <c r="BM372">
        <v>360</v>
      </c>
      <c r="BN372">
        <v>360</v>
      </c>
      <c r="BO372">
        <v>270</v>
      </c>
      <c r="BP372">
        <v>270</v>
      </c>
      <c r="BQ372">
        <f>(I372+J372+N372+O372)/4</f>
        <v>7.333333333333333</v>
      </c>
      <c r="BR372">
        <f>(K372+L372+M372)/3</f>
        <v>6.7111111111111112</v>
      </c>
      <c r="BS372">
        <f>BQ372/BR372</f>
        <v>1.0927152317880795</v>
      </c>
      <c r="BT372">
        <f>AQ372/I372</f>
        <v>90</v>
      </c>
      <c r="BU372" t="str">
        <f>IF(OR(A372=2, A372=12), "Central", IF(A372=3, "Semi-Central", "Periférica"))</f>
        <v>Periférica</v>
      </c>
    </row>
    <row r="373" spans="1:73" x14ac:dyDescent="0.3">
      <c r="A373" s="1">
        <v>15</v>
      </c>
      <c r="B373" s="1">
        <v>1568</v>
      </c>
      <c r="C373" s="1" t="s">
        <v>322</v>
      </c>
      <c r="D373" t="s">
        <v>1</v>
      </c>
      <c r="E373" t="s">
        <v>0</v>
      </c>
      <c r="F373">
        <v>0</v>
      </c>
      <c r="G373">
        <v>0</v>
      </c>
      <c r="H373">
        <v>6</v>
      </c>
      <c r="I373">
        <v>6</v>
      </c>
      <c r="J373">
        <v>6</v>
      </c>
      <c r="K373">
        <v>5.333333333333333</v>
      </c>
      <c r="L373">
        <v>6</v>
      </c>
      <c r="M373">
        <v>7.2</v>
      </c>
      <c r="N373">
        <v>7.5</v>
      </c>
      <c r="O373">
        <v>7.5</v>
      </c>
      <c r="P373">
        <v>5.333333333333333</v>
      </c>
      <c r="Q373">
        <v>3.5</v>
      </c>
      <c r="R373">
        <v>0</v>
      </c>
      <c r="S373">
        <v>0</v>
      </c>
      <c r="T373">
        <v>3</v>
      </c>
      <c r="U373">
        <v>4</v>
      </c>
      <c r="V373">
        <v>4</v>
      </c>
      <c r="W373">
        <v>4.333333333333333</v>
      </c>
      <c r="X373">
        <v>4.2222222222222223</v>
      </c>
      <c r="Y373">
        <v>4</v>
      </c>
      <c r="Z373">
        <v>3</v>
      </c>
      <c r="AA373">
        <v>0</v>
      </c>
      <c r="AB373">
        <v>0</v>
      </c>
      <c r="AC373">
        <v>4</v>
      </c>
      <c r="AD373">
        <v>4</v>
      </c>
      <c r="AE373">
        <v>4</v>
      </c>
      <c r="AF373">
        <v>3.666666666666667</v>
      </c>
      <c r="AG373">
        <v>4</v>
      </c>
      <c r="AH373">
        <v>3</v>
      </c>
      <c r="AI373" s="1">
        <v>15</v>
      </c>
      <c r="AJ373" s="1">
        <v>1568</v>
      </c>
      <c r="AK373" s="1" t="s">
        <v>322</v>
      </c>
      <c r="AL373" t="s">
        <v>1</v>
      </c>
      <c r="AM373" t="s">
        <v>0</v>
      </c>
      <c r="AN373">
        <v>0</v>
      </c>
      <c r="AO373">
        <v>0</v>
      </c>
      <c r="AP373">
        <v>540</v>
      </c>
      <c r="AQ373">
        <v>540</v>
      </c>
      <c r="AR373">
        <v>540</v>
      </c>
      <c r="AS373">
        <v>480</v>
      </c>
      <c r="AT373">
        <v>540</v>
      </c>
      <c r="AU373">
        <v>648</v>
      </c>
      <c r="AV373">
        <v>675</v>
      </c>
      <c r="AW373">
        <v>675</v>
      </c>
      <c r="AX373">
        <v>480</v>
      </c>
      <c r="AY373">
        <v>315</v>
      </c>
      <c r="AZ373">
        <v>0</v>
      </c>
      <c r="BA373">
        <v>0</v>
      </c>
      <c r="BB373">
        <v>270</v>
      </c>
      <c r="BC373">
        <v>360</v>
      </c>
      <c r="BD373">
        <v>360</v>
      </c>
      <c r="BE373">
        <v>390</v>
      </c>
      <c r="BF373">
        <v>380</v>
      </c>
      <c r="BG373">
        <v>360</v>
      </c>
      <c r="BH373">
        <v>270</v>
      </c>
      <c r="BI373">
        <v>0</v>
      </c>
      <c r="BJ373">
        <v>0</v>
      </c>
      <c r="BK373">
        <v>360</v>
      </c>
      <c r="BL373">
        <v>360</v>
      </c>
      <c r="BM373">
        <v>360</v>
      </c>
      <c r="BN373">
        <v>330</v>
      </c>
      <c r="BO373">
        <v>360</v>
      </c>
      <c r="BP373">
        <v>270</v>
      </c>
      <c r="BQ373">
        <f>(I373+J373+N373+O373)/4</f>
        <v>6.75</v>
      </c>
      <c r="BR373">
        <f>(K373+L373+M373)/3</f>
        <v>6.1777777777777771</v>
      </c>
      <c r="BS373">
        <f>BQ373/BR373</f>
        <v>1.0926258992805757</v>
      </c>
      <c r="BT373">
        <f>AQ373/I373</f>
        <v>90</v>
      </c>
      <c r="BU373" t="str">
        <f>IF(OR(A373=2, A373=12), "Central", IF(A373=3, "Semi-Central", "Periférica"))</f>
        <v>Periférica</v>
      </c>
    </row>
    <row r="374" spans="1:73" x14ac:dyDescent="0.3">
      <c r="A374" s="1">
        <v>4</v>
      </c>
      <c r="B374" s="1">
        <v>478</v>
      </c>
      <c r="C374" s="1" t="s">
        <v>321</v>
      </c>
      <c r="D374" t="s">
        <v>5</v>
      </c>
      <c r="E374" t="s">
        <v>0</v>
      </c>
      <c r="F374">
        <v>0</v>
      </c>
      <c r="G374">
        <v>0</v>
      </c>
      <c r="H374">
        <v>5</v>
      </c>
      <c r="I374">
        <v>5.333333333333333</v>
      </c>
      <c r="J374">
        <v>5.333333333333333</v>
      </c>
      <c r="K374">
        <v>4.666666666666667</v>
      </c>
      <c r="L374">
        <v>4.666666666666667</v>
      </c>
      <c r="M374">
        <v>5.2</v>
      </c>
      <c r="N374">
        <v>5</v>
      </c>
      <c r="O374">
        <v>5.5</v>
      </c>
      <c r="P374">
        <v>4.666666666666667</v>
      </c>
      <c r="Q374">
        <v>3</v>
      </c>
      <c r="R374">
        <v>0</v>
      </c>
      <c r="S374">
        <v>0</v>
      </c>
      <c r="T374">
        <v>3</v>
      </c>
      <c r="U374">
        <v>5.2</v>
      </c>
      <c r="V374">
        <v>5</v>
      </c>
      <c r="W374">
        <v>5</v>
      </c>
      <c r="X374">
        <v>4.8888888888888893</v>
      </c>
      <c r="Y374">
        <v>3.6</v>
      </c>
      <c r="Z374">
        <v>2.5</v>
      </c>
      <c r="AA374">
        <v>0</v>
      </c>
      <c r="AB374">
        <v>0</v>
      </c>
      <c r="AC374">
        <v>3</v>
      </c>
      <c r="AD374">
        <v>4.7272727272727275</v>
      </c>
      <c r="AE374">
        <v>4.5999999999999996</v>
      </c>
      <c r="AF374">
        <v>4.666666666666667</v>
      </c>
      <c r="AG374">
        <v>4</v>
      </c>
      <c r="AH374">
        <v>3</v>
      </c>
      <c r="AI374" s="1">
        <v>4</v>
      </c>
      <c r="AJ374" s="1">
        <v>478</v>
      </c>
      <c r="AK374" s="1" t="s">
        <v>321</v>
      </c>
      <c r="AL374" t="s">
        <v>5</v>
      </c>
      <c r="AM374" t="s">
        <v>0</v>
      </c>
      <c r="AN374">
        <v>0</v>
      </c>
      <c r="AO374">
        <v>0</v>
      </c>
      <c r="AP374">
        <v>380</v>
      </c>
      <c r="AQ374">
        <v>405.33333333333331</v>
      </c>
      <c r="AR374">
        <v>405.33333333333331</v>
      </c>
      <c r="AS374">
        <v>354.66666666666669</v>
      </c>
      <c r="AT374">
        <v>354.66666666666669</v>
      </c>
      <c r="AU374">
        <v>395.2</v>
      </c>
      <c r="AV374">
        <v>380</v>
      </c>
      <c r="AW374">
        <v>418</v>
      </c>
      <c r="AX374">
        <v>354.66666666666669</v>
      </c>
      <c r="AY374">
        <v>228</v>
      </c>
      <c r="AZ374">
        <v>0</v>
      </c>
      <c r="BA374">
        <v>0</v>
      </c>
      <c r="BB374">
        <v>228</v>
      </c>
      <c r="BC374">
        <v>395.2</v>
      </c>
      <c r="BD374">
        <v>380</v>
      </c>
      <c r="BE374">
        <v>380</v>
      </c>
      <c r="BF374">
        <v>371.55555555555554</v>
      </c>
      <c r="BG374">
        <v>273.60000000000002</v>
      </c>
      <c r="BH374">
        <v>190</v>
      </c>
      <c r="BI374">
        <v>0</v>
      </c>
      <c r="BJ374">
        <v>0</v>
      </c>
      <c r="BK374">
        <v>228</v>
      </c>
      <c r="BL374">
        <v>359.27272727272725</v>
      </c>
      <c r="BM374">
        <v>349.6</v>
      </c>
      <c r="BN374">
        <v>354.66666666666669</v>
      </c>
      <c r="BO374">
        <v>304</v>
      </c>
      <c r="BP374">
        <v>228</v>
      </c>
      <c r="BQ374">
        <f>(I374+J374+N374+O374)/4</f>
        <v>5.2916666666666661</v>
      </c>
      <c r="BR374">
        <f>(K374+L374+M374)/3</f>
        <v>4.844444444444445</v>
      </c>
      <c r="BS374">
        <f>BQ374/BR374</f>
        <v>1.0923165137614677</v>
      </c>
      <c r="BT374">
        <f>AQ374/I374</f>
        <v>76</v>
      </c>
      <c r="BU374" t="str">
        <f>IF(OR(A374=2, A374=12), "Central", IF(A374=3, "Semi-Central", "Periférica"))</f>
        <v>Periférica</v>
      </c>
    </row>
    <row r="375" spans="1:73" x14ac:dyDescent="0.3">
      <c r="A375" s="1">
        <v>5</v>
      </c>
      <c r="B375" s="1" t="s">
        <v>320</v>
      </c>
      <c r="C375" s="1" t="s">
        <v>320</v>
      </c>
      <c r="D375" t="s">
        <v>1</v>
      </c>
      <c r="E375" t="s">
        <v>0</v>
      </c>
      <c r="F375">
        <v>0</v>
      </c>
      <c r="G375">
        <v>0</v>
      </c>
      <c r="H375">
        <v>6</v>
      </c>
      <c r="I375">
        <v>7.333333333333333</v>
      </c>
      <c r="J375">
        <v>5.333333333333333</v>
      </c>
      <c r="K375">
        <v>6.666666666666667</v>
      </c>
      <c r="L375">
        <v>6</v>
      </c>
      <c r="M375">
        <v>6</v>
      </c>
      <c r="N375">
        <v>7.5</v>
      </c>
      <c r="O375">
        <v>7</v>
      </c>
      <c r="P375">
        <v>4</v>
      </c>
      <c r="Q375">
        <v>3.5</v>
      </c>
      <c r="R375">
        <v>0</v>
      </c>
      <c r="S375">
        <v>0</v>
      </c>
      <c r="T375">
        <v>3</v>
      </c>
      <c r="U375">
        <v>4</v>
      </c>
      <c r="V375">
        <v>4.333333333333333</v>
      </c>
      <c r="W375">
        <v>4</v>
      </c>
      <c r="X375">
        <v>4.666666666666667</v>
      </c>
      <c r="Y375">
        <v>4.4000000000000004</v>
      </c>
      <c r="Z375">
        <v>3</v>
      </c>
      <c r="AA375">
        <v>0</v>
      </c>
      <c r="AB375">
        <v>0</v>
      </c>
      <c r="AC375">
        <v>3</v>
      </c>
      <c r="AD375">
        <v>4</v>
      </c>
      <c r="AE375">
        <v>4</v>
      </c>
      <c r="AF375">
        <v>4</v>
      </c>
      <c r="AG375">
        <v>3</v>
      </c>
      <c r="AH375">
        <v>2.5</v>
      </c>
      <c r="AI375" s="1">
        <v>5</v>
      </c>
      <c r="AJ375" s="1" t="s">
        <v>320</v>
      </c>
      <c r="AK375" s="1" t="s">
        <v>320</v>
      </c>
      <c r="AL375" t="s">
        <v>1</v>
      </c>
      <c r="AM375" t="s">
        <v>0</v>
      </c>
      <c r="AN375">
        <v>0</v>
      </c>
      <c r="AO375">
        <v>0</v>
      </c>
      <c r="AP375">
        <v>486</v>
      </c>
      <c r="AQ375">
        <v>594</v>
      </c>
      <c r="AR375">
        <v>432</v>
      </c>
      <c r="AS375">
        <v>540</v>
      </c>
      <c r="AT375">
        <v>486</v>
      </c>
      <c r="AU375">
        <v>486</v>
      </c>
      <c r="AV375">
        <v>607.5</v>
      </c>
      <c r="AW375">
        <v>567</v>
      </c>
      <c r="AX375">
        <v>324</v>
      </c>
      <c r="AY375">
        <v>283.5</v>
      </c>
      <c r="AZ375">
        <v>0</v>
      </c>
      <c r="BA375">
        <v>0</v>
      </c>
      <c r="BB375">
        <v>243</v>
      </c>
      <c r="BC375">
        <v>324</v>
      </c>
      <c r="BD375">
        <v>351</v>
      </c>
      <c r="BE375">
        <v>324</v>
      </c>
      <c r="BF375">
        <v>378</v>
      </c>
      <c r="BG375">
        <v>356.4</v>
      </c>
      <c r="BH375">
        <v>243</v>
      </c>
      <c r="BI375">
        <v>0</v>
      </c>
      <c r="BJ375">
        <v>0</v>
      </c>
      <c r="BK375">
        <v>243</v>
      </c>
      <c r="BL375">
        <v>324</v>
      </c>
      <c r="BM375">
        <v>324</v>
      </c>
      <c r="BN375">
        <v>324</v>
      </c>
      <c r="BO375">
        <v>243</v>
      </c>
      <c r="BP375">
        <v>202.5</v>
      </c>
      <c r="BQ375">
        <f>(I375+J375+N375+O375)/4</f>
        <v>6.7916666666666661</v>
      </c>
      <c r="BR375">
        <f>(K375+L375+M375)/3</f>
        <v>6.2222222222222223</v>
      </c>
      <c r="BS375">
        <f>BQ375/BR375</f>
        <v>1.091517857142857</v>
      </c>
      <c r="BT375">
        <f>AQ375/I375</f>
        <v>81</v>
      </c>
      <c r="BU375" t="str">
        <f>IF(OR(A375=2, A375=12), "Central", IF(A375=3, "Semi-Central", "Periférica"))</f>
        <v>Periférica</v>
      </c>
    </row>
    <row r="376" spans="1:73" x14ac:dyDescent="0.3">
      <c r="A376" s="1">
        <v>12</v>
      </c>
      <c r="B376" s="1">
        <v>1202</v>
      </c>
      <c r="C376" s="1" t="s">
        <v>319</v>
      </c>
      <c r="D376" t="s">
        <v>1</v>
      </c>
      <c r="E376" t="s">
        <v>0</v>
      </c>
      <c r="F376">
        <v>0</v>
      </c>
      <c r="G376">
        <v>0</v>
      </c>
      <c r="H376">
        <v>4</v>
      </c>
      <c r="I376">
        <v>6</v>
      </c>
      <c r="J376">
        <v>6</v>
      </c>
      <c r="K376">
        <v>5</v>
      </c>
      <c r="L376">
        <v>5.333333333333333</v>
      </c>
      <c r="M376">
        <v>4.8</v>
      </c>
      <c r="N376">
        <v>5</v>
      </c>
      <c r="O376">
        <v>5</v>
      </c>
      <c r="P376">
        <v>4.666666666666667</v>
      </c>
      <c r="Q376">
        <v>2.5</v>
      </c>
      <c r="R376">
        <v>0</v>
      </c>
      <c r="S376">
        <v>0</v>
      </c>
      <c r="T376">
        <v>2</v>
      </c>
      <c r="U376">
        <v>4</v>
      </c>
      <c r="V376">
        <v>3.666666666666667</v>
      </c>
      <c r="W376">
        <v>3</v>
      </c>
      <c r="X376">
        <v>3.1111111111111112</v>
      </c>
      <c r="Y376">
        <v>3.2</v>
      </c>
      <c r="Z376">
        <v>1.5</v>
      </c>
      <c r="AA376">
        <v>0</v>
      </c>
      <c r="AB376">
        <v>0</v>
      </c>
      <c r="AC376">
        <v>2</v>
      </c>
      <c r="AD376">
        <v>2.7272727272727271</v>
      </c>
      <c r="AE376">
        <v>3</v>
      </c>
      <c r="AF376">
        <v>2.666666666666667</v>
      </c>
      <c r="AG376">
        <v>2</v>
      </c>
      <c r="AH376">
        <v>3</v>
      </c>
      <c r="AI376" s="1">
        <v>12</v>
      </c>
      <c r="AJ376" s="1">
        <v>1202</v>
      </c>
      <c r="AK376" s="1" t="s">
        <v>319</v>
      </c>
      <c r="AL376" t="s">
        <v>1</v>
      </c>
      <c r="AM376" t="s">
        <v>0</v>
      </c>
      <c r="AN376">
        <v>0</v>
      </c>
      <c r="AO376">
        <v>0</v>
      </c>
      <c r="AP376">
        <v>360</v>
      </c>
      <c r="AQ376">
        <v>540</v>
      </c>
      <c r="AR376">
        <v>540</v>
      </c>
      <c r="AS376">
        <v>450</v>
      </c>
      <c r="AT376">
        <v>480</v>
      </c>
      <c r="AU376">
        <v>432</v>
      </c>
      <c r="AV376">
        <v>450</v>
      </c>
      <c r="AW376">
        <v>450</v>
      </c>
      <c r="AX376">
        <v>420</v>
      </c>
      <c r="AY376">
        <v>225</v>
      </c>
      <c r="AZ376">
        <v>0</v>
      </c>
      <c r="BA376">
        <v>0</v>
      </c>
      <c r="BB376">
        <v>180</v>
      </c>
      <c r="BC376">
        <v>360</v>
      </c>
      <c r="BD376">
        <v>330</v>
      </c>
      <c r="BE376">
        <v>270</v>
      </c>
      <c r="BF376">
        <v>280</v>
      </c>
      <c r="BG376">
        <v>288</v>
      </c>
      <c r="BH376">
        <v>135</v>
      </c>
      <c r="BI376">
        <v>0</v>
      </c>
      <c r="BJ376">
        <v>0</v>
      </c>
      <c r="BK376">
        <v>180</v>
      </c>
      <c r="BL376">
        <v>245.4545454545455</v>
      </c>
      <c r="BM376">
        <v>270</v>
      </c>
      <c r="BN376">
        <v>240</v>
      </c>
      <c r="BO376">
        <v>180</v>
      </c>
      <c r="BP376">
        <v>270</v>
      </c>
      <c r="BQ376">
        <f>(I376+J376+N376+O376)/4</f>
        <v>5.5</v>
      </c>
      <c r="BR376">
        <f>(K376+L376+M376)/3</f>
        <v>5.0444444444444443</v>
      </c>
      <c r="BS376">
        <f>BQ376/BR376</f>
        <v>1.0903083700440528</v>
      </c>
      <c r="BT376">
        <f>AQ376/I376</f>
        <v>90</v>
      </c>
      <c r="BU376" t="str">
        <f>IF(OR(A376=2, A376=12), "Central", IF(A376=3, "Semi-Central", "Periférica"))</f>
        <v>Central</v>
      </c>
    </row>
    <row r="377" spans="1:73" x14ac:dyDescent="0.3">
      <c r="A377" s="1">
        <v>18</v>
      </c>
      <c r="B377" s="1">
        <v>1833</v>
      </c>
      <c r="C377" s="1" t="s">
        <v>12</v>
      </c>
      <c r="D377" t="s">
        <v>5</v>
      </c>
      <c r="E377" t="s">
        <v>0</v>
      </c>
      <c r="F377">
        <v>0</v>
      </c>
      <c r="G377">
        <v>0.44444444444444442</v>
      </c>
      <c r="H377">
        <v>7</v>
      </c>
      <c r="I377">
        <v>7.333333333333333</v>
      </c>
      <c r="J377">
        <v>5.333333333333333</v>
      </c>
      <c r="K377">
        <v>4.666666666666667</v>
      </c>
      <c r="L377">
        <v>5.333333333333333</v>
      </c>
      <c r="M377">
        <v>5.6</v>
      </c>
      <c r="N377">
        <v>5.5</v>
      </c>
      <c r="O377">
        <v>4.5</v>
      </c>
      <c r="P377">
        <v>4</v>
      </c>
      <c r="Q377">
        <v>1</v>
      </c>
      <c r="R377">
        <v>0</v>
      </c>
      <c r="S377">
        <v>0.66666666666666663</v>
      </c>
      <c r="T377">
        <v>4</v>
      </c>
      <c r="U377">
        <v>4</v>
      </c>
      <c r="V377">
        <v>4.666666666666667</v>
      </c>
      <c r="W377">
        <v>4.333333333333333</v>
      </c>
      <c r="X377">
        <v>4.2222222222222223</v>
      </c>
      <c r="Y377">
        <v>4</v>
      </c>
      <c r="Z377">
        <v>1</v>
      </c>
      <c r="AA377">
        <v>0</v>
      </c>
      <c r="AB377">
        <v>0.44444444444444442</v>
      </c>
      <c r="AC377">
        <v>3</v>
      </c>
      <c r="AD377">
        <v>4</v>
      </c>
      <c r="AE377">
        <v>4</v>
      </c>
      <c r="AF377">
        <v>3.666666666666667</v>
      </c>
      <c r="AG377">
        <v>4</v>
      </c>
      <c r="AH377">
        <v>1</v>
      </c>
      <c r="AI377" s="1">
        <v>18</v>
      </c>
      <c r="AJ377" s="1">
        <v>1833</v>
      </c>
      <c r="AK377" s="1" t="s">
        <v>12</v>
      </c>
      <c r="AL377" t="s">
        <v>5</v>
      </c>
      <c r="AM377" t="s">
        <v>0</v>
      </c>
      <c r="AN377">
        <v>0</v>
      </c>
      <c r="AO377">
        <v>40</v>
      </c>
      <c r="AP377">
        <v>630</v>
      </c>
      <c r="AQ377">
        <v>660</v>
      </c>
      <c r="AR377">
        <v>480</v>
      </c>
      <c r="AS377">
        <v>420</v>
      </c>
      <c r="AT377">
        <v>480</v>
      </c>
      <c r="AU377">
        <v>504</v>
      </c>
      <c r="AV377">
        <v>495</v>
      </c>
      <c r="AW377">
        <v>405</v>
      </c>
      <c r="AX377">
        <v>360</v>
      </c>
      <c r="AY377">
        <v>90</v>
      </c>
      <c r="AZ377">
        <v>0</v>
      </c>
      <c r="BA377">
        <v>60</v>
      </c>
      <c r="BB377">
        <v>360</v>
      </c>
      <c r="BC377">
        <v>360</v>
      </c>
      <c r="BD377">
        <v>420</v>
      </c>
      <c r="BE377">
        <v>390</v>
      </c>
      <c r="BF377">
        <v>380</v>
      </c>
      <c r="BG377">
        <v>360</v>
      </c>
      <c r="BH377">
        <v>90</v>
      </c>
      <c r="BI377">
        <v>0</v>
      </c>
      <c r="BJ377">
        <v>40</v>
      </c>
      <c r="BK377">
        <v>270</v>
      </c>
      <c r="BL377">
        <v>360</v>
      </c>
      <c r="BM377">
        <v>360</v>
      </c>
      <c r="BN377">
        <v>330</v>
      </c>
      <c r="BO377">
        <v>360</v>
      </c>
      <c r="BP377">
        <v>90</v>
      </c>
      <c r="BQ377">
        <f>(I377+J377+N377+O377)/4</f>
        <v>5.6666666666666661</v>
      </c>
      <c r="BR377">
        <f>(K377+L377+M377)/3</f>
        <v>5.2</v>
      </c>
      <c r="BS377">
        <f>BQ377/BR377</f>
        <v>1.0897435897435896</v>
      </c>
      <c r="BT377">
        <f>AQ377/I377</f>
        <v>90</v>
      </c>
      <c r="BU377" t="str">
        <f>IF(OR(A377=2, A377=12), "Central", IF(A377=3, "Semi-Central", "Periférica"))</f>
        <v>Periférica</v>
      </c>
    </row>
    <row r="378" spans="1:73" x14ac:dyDescent="0.3">
      <c r="A378" s="1">
        <v>10</v>
      </c>
      <c r="B378" s="1">
        <v>1021</v>
      </c>
      <c r="C378" s="1" t="s">
        <v>318</v>
      </c>
      <c r="D378" t="s">
        <v>1</v>
      </c>
      <c r="E378" t="s">
        <v>0</v>
      </c>
      <c r="F378">
        <v>2</v>
      </c>
      <c r="G378">
        <v>0</v>
      </c>
      <c r="H378">
        <v>5</v>
      </c>
      <c r="I378">
        <v>7.333333333333333</v>
      </c>
      <c r="J378">
        <v>8</v>
      </c>
      <c r="K378">
        <v>7.666666666666667</v>
      </c>
      <c r="L378">
        <v>6.666666666666667</v>
      </c>
      <c r="M378">
        <v>7.6</v>
      </c>
      <c r="N378">
        <v>9</v>
      </c>
      <c r="O378">
        <v>7.5</v>
      </c>
      <c r="P378">
        <v>6</v>
      </c>
      <c r="Q378">
        <v>4</v>
      </c>
      <c r="R378">
        <v>2</v>
      </c>
      <c r="S378">
        <v>0</v>
      </c>
      <c r="T378">
        <v>4</v>
      </c>
      <c r="U378">
        <v>7.2</v>
      </c>
      <c r="V378">
        <v>8</v>
      </c>
      <c r="W378">
        <v>7</v>
      </c>
      <c r="X378">
        <v>6.8888888888888893</v>
      </c>
      <c r="Y378">
        <v>5.2</v>
      </c>
      <c r="Z378">
        <v>3.5</v>
      </c>
      <c r="AA378">
        <v>2</v>
      </c>
      <c r="AB378">
        <v>0</v>
      </c>
      <c r="AC378">
        <v>4</v>
      </c>
      <c r="AD378">
        <v>5.8181818181818183</v>
      </c>
      <c r="AE378">
        <v>6</v>
      </c>
      <c r="AF378">
        <v>6.666666666666667</v>
      </c>
      <c r="AG378">
        <v>7</v>
      </c>
      <c r="AH378">
        <v>4</v>
      </c>
      <c r="AI378" s="1">
        <v>10</v>
      </c>
      <c r="AJ378" s="1">
        <v>1021</v>
      </c>
      <c r="AK378" s="1" t="s">
        <v>318</v>
      </c>
      <c r="AL378" t="s">
        <v>1</v>
      </c>
      <c r="AM378" t="s">
        <v>0</v>
      </c>
      <c r="AN378">
        <v>180</v>
      </c>
      <c r="AO378">
        <v>0</v>
      </c>
      <c r="AP378">
        <v>450</v>
      </c>
      <c r="AQ378">
        <v>660</v>
      </c>
      <c r="AR378">
        <v>720</v>
      </c>
      <c r="AS378">
        <v>690</v>
      </c>
      <c r="AT378">
        <v>600</v>
      </c>
      <c r="AU378">
        <v>684</v>
      </c>
      <c r="AV378">
        <v>810</v>
      </c>
      <c r="AW378">
        <v>675</v>
      </c>
      <c r="AX378">
        <v>540</v>
      </c>
      <c r="AY378">
        <v>360</v>
      </c>
      <c r="AZ378">
        <v>180</v>
      </c>
      <c r="BA378">
        <v>0</v>
      </c>
      <c r="BB378">
        <v>360</v>
      </c>
      <c r="BC378">
        <v>648</v>
      </c>
      <c r="BD378">
        <v>720</v>
      </c>
      <c r="BE378">
        <v>630</v>
      </c>
      <c r="BF378">
        <v>620</v>
      </c>
      <c r="BG378">
        <v>468</v>
      </c>
      <c r="BH378">
        <v>315</v>
      </c>
      <c r="BI378">
        <v>180</v>
      </c>
      <c r="BJ378">
        <v>0</v>
      </c>
      <c r="BK378">
        <v>360</v>
      </c>
      <c r="BL378">
        <v>523.63636363636363</v>
      </c>
      <c r="BM378">
        <v>540</v>
      </c>
      <c r="BN378">
        <v>600</v>
      </c>
      <c r="BO378">
        <v>630</v>
      </c>
      <c r="BP378">
        <v>360</v>
      </c>
      <c r="BQ378">
        <f>(I378+J378+N378+O378)/4</f>
        <v>7.958333333333333</v>
      </c>
      <c r="BR378">
        <f>(K378+L378+M378)/3</f>
        <v>7.3111111111111109</v>
      </c>
      <c r="BS378">
        <f>BQ378/BR378</f>
        <v>1.0885258358662613</v>
      </c>
      <c r="BT378">
        <f>AQ378/I378</f>
        <v>90</v>
      </c>
      <c r="BU378" t="str">
        <f>IF(OR(A378=2, A378=12), "Central", IF(A378=3, "Semi-Central", "Periférica"))</f>
        <v>Periférica</v>
      </c>
    </row>
    <row r="379" spans="1:73" x14ac:dyDescent="0.3">
      <c r="A379" s="1">
        <v>4</v>
      </c>
      <c r="B379" s="1">
        <v>438</v>
      </c>
      <c r="C379" s="1" t="s">
        <v>203</v>
      </c>
      <c r="D379" t="s">
        <v>5</v>
      </c>
      <c r="F379">
        <v>0</v>
      </c>
      <c r="G379">
        <v>0.44444444444444442</v>
      </c>
      <c r="H379">
        <v>5</v>
      </c>
      <c r="I379">
        <v>6.666666666666667</v>
      </c>
      <c r="J379">
        <v>6</v>
      </c>
      <c r="K379">
        <v>5</v>
      </c>
      <c r="L379">
        <v>6</v>
      </c>
      <c r="M379">
        <v>6</v>
      </c>
      <c r="N379">
        <v>6</v>
      </c>
      <c r="O379">
        <v>6</v>
      </c>
      <c r="P379">
        <v>4.666666666666667</v>
      </c>
      <c r="Q379">
        <v>3.5</v>
      </c>
      <c r="R379">
        <v>0</v>
      </c>
      <c r="S379">
        <v>0</v>
      </c>
      <c r="T379">
        <v>3</v>
      </c>
      <c r="U379">
        <v>4.8</v>
      </c>
      <c r="V379">
        <v>5</v>
      </c>
      <c r="W379">
        <v>4.333333333333333</v>
      </c>
      <c r="X379">
        <v>4</v>
      </c>
      <c r="Y379">
        <v>3.2</v>
      </c>
      <c r="Z379">
        <v>2.5</v>
      </c>
      <c r="AA379">
        <v>0</v>
      </c>
      <c r="AB379">
        <v>0</v>
      </c>
      <c r="AC379">
        <v>3</v>
      </c>
      <c r="AD379">
        <v>4</v>
      </c>
      <c r="AE379">
        <v>3.6</v>
      </c>
      <c r="AF379">
        <v>3</v>
      </c>
      <c r="AG379">
        <v>3</v>
      </c>
      <c r="AH379">
        <v>2.5</v>
      </c>
      <c r="AI379" s="1">
        <v>4</v>
      </c>
      <c r="AJ379" s="1">
        <v>438</v>
      </c>
      <c r="AK379" s="1" t="s">
        <v>203</v>
      </c>
      <c r="AL379" t="s">
        <v>5</v>
      </c>
      <c r="AN379">
        <v>0</v>
      </c>
      <c r="AO379">
        <v>40.444444444444443</v>
      </c>
      <c r="AP379">
        <v>455</v>
      </c>
      <c r="AQ379">
        <v>606.66666666666663</v>
      </c>
      <c r="AR379">
        <v>546</v>
      </c>
      <c r="AS379">
        <v>455</v>
      </c>
      <c r="AT379">
        <v>546</v>
      </c>
      <c r="AU379">
        <v>546</v>
      </c>
      <c r="AV379">
        <v>546</v>
      </c>
      <c r="AW379">
        <v>546</v>
      </c>
      <c r="AX379">
        <v>424.66666666666669</v>
      </c>
      <c r="AY379">
        <v>318.5</v>
      </c>
      <c r="AZ379">
        <v>0</v>
      </c>
      <c r="BA379">
        <v>0</v>
      </c>
      <c r="BB379">
        <v>273</v>
      </c>
      <c r="BC379">
        <v>436.8</v>
      </c>
      <c r="BD379">
        <v>455</v>
      </c>
      <c r="BE379">
        <v>394.33333333333331</v>
      </c>
      <c r="BF379">
        <v>364</v>
      </c>
      <c r="BG379">
        <v>291.2</v>
      </c>
      <c r="BH379">
        <v>227.5</v>
      </c>
      <c r="BI379">
        <v>0</v>
      </c>
      <c r="BJ379">
        <v>0</v>
      </c>
      <c r="BK379">
        <v>273</v>
      </c>
      <c r="BL379">
        <v>364</v>
      </c>
      <c r="BM379">
        <v>327.60000000000002</v>
      </c>
      <c r="BN379">
        <v>273</v>
      </c>
      <c r="BO379">
        <v>273</v>
      </c>
      <c r="BP379">
        <v>227.5</v>
      </c>
      <c r="BQ379">
        <f>(I379+J379+N379+O379)/4</f>
        <v>6.166666666666667</v>
      </c>
      <c r="BR379">
        <f>(K379+L379+M379)/3</f>
        <v>5.666666666666667</v>
      </c>
      <c r="BS379">
        <f>BQ379/BR379</f>
        <v>1.088235294117647</v>
      </c>
      <c r="BT379">
        <f>AQ379/I379</f>
        <v>90.999999999999986</v>
      </c>
      <c r="BU379" t="str">
        <f>IF(OR(A379=2, A379=12), "Central", IF(A379=3, "Semi-Central", "Periférica"))</f>
        <v>Periférica</v>
      </c>
    </row>
    <row r="380" spans="1:73" x14ac:dyDescent="0.3">
      <c r="A380" s="1">
        <v>16</v>
      </c>
      <c r="B380" s="1">
        <v>1645</v>
      </c>
      <c r="C380" s="1">
        <v>225</v>
      </c>
      <c r="D380" t="s">
        <v>1</v>
      </c>
      <c r="E380" t="s">
        <v>0</v>
      </c>
      <c r="F380">
        <v>0</v>
      </c>
      <c r="G380">
        <v>0</v>
      </c>
      <c r="H380">
        <v>7</v>
      </c>
      <c r="I380">
        <v>6.666666666666667</v>
      </c>
      <c r="J380">
        <v>6</v>
      </c>
      <c r="K380">
        <v>5.666666666666667</v>
      </c>
      <c r="L380">
        <v>5.333333333333333</v>
      </c>
      <c r="M380">
        <v>6</v>
      </c>
      <c r="N380">
        <v>6</v>
      </c>
      <c r="O380">
        <v>6</v>
      </c>
      <c r="P380">
        <v>5.333333333333333</v>
      </c>
      <c r="Q380">
        <v>3.5</v>
      </c>
      <c r="R380">
        <v>0</v>
      </c>
      <c r="S380">
        <v>0</v>
      </c>
      <c r="T380">
        <v>5</v>
      </c>
      <c r="U380">
        <v>5.2</v>
      </c>
      <c r="V380">
        <v>4.333333333333333</v>
      </c>
      <c r="W380">
        <v>4.333333333333333</v>
      </c>
      <c r="X380">
        <v>4.4444444444444446</v>
      </c>
      <c r="Y380">
        <v>4.8</v>
      </c>
      <c r="Z380">
        <v>3.5</v>
      </c>
      <c r="AA380">
        <v>0</v>
      </c>
      <c r="AB380">
        <v>0</v>
      </c>
      <c r="AC380">
        <v>4</v>
      </c>
      <c r="AD380">
        <v>4</v>
      </c>
      <c r="AE380">
        <v>4</v>
      </c>
      <c r="AF380">
        <v>4</v>
      </c>
      <c r="AG380">
        <v>4</v>
      </c>
      <c r="AH380">
        <v>3</v>
      </c>
      <c r="AI380" s="1">
        <v>16</v>
      </c>
      <c r="AJ380" s="1">
        <v>1645</v>
      </c>
      <c r="AK380" s="1">
        <v>225</v>
      </c>
      <c r="AL380" t="s">
        <v>1</v>
      </c>
      <c r="AM380" t="s">
        <v>0</v>
      </c>
      <c r="AN380">
        <v>0</v>
      </c>
      <c r="AO380">
        <v>0</v>
      </c>
      <c r="AP380">
        <v>630</v>
      </c>
      <c r="AQ380">
        <v>600</v>
      </c>
      <c r="AR380">
        <v>540</v>
      </c>
      <c r="AS380">
        <v>510</v>
      </c>
      <c r="AT380">
        <v>480</v>
      </c>
      <c r="AU380">
        <v>540</v>
      </c>
      <c r="AV380">
        <v>540</v>
      </c>
      <c r="AW380">
        <v>540</v>
      </c>
      <c r="AX380">
        <v>480</v>
      </c>
      <c r="AY380">
        <v>315</v>
      </c>
      <c r="AZ380">
        <v>0</v>
      </c>
      <c r="BA380">
        <v>0</v>
      </c>
      <c r="BB380">
        <v>450</v>
      </c>
      <c r="BC380">
        <v>468</v>
      </c>
      <c r="BD380">
        <v>390</v>
      </c>
      <c r="BE380">
        <v>390</v>
      </c>
      <c r="BF380">
        <v>400</v>
      </c>
      <c r="BG380">
        <v>432</v>
      </c>
      <c r="BH380">
        <v>315</v>
      </c>
      <c r="BI380">
        <v>0</v>
      </c>
      <c r="BJ380">
        <v>0</v>
      </c>
      <c r="BK380">
        <v>360</v>
      </c>
      <c r="BL380">
        <v>360</v>
      </c>
      <c r="BM380">
        <v>360</v>
      </c>
      <c r="BN380">
        <v>360</v>
      </c>
      <c r="BO380">
        <v>360</v>
      </c>
      <c r="BP380">
        <v>270</v>
      </c>
      <c r="BQ380">
        <f>(I380+J380+N380+O380)/4</f>
        <v>6.166666666666667</v>
      </c>
      <c r="BR380">
        <f>(K380+L380+M380)/3</f>
        <v>5.666666666666667</v>
      </c>
      <c r="BS380">
        <f>BQ380/BR380</f>
        <v>1.088235294117647</v>
      </c>
      <c r="BT380">
        <f>AQ380/I380</f>
        <v>90</v>
      </c>
      <c r="BU380" t="str">
        <f>IF(OR(A380=2, A380=12), "Central", IF(A380=3, "Semi-Central", "Periférica"))</f>
        <v>Periférica</v>
      </c>
    </row>
    <row r="381" spans="1:73" x14ac:dyDescent="0.3">
      <c r="A381" s="1">
        <v>2</v>
      </c>
      <c r="B381" s="1" t="s">
        <v>317</v>
      </c>
      <c r="C381" s="1" t="s">
        <v>316</v>
      </c>
      <c r="D381" t="s">
        <v>1</v>
      </c>
      <c r="E381" t="s">
        <v>0</v>
      </c>
      <c r="F381">
        <v>0</v>
      </c>
      <c r="G381">
        <v>0</v>
      </c>
      <c r="H381">
        <v>6</v>
      </c>
      <c r="I381">
        <v>6.666666666666667</v>
      </c>
      <c r="J381">
        <v>6</v>
      </c>
      <c r="K381">
        <v>5</v>
      </c>
      <c r="L381">
        <v>5.333333333333333</v>
      </c>
      <c r="M381">
        <v>6</v>
      </c>
      <c r="N381">
        <v>5</v>
      </c>
      <c r="O381">
        <v>6</v>
      </c>
      <c r="P381">
        <v>6</v>
      </c>
      <c r="Q381">
        <v>4.5</v>
      </c>
      <c r="R381">
        <v>0</v>
      </c>
      <c r="S381">
        <v>0</v>
      </c>
      <c r="T381">
        <v>4</v>
      </c>
      <c r="U381">
        <v>4.8</v>
      </c>
      <c r="V381">
        <v>5.333333333333333</v>
      </c>
      <c r="W381">
        <v>4.666666666666667</v>
      </c>
      <c r="X381">
        <v>4.8888888888888893</v>
      </c>
      <c r="Y381">
        <v>4</v>
      </c>
      <c r="Z381">
        <v>3.5</v>
      </c>
      <c r="AA381">
        <v>0</v>
      </c>
      <c r="AB381">
        <v>0</v>
      </c>
      <c r="AC381">
        <v>4</v>
      </c>
      <c r="AD381">
        <v>4.7272727272727275</v>
      </c>
      <c r="AE381">
        <v>4.8</v>
      </c>
      <c r="AF381">
        <v>4.666666666666667</v>
      </c>
      <c r="AG381">
        <v>5</v>
      </c>
      <c r="AH381">
        <v>3.5</v>
      </c>
      <c r="AI381" s="1">
        <v>2</v>
      </c>
      <c r="AJ381" s="1" t="s">
        <v>317</v>
      </c>
      <c r="AK381" s="1" t="s">
        <v>316</v>
      </c>
      <c r="AL381" t="s">
        <v>1</v>
      </c>
      <c r="AM381" t="s">
        <v>0</v>
      </c>
      <c r="AN381">
        <v>0</v>
      </c>
      <c r="AO381">
        <v>0</v>
      </c>
      <c r="AP381">
        <v>300</v>
      </c>
      <c r="AQ381">
        <v>333.33333333333331</v>
      </c>
      <c r="AR381">
        <v>300</v>
      </c>
      <c r="AS381">
        <v>250</v>
      </c>
      <c r="AT381">
        <v>266.66666666666669</v>
      </c>
      <c r="AU381">
        <v>300</v>
      </c>
      <c r="AV381">
        <v>250</v>
      </c>
      <c r="AW381">
        <v>300</v>
      </c>
      <c r="AX381">
        <v>300</v>
      </c>
      <c r="AY381">
        <v>225</v>
      </c>
      <c r="AZ381">
        <v>0</v>
      </c>
      <c r="BA381">
        <v>0</v>
      </c>
      <c r="BB381">
        <v>200</v>
      </c>
      <c r="BC381">
        <v>240</v>
      </c>
      <c r="BD381">
        <v>266.66666666666669</v>
      </c>
      <c r="BE381">
        <v>233.33333333333334</v>
      </c>
      <c r="BF381">
        <v>244.44444444444446</v>
      </c>
      <c r="BG381">
        <v>200</v>
      </c>
      <c r="BH381">
        <v>175</v>
      </c>
      <c r="BI381">
        <v>0</v>
      </c>
      <c r="BJ381">
        <v>0</v>
      </c>
      <c r="BK381">
        <v>200</v>
      </c>
      <c r="BL381">
        <v>236.36363636363637</v>
      </c>
      <c r="BM381">
        <v>240</v>
      </c>
      <c r="BN381">
        <v>233.33333333333334</v>
      </c>
      <c r="BO381">
        <v>250</v>
      </c>
      <c r="BP381">
        <v>175</v>
      </c>
      <c r="BQ381">
        <f>(I381+J381+N381+O381)/4</f>
        <v>5.916666666666667</v>
      </c>
      <c r="BR381">
        <f>(K381+L381+M381)/3</f>
        <v>5.4444444444444438</v>
      </c>
      <c r="BS381">
        <f>BQ381/BR381</f>
        <v>1.0867346938775513</v>
      </c>
      <c r="BT381">
        <f>AQ381/I381</f>
        <v>49.999999999999993</v>
      </c>
      <c r="BU381" t="str">
        <f>IF(OR(A381=2, A381=12), "Central", IF(A381=3, "Semi-Central", "Periférica"))</f>
        <v>Central</v>
      </c>
    </row>
    <row r="382" spans="1:73" x14ac:dyDescent="0.3">
      <c r="A382" s="1">
        <v>3</v>
      </c>
      <c r="B382" s="1">
        <v>369</v>
      </c>
      <c r="C382" s="1" t="s">
        <v>315</v>
      </c>
      <c r="D382" t="s">
        <v>5</v>
      </c>
      <c r="E382" t="s">
        <v>0</v>
      </c>
      <c r="F382">
        <v>0</v>
      </c>
      <c r="G382">
        <v>0</v>
      </c>
      <c r="H382">
        <v>4</v>
      </c>
      <c r="I382">
        <v>7.333333333333333</v>
      </c>
      <c r="J382">
        <v>4</v>
      </c>
      <c r="K382">
        <v>5</v>
      </c>
      <c r="L382">
        <v>5.333333333333333</v>
      </c>
      <c r="M382">
        <v>4.4000000000000004</v>
      </c>
      <c r="N382">
        <v>5</v>
      </c>
      <c r="O382">
        <v>5</v>
      </c>
      <c r="P382">
        <v>4.666666666666667</v>
      </c>
      <c r="Q382">
        <v>2.5</v>
      </c>
      <c r="R382">
        <v>0</v>
      </c>
      <c r="S382">
        <v>0</v>
      </c>
      <c r="T382">
        <v>3</v>
      </c>
      <c r="U382">
        <v>4</v>
      </c>
      <c r="V382">
        <v>4</v>
      </c>
      <c r="W382">
        <v>4</v>
      </c>
      <c r="X382">
        <v>4</v>
      </c>
      <c r="Y382">
        <v>2.8</v>
      </c>
      <c r="Z382">
        <v>2</v>
      </c>
      <c r="AA382">
        <v>0</v>
      </c>
      <c r="AB382">
        <v>0</v>
      </c>
      <c r="AC382">
        <v>3</v>
      </c>
      <c r="AD382">
        <v>3.0909090909090908</v>
      </c>
      <c r="AE382">
        <v>3</v>
      </c>
      <c r="AF382">
        <v>3</v>
      </c>
      <c r="AG382">
        <v>3</v>
      </c>
      <c r="AH382">
        <v>2</v>
      </c>
      <c r="AI382" s="1">
        <v>3</v>
      </c>
      <c r="AJ382" s="1">
        <v>369</v>
      </c>
      <c r="AK382" s="1" t="s">
        <v>315</v>
      </c>
      <c r="AL382" t="s">
        <v>5</v>
      </c>
      <c r="AM382" t="s">
        <v>0</v>
      </c>
      <c r="AN382">
        <v>0</v>
      </c>
      <c r="AO382">
        <v>0</v>
      </c>
      <c r="AP382">
        <v>392</v>
      </c>
      <c r="AQ382">
        <v>718.66666666666663</v>
      </c>
      <c r="AR382">
        <v>392</v>
      </c>
      <c r="AS382">
        <v>490</v>
      </c>
      <c r="AT382">
        <v>522.66666666666663</v>
      </c>
      <c r="AU382">
        <v>431.2</v>
      </c>
      <c r="AV382">
        <v>490</v>
      </c>
      <c r="AW382">
        <v>490</v>
      </c>
      <c r="AX382">
        <v>457.33333333333331</v>
      </c>
      <c r="AY382">
        <v>245</v>
      </c>
      <c r="AZ382">
        <v>0</v>
      </c>
      <c r="BA382">
        <v>0</v>
      </c>
      <c r="BB382">
        <v>294</v>
      </c>
      <c r="BC382">
        <v>392</v>
      </c>
      <c r="BD382">
        <v>392</v>
      </c>
      <c r="BE382">
        <v>392</v>
      </c>
      <c r="BF382">
        <v>392</v>
      </c>
      <c r="BG382">
        <v>274.39999999999998</v>
      </c>
      <c r="BH382">
        <v>196</v>
      </c>
      <c r="BI382">
        <v>0</v>
      </c>
      <c r="BJ382">
        <v>0</v>
      </c>
      <c r="BK382">
        <v>294</v>
      </c>
      <c r="BL382">
        <v>302.90909090909093</v>
      </c>
      <c r="BM382">
        <v>294</v>
      </c>
      <c r="BN382">
        <v>294</v>
      </c>
      <c r="BO382">
        <v>294</v>
      </c>
      <c r="BP382">
        <v>196</v>
      </c>
      <c r="BQ382">
        <f>(I382+J382+N382+O382)/4</f>
        <v>5.333333333333333</v>
      </c>
      <c r="BR382">
        <f>(K382+L382+M382)/3</f>
        <v>4.9111111111111105</v>
      </c>
      <c r="BS382">
        <f>BQ382/BR382</f>
        <v>1.0859728506787332</v>
      </c>
      <c r="BT382">
        <f>AQ382/I382</f>
        <v>98</v>
      </c>
      <c r="BU382" t="str">
        <f>IF(OR(A382=2, A382=12), "Central", IF(A382=3, "Semi-Central", "Periférica"))</f>
        <v>Semi-Central</v>
      </c>
    </row>
    <row r="383" spans="1:73" x14ac:dyDescent="0.3">
      <c r="A383" s="1">
        <v>3</v>
      </c>
      <c r="B383" s="1">
        <v>329</v>
      </c>
      <c r="C383" s="1">
        <v>329</v>
      </c>
      <c r="D383" t="s">
        <v>5</v>
      </c>
      <c r="E383" t="s">
        <v>0</v>
      </c>
      <c r="F383">
        <v>0</v>
      </c>
      <c r="G383">
        <v>0</v>
      </c>
      <c r="H383">
        <v>6</v>
      </c>
      <c r="I383">
        <v>7.333333333333333</v>
      </c>
      <c r="J383">
        <v>4.666666666666667</v>
      </c>
      <c r="K383">
        <v>5</v>
      </c>
      <c r="L383">
        <v>4.666666666666667</v>
      </c>
      <c r="M383">
        <v>5.2</v>
      </c>
      <c r="N383">
        <v>5</v>
      </c>
      <c r="O383">
        <v>4.5</v>
      </c>
      <c r="P383">
        <v>4.666666666666667</v>
      </c>
      <c r="Q383">
        <v>2</v>
      </c>
      <c r="R383">
        <v>0</v>
      </c>
      <c r="S383">
        <v>0</v>
      </c>
      <c r="T383">
        <v>3</v>
      </c>
      <c r="U383">
        <v>4.4000000000000004</v>
      </c>
      <c r="V383">
        <v>4.333333333333333</v>
      </c>
      <c r="W383">
        <v>4.333333333333333</v>
      </c>
      <c r="X383">
        <v>4.2222222222222223</v>
      </c>
      <c r="Y383">
        <v>3.6</v>
      </c>
      <c r="Z383">
        <v>1.5</v>
      </c>
      <c r="AA383">
        <v>0</v>
      </c>
      <c r="AB383">
        <v>0</v>
      </c>
      <c r="AC383">
        <v>4</v>
      </c>
      <c r="AD383">
        <v>4</v>
      </c>
      <c r="AE383">
        <v>4</v>
      </c>
      <c r="AF383">
        <v>4</v>
      </c>
      <c r="AG383">
        <v>3</v>
      </c>
      <c r="AH383">
        <v>1.5</v>
      </c>
      <c r="AI383" s="1">
        <v>3</v>
      </c>
      <c r="AJ383" s="1">
        <v>329</v>
      </c>
      <c r="AK383" s="1">
        <v>329</v>
      </c>
      <c r="AL383" t="s">
        <v>5</v>
      </c>
      <c r="AM383" t="s">
        <v>0</v>
      </c>
      <c r="AN383">
        <v>0</v>
      </c>
      <c r="AO383">
        <v>0</v>
      </c>
      <c r="AP383">
        <v>276</v>
      </c>
      <c r="AQ383">
        <v>337.33333333333331</v>
      </c>
      <c r="AR383">
        <v>214.66666666666666</v>
      </c>
      <c r="AS383">
        <v>230</v>
      </c>
      <c r="AT383">
        <v>214.66666666666666</v>
      </c>
      <c r="AU383">
        <v>239.2</v>
      </c>
      <c r="AV383">
        <v>230</v>
      </c>
      <c r="AW383">
        <v>207</v>
      </c>
      <c r="AX383">
        <v>214.66666666666666</v>
      </c>
      <c r="AY383">
        <v>92</v>
      </c>
      <c r="AZ383">
        <v>0</v>
      </c>
      <c r="BA383">
        <v>0</v>
      </c>
      <c r="BB383">
        <v>138</v>
      </c>
      <c r="BC383">
        <v>202.4</v>
      </c>
      <c r="BD383">
        <v>199.33333333333334</v>
      </c>
      <c r="BE383">
        <v>199.33333333333334</v>
      </c>
      <c r="BF383">
        <v>194.22222222222223</v>
      </c>
      <c r="BG383">
        <v>165.6</v>
      </c>
      <c r="BH383">
        <v>69</v>
      </c>
      <c r="BI383">
        <v>0</v>
      </c>
      <c r="BJ383">
        <v>0</v>
      </c>
      <c r="BK383">
        <v>184</v>
      </c>
      <c r="BL383">
        <v>184</v>
      </c>
      <c r="BM383">
        <v>184</v>
      </c>
      <c r="BN383">
        <v>184</v>
      </c>
      <c r="BO383">
        <v>138</v>
      </c>
      <c r="BP383">
        <v>69</v>
      </c>
      <c r="BQ383">
        <f>(I383+J383+N383+O383)/4</f>
        <v>5.375</v>
      </c>
      <c r="BR383">
        <f>(K383+L383+M383)/3</f>
        <v>4.9555555555555557</v>
      </c>
      <c r="BS383">
        <f>BQ383/BR383</f>
        <v>1.084641255605381</v>
      </c>
      <c r="BT383">
        <f>AQ383/I383</f>
        <v>46</v>
      </c>
      <c r="BU383" t="str">
        <f>IF(OR(A383=2, A383=12), "Central", IF(A383=3, "Semi-Central", "Periférica"))</f>
        <v>Semi-Central</v>
      </c>
    </row>
    <row r="384" spans="1:73" x14ac:dyDescent="0.3">
      <c r="A384" s="1">
        <v>3</v>
      </c>
      <c r="B384" s="1">
        <v>375</v>
      </c>
      <c r="C384" s="1" t="s">
        <v>314</v>
      </c>
      <c r="D384" t="s">
        <v>5</v>
      </c>
      <c r="E384" t="s">
        <v>0</v>
      </c>
      <c r="F384">
        <v>0</v>
      </c>
      <c r="G384">
        <v>0.44444444444444442</v>
      </c>
      <c r="H384">
        <v>5</v>
      </c>
      <c r="I384">
        <v>5.333333333333333</v>
      </c>
      <c r="J384">
        <v>4</v>
      </c>
      <c r="K384">
        <v>4</v>
      </c>
      <c r="L384">
        <v>4</v>
      </c>
      <c r="M384">
        <v>4</v>
      </c>
      <c r="N384">
        <v>4</v>
      </c>
      <c r="O384">
        <v>4</v>
      </c>
      <c r="P384">
        <v>4</v>
      </c>
      <c r="Q384">
        <v>2</v>
      </c>
      <c r="R384">
        <v>0</v>
      </c>
      <c r="S384">
        <v>0.44444444444444442</v>
      </c>
      <c r="T384">
        <v>3</v>
      </c>
      <c r="U384">
        <v>4.4000000000000004</v>
      </c>
      <c r="V384">
        <v>4</v>
      </c>
      <c r="W384">
        <v>4</v>
      </c>
      <c r="X384">
        <v>4</v>
      </c>
      <c r="Y384">
        <v>3.2</v>
      </c>
      <c r="Z384">
        <v>1.5</v>
      </c>
      <c r="AA384">
        <v>0</v>
      </c>
      <c r="AB384">
        <v>0.22222222222222221</v>
      </c>
      <c r="AC384">
        <v>3</v>
      </c>
      <c r="AD384">
        <v>4</v>
      </c>
      <c r="AE384">
        <v>4</v>
      </c>
      <c r="AF384">
        <v>4</v>
      </c>
      <c r="AG384">
        <v>3</v>
      </c>
      <c r="AH384">
        <v>1.5</v>
      </c>
      <c r="AI384" s="1">
        <v>3</v>
      </c>
      <c r="AJ384" s="1">
        <v>375</v>
      </c>
      <c r="AK384" s="1" t="s">
        <v>314</v>
      </c>
      <c r="AL384" t="s">
        <v>5</v>
      </c>
      <c r="AM384" t="s">
        <v>0</v>
      </c>
      <c r="AN384">
        <v>0</v>
      </c>
      <c r="AO384">
        <v>23.555555555555557</v>
      </c>
      <c r="AP384">
        <v>465</v>
      </c>
      <c r="AQ384">
        <v>496</v>
      </c>
      <c r="AR384">
        <v>372</v>
      </c>
      <c r="AS384">
        <v>372</v>
      </c>
      <c r="AT384">
        <v>372</v>
      </c>
      <c r="AU384">
        <v>372</v>
      </c>
      <c r="AV384">
        <v>372</v>
      </c>
      <c r="AW384">
        <v>372</v>
      </c>
      <c r="AX384">
        <v>372</v>
      </c>
      <c r="AY384">
        <v>186</v>
      </c>
      <c r="AZ384">
        <v>0</v>
      </c>
      <c r="BA384">
        <v>40</v>
      </c>
      <c r="BB384">
        <v>270</v>
      </c>
      <c r="BC384">
        <v>396</v>
      </c>
      <c r="BD384">
        <v>360</v>
      </c>
      <c r="BE384">
        <v>360</v>
      </c>
      <c r="BF384">
        <v>360</v>
      </c>
      <c r="BG384">
        <v>288</v>
      </c>
      <c r="BH384">
        <v>135</v>
      </c>
      <c r="BI384">
        <v>0</v>
      </c>
      <c r="BJ384">
        <v>20</v>
      </c>
      <c r="BK384">
        <v>270</v>
      </c>
      <c r="BL384">
        <v>360</v>
      </c>
      <c r="BM384">
        <v>360</v>
      </c>
      <c r="BN384">
        <v>360</v>
      </c>
      <c r="BO384">
        <v>270</v>
      </c>
      <c r="BP384">
        <v>135</v>
      </c>
      <c r="BQ384">
        <f>(I384+J384+N384+O384)/4</f>
        <v>4.333333333333333</v>
      </c>
      <c r="BR384">
        <f>(K384+L384+M384)/3</f>
        <v>4</v>
      </c>
      <c r="BS384">
        <f>BQ384/BR384</f>
        <v>1.0833333333333333</v>
      </c>
      <c r="BT384">
        <f>AQ384/I384</f>
        <v>93</v>
      </c>
      <c r="BU384" t="str">
        <f>IF(OR(A384=2, A384=12), "Central", IF(A384=3, "Semi-Central", "Periférica"))</f>
        <v>Semi-Central</v>
      </c>
    </row>
    <row r="385" spans="1:73" x14ac:dyDescent="0.3">
      <c r="A385" s="1">
        <v>12</v>
      </c>
      <c r="B385" s="1" t="s">
        <v>313</v>
      </c>
      <c r="C385" s="1" t="s">
        <v>312</v>
      </c>
      <c r="D385" t="s">
        <v>1</v>
      </c>
      <c r="E385" t="s">
        <v>0</v>
      </c>
      <c r="F385">
        <v>0</v>
      </c>
      <c r="G385">
        <v>0</v>
      </c>
      <c r="H385">
        <v>0</v>
      </c>
      <c r="I385">
        <v>10</v>
      </c>
      <c r="J385">
        <v>8.6666666666666661</v>
      </c>
      <c r="K385">
        <v>8</v>
      </c>
      <c r="L385">
        <v>8</v>
      </c>
      <c r="M385">
        <v>8</v>
      </c>
      <c r="N385">
        <v>8.5</v>
      </c>
      <c r="O385">
        <v>7.5</v>
      </c>
      <c r="P385">
        <v>7.333333333333333</v>
      </c>
      <c r="Q385">
        <v>3.5</v>
      </c>
      <c r="R385">
        <v>0</v>
      </c>
      <c r="S385">
        <v>0</v>
      </c>
      <c r="T385">
        <v>2</v>
      </c>
      <c r="U385">
        <v>6</v>
      </c>
      <c r="V385">
        <v>7</v>
      </c>
      <c r="W385">
        <v>7</v>
      </c>
      <c r="X385">
        <v>5.7777777777777777</v>
      </c>
      <c r="Y385">
        <v>5.2</v>
      </c>
      <c r="Z385">
        <v>3.5</v>
      </c>
      <c r="AA385">
        <v>0</v>
      </c>
      <c r="AB385">
        <v>0</v>
      </c>
      <c r="AC385">
        <v>3.5</v>
      </c>
      <c r="AD385">
        <v>5.8181818181818183</v>
      </c>
      <c r="AE385">
        <v>6</v>
      </c>
      <c r="AF385">
        <v>5.666666666666667</v>
      </c>
      <c r="AG385">
        <v>3</v>
      </c>
      <c r="AH385">
        <v>4</v>
      </c>
      <c r="AI385" s="1">
        <v>12</v>
      </c>
      <c r="AJ385" s="1" t="s">
        <v>313</v>
      </c>
      <c r="AK385" s="1" t="s">
        <v>312</v>
      </c>
      <c r="AL385" t="s">
        <v>1</v>
      </c>
      <c r="AM385" t="s">
        <v>0</v>
      </c>
      <c r="AN385">
        <v>0</v>
      </c>
      <c r="AO385">
        <v>0</v>
      </c>
      <c r="AP385">
        <v>0</v>
      </c>
      <c r="AQ385">
        <v>900</v>
      </c>
      <c r="AR385">
        <v>780</v>
      </c>
      <c r="AS385">
        <v>720</v>
      </c>
      <c r="AT385">
        <v>720</v>
      </c>
      <c r="AU385">
        <v>720</v>
      </c>
      <c r="AV385">
        <v>765</v>
      </c>
      <c r="AW385">
        <v>675</v>
      </c>
      <c r="AX385">
        <v>660</v>
      </c>
      <c r="AY385">
        <v>315</v>
      </c>
      <c r="AZ385">
        <v>0</v>
      </c>
      <c r="BA385">
        <v>0</v>
      </c>
      <c r="BB385">
        <v>180</v>
      </c>
      <c r="BC385">
        <v>540</v>
      </c>
      <c r="BD385">
        <v>630</v>
      </c>
      <c r="BE385">
        <v>630</v>
      </c>
      <c r="BF385">
        <v>520</v>
      </c>
      <c r="BG385">
        <v>468</v>
      </c>
      <c r="BH385">
        <v>315</v>
      </c>
      <c r="BI385">
        <v>0</v>
      </c>
      <c r="BJ385">
        <v>0</v>
      </c>
      <c r="BK385">
        <v>315</v>
      </c>
      <c r="BL385">
        <v>523.63636363636363</v>
      </c>
      <c r="BM385">
        <v>540</v>
      </c>
      <c r="BN385">
        <v>510</v>
      </c>
      <c r="BO385">
        <v>270</v>
      </c>
      <c r="BP385">
        <v>360</v>
      </c>
      <c r="BQ385">
        <f>(I385+J385+N385+O385)/4</f>
        <v>8.6666666666666661</v>
      </c>
      <c r="BR385">
        <f>(K385+L385+M385)/3</f>
        <v>8</v>
      </c>
      <c r="BS385">
        <f>BQ385/BR385</f>
        <v>1.0833333333333333</v>
      </c>
      <c r="BT385">
        <f>AQ385/I385</f>
        <v>90</v>
      </c>
      <c r="BU385" t="str">
        <f>IF(OR(A385=2, A385=12), "Central", IF(A385=3, "Semi-Central", "Periférica"))</f>
        <v>Central</v>
      </c>
    </row>
    <row r="386" spans="1:73" x14ac:dyDescent="0.3">
      <c r="A386" s="1">
        <v>14</v>
      </c>
      <c r="B386" s="1">
        <v>1420</v>
      </c>
      <c r="C386" s="1">
        <v>320</v>
      </c>
      <c r="D386" t="s">
        <v>5</v>
      </c>
      <c r="F386">
        <v>0</v>
      </c>
      <c r="G386">
        <v>0</v>
      </c>
      <c r="H386">
        <v>3</v>
      </c>
      <c r="I386">
        <v>5.333333333333333</v>
      </c>
      <c r="J386">
        <v>4</v>
      </c>
      <c r="K386">
        <v>4</v>
      </c>
      <c r="L386">
        <v>4</v>
      </c>
      <c r="M386">
        <v>4</v>
      </c>
      <c r="N386">
        <v>4</v>
      </c>
      <c r="O386">
        <v>4</v>
      </c>
      <c r="P386">
        <v>4</v>
      </c>
      <c r="Q386">
        <v>3</v>
      </c>
      <c r="R386">
        <v>0</v>
      </c>
      <c r="S386">
        <v>0</v>
      </c>
      <c r="T386">
        <v>2</v>
      </c>
      <c r="U386">
        <v>4</v>
      </c>
      <c r="V386">
        <v>4</v>
      </c>
      <c r="W386">
        <v>4</v>
      </c>
      <c r="X386">
        <v>4</v>
      </c>
      <c r="Y386">
        <v>4</v>
      </c>
      <c r="Z386">
        <v>3</v>
      </c>
      <c r="AA386">
        <v>0</v>
      </c>
      <c r="AB386">
        <v>0</v>
      </c>
      <c r="AC386">
        <v>2.5</v>
      </c>
      <c r="AD386">
        <v>2.9090909090909092</v>
      </c>
      <c r="AE386">
        <v>3</v>
      </c>
      <c r="AF386">
        <v>3</v>
      </c>
      <c r="AG386">
        <v>3</v>
      </c>
      <c r="AH386">
        <v>2.5</v>
      </c>
      <c r="AI386" s="1">
        <v>14</v>
      </c>
      <c r="AJ386" s="1">
        <v>1420</v>
      </c>
      <c r="AK386" s="1">
        <v>320</v>
      </c>
      <c r="AL386" t="s">
        <v>5</v>
      </c>
      <c r="AN386">
        <v>0</v>
      </c>
      <c r="AO386">
        <v>0</v>
      </c>
      <c r="AP386">
        <v>180</v>
      </c>
      <c r="AQ386">
        <v>320</v>
      </c>
      <c r="AR386">
        <v>240</v>
      </c>
      <c r="AS386">
        <v>240</v>
      </c>
      <c r="AT386">
        <v>240</v>
      </c>
      <c r="AU386">
        <v>240</v>
      </c>
      <c r="AV386">
        <v>240</v>
      </c>
      <c r="AW386">
        <v>240</v>
      </c>
      <c r="AX386">
        <v>240</v>
      </c>
      <c r="AY386">
        <v>180</v>
      </c>
      <c r="AZ386">
        <v>0</v>
      </c>
      <c r="BA386">
        <v>0</v>
      </c>
      <c r="BB386">
        <v>120</v>
      </c>
      <c r="BC386">
        <v>240</v>
      </c>
      <c r="BD386">
        <v>240</v>
      </c>
      <c r="BE386">
        <v>240</v>
      </c>
      <c r="BF386">
        <v>240</v>
      </c>
      <c r="BG386">
        <v>240</v>
      </c>
      <c r="BH386">
        <v>180</v>
      </c>
      <c r="BI386">
        <v>0</v>
      </c>
      <c r="BJ386">
        <v>0</v>
      </c>
      <c r="BK386">
        <v>150</v>
      </c>
      <c r="BL386">
        <v>174.5454545454545</v>
      </c>
      <c r="BM386">
        <v>180</v>
      </c>
      <c r="BN386">
        <v>180</v>
      </c>
      <c r="BO386">
        <v>180</v>
      </c>
      <c r="BP386">
        <v>150</v>
      </c>
      <c r="BQ386">
        <f>(I386+J386+N386+O386)/4</f>
        <v>4.333333333333333</v>
      </c>
      <c r="BR386">
        <f>(K386+L386+M386)/3</f>
        <v>4</v>
      </c>
      <c r="BS386">
        <f>BQ386/BR386</f>
        <v>1.0833333333333333</v>
      </c>
      <c r="BT386">
        <f>AQ386/I386</f>
        <v>60</v>
      </c>
      <c r="BU386" t="str">
        <f>IF(OR(A386=2, A386=12), "Central", IF(A386=3, "Semi-Central", "Periférica"))</f>
        <v>Periférica</v>
      </c>
    </row>
    <row r="387" spans="1:73" x14ac:dyDescent="0.3">
      <c r="A387" s="1">
        <v>12</v>
      </c>
      <c r="B387" s="1">
        <v>1209</v>
      </c>
      <c r="C387" s="1" t="s">
        <v>83</v>
      </c>
      <c r="D387" t="s">
        <v>5</v>
      </c>
      <c r="E387" t="s">
        <v>0</v>
      </c>
      <c r="F387">
        <v>2</v>
      </c>
      <c r="G387">
        <v>0.88888888888888884</v>
      </c>
      <c r="H387">
        <v>4</v>
      </c>
      <c r="I387">
        <v>8</v>
      </c>
      <c r="J387">
        <v>6</v>
      </c>
      <c r="K387">
        <v>5.666666666666667</v>
      </c>
      <c r="L387">
        <v>6</v>
      </c>
      <c r="M387">
        <v>6</v>
      </c>
      <c r="N387">
        <v>6</v>
      </c>
      <c r="O387">
        <v>5.5</v>
      </c>
      <c r="P387">
        <v>4</v>
      </c>
      <c r="Q387">
        <v>3</v>
      </c>
      <c r="R387">
        <v>2</v>
      </c>
      <c r="S387">
        <v>0.66666666666666663</v>
      </c>
      <c r="T387">
        <v>2</v>
      </c>
      <c r="U387">
        <v>4.4000000000000004</v>
      </c>
      <c r="V387">
        <v>4.666666666666667</v>
      </c>
      <c r="W387">
        <v>4.666666666666667</v>
      </c>
      <c r="X387">
        <v>5.333333333333333</v>
      </c>
      <c r="Y387">
        <v>3.6</v>
      </c>
      <c r="Z387">
        <v>2</v>
      </c>
      <c r="AA387">
        <v>2</v>
      </c>
      <c r="AB387">
        <v>0.66666666666666663</v>
      </c>
      <c r="AC387">
        <v>2</v>
      </c>
      <c r="AD387">
        <v>3.6363636363636358</v>
      </c>
      <c r="AE387">
        <v>3.8</v>
      </c>
      <c r="AF387">
        <v>3</v>
      </c>
      <c r="AG387">
        <v>3</v>
      </c>
      <c r="AH387">
        <v>2.5</v>
      </c>
      <c r="AI387" s="1">
        <v>12</v>
      </c>
      <c r="AJ387" s="1">
        <v>1209</v>
      </c>
      <c r="AK387" s="1" t="s">
        <v>83</v>
      </c>
      <c r="AL387" t="s">
        <v>5</v>
      </c>
      <c r="AM387" t="s">
        <v>0</v>
      </c>
      <c r="AN387">
        <v>180</v>
      </c>
      <c r="AO387">
        <v>80</v>
      </c>
      <c r="AP387">
        <v>360</v>
      </c>
      <c r="AQ387">
        <v>720</v>
      </c>
      <c r="AR387">
        <v>540</v>
      </c>
      <c r="AS387">
        <v>510</v>
      </c>
      <c r="AT387">
        <v>540</v>
      </c>
      <c r="AU387">
        <v>540</v>
      </c>
      <c r="AV387">
        <v>540</v>
      </c>
      <c r="AW387">
        <v>495</v>
      </c>
      <c r="AX387">
        <v>360</v>
      </c>
      <c r="AY387">
        <v>270</v>
      </c>
      <c r="AZ387">
        <v>180</v>
      </c>
      <c r="BA387">
        <v>60</v>
      </c>
      <c r="BB387">
        <v>180</v>
      </c>
      <c r="BC387">
        <v>396</v>
      </c>
      <c r="BD387">
        <v>420</v>
      </c>
      <c r="BE387">
        <v>420</v>
      </c>
      <c r="BF387">
        <v>480</v>
      </c>
      <c r="BG387">
        <v>324</v>
      </c>
      <c r="BH387">
        <v>180</v>
      </c>
      <c r="BI387">
        <v>180</v>
      </c>
      <c r="BJ387">
        <v>60</v>
      </c>
      <c r="BK387">
        <v>180</v>
      </c>
      <c r="BL387">
        <v>327.27272727272731</v>
      </c>
      <c r="BM387">
        <v>342</v>
      </c>
      <c r="BN387">
        <v>270</v>
      </c>
      <c r="BO387">
        <v>270</v>
      </c>
      <c r="BP387">
        <v>225</v>
      </c>
      <c r="BQ387">
        <f>(I387+J387+N387+O387)/4</f>
        <v>6.375</v>
      </c>
      <c r="BR387">
        <f>(K387+L387+M387)/3</f>
        <v>5.8888888888888893</v>
      </c>
      <c r="BS387">
        <f>BQ387/BR387</f>
        <v>1.0825471698113207</v>
      </c>
      <c r="BT387">
        <f>AQ387/I387</f>
        <v>90</v>
      </c>
      <c r="BU387" t="str">
        <f>IF(OR(A387=2, A387=12), "Central", IF(A387=3, "Semi-Central", "Periférica"))</f>
        <v>Central</v>
      </c>
    </row>
    <row r="388" spans="1:73" x14ac:dyDescent="0.3">
      <c r="A388" s="1">
        <v>12</v>
      </c>
      <c r="B388" s="1">
        <v>1210</v>
      </c>
      <c r="C388" s="1" t="s">
        <v>311</v>
      </c>
      <c r="D388" t="s">
        <v>5</v>
      </c>
      <c r="E388" t="s">
        <v>0</v>
      </c>
      <c r="F388">
        <v>0</v>
      </c>
      <c r="G388">
        <v>0</v>
      </c>
      <c r="H388">
        <v>5</v>
      </c>
      <c r="I388">
        <v>6.666666666666667</v>
      </c>
      <c r="J388">
        <v>4.666666666666667</v>
      </c>
      <c r="K388">
        <v>5</v>
      </c>
      <c r="L388">
        <v>5.333333333333333</v>
      </c>
      <c r="M388">
        <v>4.8</v>
      </c>
      <c r="N388">
        <v>5.5</v>
      </c>
      <c r="O388">
        <v>5</v>
      </c>
      <c r="P388">
        <v>4.666666666666667</v>
      </c>
      <c r="Q388">
        <v>2.5</v>
      </c>
      <c r="R388">
        <v>0</v>
      </c>
      <c r="S388">
        <v>0</v>
      </c>
      <c r="T388">
        <v>2</v>
      </c>
      <c r="U388">
        <v>3.2</v>
      </c>
      <c r="V388">
        <v>4.333333333333333</v>
      </c>
      <c r="W388">
        <v>4</v>
      </c>
      <c r="X388">
        <v>4.2222222222222223</v>
      </c>
      <c r="Y388">
        <v>3.2</v>
      </c>
      <c r="Z388">
        <v>1.5</v>
      </c>
      <c r="AA388">
        <v>0</v>
      </c>
      <c r="AB388">
        <v>0</v>
      </c>
      <c r="AC388">
        <v>2.5</v>
      </c>
      <c r="AD388">
        <v>2.7272727272727271</v>
      </c>
      <c r="AE388">
        <v>3</v>
      </c>
      <c r="AF388">
        <v>2.666666666666667</v>
      </c>
      <c r="AG388">
        <v>3</v>
      </c>
      <c r="AH388">
        <v>3</v>
      </c>
      <c r="AI388" s="1">
        <v>12</v>
      </c>
      <c r="AJ388" s="1">
        <v>1210</v>
      </c>
      <c r="AK388" s="1" t="s">
        <v>311</v>
      </c>
      <c r="AL388" t="s">
        <v>5</v>
      </c>
      <c r="AM388" t="s">
        <v>0</v>
      </c>
      <c r="AN388">
        <v>0</v>
      </c>
      <c r="AO388">
        <v>0</v>
      </c>
      <c r="AP388">
        <v>450</v>
      </c>
      <c r="AQ388">
        <v>600</v>
      </c>
      <c r="AR388">
        <v>420</v>
      </c>
      <c r="AS388">
        <v>450</v>
      </c>
      <c r="AT388">
        <v>480</v>
      </c>
      <c r="AU388">
        <v>432</v>
      </c>
      <c r="AV388">
        <v>495</v>
      </c>
      <c r="AW388">
        <v>450</v>
      </c>
      <c r="AX388">
        <v>420</v>
      </c>
      <c r="AY388">
        <v>225</v>
      </c>
      <c r="AZ388">
        <v>0</v>
      </c>
      <c r="BA388">
        <v>0</v>
      </c>
      <c r="BB388">
        <v>180</v>
      </c>
      <c r="BC388">
        <v>288</v>
      </c>
      <c r="BD388">
        <v>390</v>
      </c>
      <c r="BE388">
        <v>360</v>
      </c>
      <c r="BF388">
        <v>380</v>
      </c>
      <c r="BG388">
        <v>288</v>
      </c>
      <c r="BH388">
        <v>135</v>
      </c>
      <c r="BI388">
        <v>0</v>
      </c>
      <c r="BJ388">
        <v>0</v>
      </c>
      <c r="BK388">
        <v>225</v>
      </c>
      <c r="BL388">
        <v>245.4545454545455</v>
      </c>
      <c r="BM388">
        <v>270</v>
      </c>
      <c r="BN388">
        <v>240</v>
      </c>
      <c r="BO388">
        <v>270</v>
      </c>
      <c r="BP388">
        <v>270</v>
      </c>
      <c r="BQ388">
        <f>(I388+J388+N388+O388)/4</f>
        <v>5.4583333333333339</v>
      </c>
      <c r="BR388">
        <f>(K388+L388+M388)/3</f>
        <v>5.0444444444444443</v>
      </c>
      <c r="BS388">
        <f>BQ388/BR388</f>
        <v>1.0820484581497798</v>
      </c>
      <c r="BT388">
        <f>AQ388/I388</f>
        <v>90</v>
      </c>
      <c r="BU388" t="str">
        <f>IF(OR(A388=2, A388=12), "Central", IF(A388=3, "Semi-Central", "Periférica"))</f>
        <v>Central</v>
      </c>
    </row>
    <row r="389" spans="1:73" x14ac:dyDescent="0.3">
      <c r="A389" s="1">
        <v>19</v>
      </c>
      <c r="B389" s="1">
        <v>1901</v>
      </c>
      <c r="C389" s="1">
        <v>201</v>
      </c>
      <c r="D389" t="s">
        <v>5</v>
      </c>
      <c r="E389" t="s">
        <v>0</v>
      </c>
      <c r="F389">
        <v>3</v>
      </c>
      <c r="G389">
        <v>2.666666666666667</v>
      </c>
      <c r="H389">
        <v>8</v>
      </c>
      <c r="I389">
        <v>8</v>
      </c>
      <c r="J389">
        <v>8</v>
      </c>
      <c r="K389">
        <v>7</v>
      </c>
      <c r="L389">
        <v>6.666666666666667</v>
      </c>
      <c r="M389">
        <v>6.8</v>
      </c>
      <c r="N389">
        <v>7</v>
      </c>
      <c r="O389">
        <v>6.5</v>
      </c>
      <c r="P389">
        <v>5.333333333333333</v>
      </c>
      <c r="Q389">
        <v>4.5</v>
      </c>
      <c r="R389">
        <v>3</v>
      </c>
      <c r="S389">
        <v>2.4444444444444451</v>
      </c>
      <c r="T389">
        <v>7</v>
      </c>
      <c r="U389">
        <v>7.2</v>
      </c>
      <c r="V389">
        <v>6.666666666666667</v>
      </c>
      <c r="W389">
        <v>7.333333333333333</v>
      </c>
      <c r="X389">
        <v>6.4444444444444446</v>
      </c>
      <c r="Y389">
        <v>4.4000000000000004</v>
      </c>
      <c r="Z389">
        <v>4</v>
      </c>
      <c r="AA389">
        <v>3</v>
      </c>
      <c r="AB389">
        <v>2.2222222222222219</v>
      </c>
      <c r="AC389">
        <v>6.5</v>
      </c>
      <c r="AD389">
        <v>5.4545454545454541</v>
      </c>
      <c r="AE389">
        <v>6.8</v>
      </c>
      <c r="AF389">
        <v>6.333333333333333</v>
      </c>
      <c r="AG389">
        <v>4</v>
      </c>
      <c r="AH389">
        <v>3.5</v>
      </c>
      <c r="AI389" s="1">
        <v>19</v>
      </c>
      <c r="AJ389" s="1">
        <v>1901</v>
      </c>
      <c r="AK389" s="1">
        <v>201</v>
      </c>
      <c r="AL389" t="s">
        <v>5</v>
      </c>
      <c r="AM389" t="s">
        <v>0</v>
      </c>
      <c r="AN389">
        <v>270</v>
      </c>
      <c r="AO389">
        <v>240</v>
      </c>
      <c r="AP389">
        <v>720</v>
      </c>
      <c r="AQ389">
        <v>720</v>
      </c>
      <c r="AR389">
        <v>720</v>
      </c>
      <c r="AS389">
        <v>630</v>
      </c>
      <c r="AT389">
        <v>600</v>
      </c>
      <c r="AU389">
        <v>612</v>
      </c>
      <c r="AV389">
        <v>630</v>
      </c>
      <c r="AW389">
        <v>585</v>
      </c>
      <c r="AX389">
        <v>480</v>
      </c>
      <c r="AY389">
        <v>405</v>
      </c>
      <c r="AZ389">
        <v>270</v>
      </c>
      <c r="BA389">
        <v>220</v>
      </c>
      <c r="BB389">
        <v>630</v>
      </c>
      <c r="BC389">
        <v>648</v>
      </c>
      <c r="BD389">
        <v>600</v>
      </c>
      <c r="BE389">
        <v>660</v>
      </c>
      <c r="BF389">
        <v>580</v>
      </c>
      <c r="BG389">
        <v>396</v>
      </c>
      <c r="BH389">
        <v>360</v>
      </c>
      <c r="BI389">
        <v>270</v>
      </c>
      <c r="BJ389">
        <v>200</v>
      </c>
      <c r="BK389">
        <v>585</v>
      </c>
      <c r="BL389">
        <v>490.90909090909088</v>
      </c>
      <c r="BM389">
        <v>612</v>
      </c>
      <c r="BN389">
        <v>570</v>
      </c>
      <c r="BO389">
        <v>360</v>
      </c>
      <c r="BP389">
        <v>315</v>
      </c>
      <c r="BQ389">
        <f>(I389+J389+N389+O389)/4</f>
        <v>7.375</v>
      </c>
      <c r="BR389">
        <f>(K389+L389+M389)/3</f>
        <v>6.8222222222222229</v>
      </c>
      <c r="BS389">
        <f>BQ389/BR389</f>
        <v>1.0810260586319218</v>
      </c>
      <c r="BT389">
        <f>AQ389/I389</f>
        <v>90</v>
      </c>
      <c r="BU389" t="str">
        <f>IF(OR(A389=2, A389=12), "Central", IF(A389=3, "Semi-Central", "Periférica"))</f>
        <v>Periférica</v>
      </c>
    </row>
    <row r="390" spans="1:73" x14ac:dyDescent="0.3">
      <c r="A390" s="1">
        <v>18</v>
      </c>
      <c r="B390" s="1">
        <v>1812</v>
      </c>
      <c r="C390" s="1">
        <v>212</v>
      </c>
      <c r="D390" t="s">
        <v>5</v>
      </c>
      <c r="E390" t="s">
        <v>0</v>
      </c>
      <c r="F390">
        <v>2</v>
      </c>
      <c r="G390">
        <v>0</v>
      </c>
      <c r="H390">
        <v>6</v>
      </c>
      <c r="I390">
        <v>8.6666666666666661</v>
      </c>
      <c r="J390">
        <v>8</v>
      </c>
      <c r="K390">
        <v>7.666666666666667</v>
      </c>
      <c r="L390">
        <v>8.6666666666666661</v>
      </c>
      <c r="M390">
        <v>8.8000000000000007</v>
      </c>
      <c r="N390">
        <v>10.5</v>
      </c>
      <c r="O390">
        <v>9</v>
      </c>
      <c r="P390">
        <v>7.333333333333333</v>
      </c>
      <c r="Q390">
        <v>4.5</v>
      </c>
      <c r="R390">
        <v>2</v>
      </c>
      <c r="S390">
        <v>0</v>
      </c>
      <c r="T390">
        <v>4</v>
      </c>
      <c r="U390">
        <v>4</v>
      </c>
      <c r="V390">
        <v>5</v>
      </c>
      <c r="W390">
        <v>4</v>
      </c>
      <c r="X390">
        <v>4.4444444444444446</v>
      </c>
      <c r="Y390">
        <v>4</v>
      </c>
      <c r="Z390">
        <v>3.5</v>
      </c>
      <c r="AA390">
        <v>2</v>
      </c>
      <c r="AB390">
        <v>0</v>
      </c>
      <c r="AC390">
        <v>3.5</v>
      </c>
      <c r="AD390">
        <v>4.3636363636363633</v>
      </c>
      <c r="AE390">
        <v>4.5999999999999996</v>
      </c>
      <c r="AF390">
        <v>4.333333333333333</v>
      </c>
      <c r="AG390">
        <v>4</v>
      </c>
      <c r="AH390">
        <v>3.5</v>
      </c>
      <c r="AI390" s="1">
        <v>18</v>
      </c>
      <c r="AJ390" s="1">
        <v>1812</v>
      </c>
      <c r="AK390" s="1">
        <v>212</v>
      </c>
      <c r="AL390" t="s">
        <v>5</v>
      </c>
      <c r="AM390" t="s">
        <v>0</v>
      </c>
      <c r="AN390">
        <v>300</v>
      </c>
      <c r="AO390">
        <v>0</v>
      </c>
      <c r="AP390">
        <v>900</v>
      </c>
      <c r="AQ390">
        <v>1300</v>
      </c>
      <c r="AR390">
        <v>1200</v>
      </c>
      <c r="AS390">
        <v>1150</v>
      </c>
      <c r="AT390">
        <v>1300</v>
      </c>
      <c r="AU390">
        <v>1320</v>
      </c>
      <c r="AV390">
        <v>1575</v>
      </c>
      <c r="AW390">
        <v>1350</v>
      </c>
      <c r="AX390">
        <v>1100</v>
      </c>
      <c r="AY390">
        <v>675</v>
      </c>
      <c r="AZ390">
        <v>300</v>
      </c>
      <c r="BA390">
        <v>0</v>
      </c>
      <c r="BB390">
        <v>600</v>
      </c>
      <c r="BC390">
        <v>600</v>
      </c>
      <c r="BD390">
        <v>750</v>
      </c>
      <c r="BE390">
        <v>600</v>
      </c>
      <c r="BF390">
        <v>666.66666666666663</v>
      </c>
      <c r="BG390">
        <v>600</v>
      </c>
      <c r="BH390">
        <v>525</v>
      </c>
      <c r="BI390">
        <v>180</v>
      </c>
      <c r="BJ390">
        <v>0</v>
      </c>
      <c r="BK390">
        <v>315</v>
      </c>
      <c r="BL390">
        <v>392.72727272727269</v>
      </c>
      <c r="BM390">
        <v>414</v>
      </c>
      <c r="BN390">
        <v>390</v>
      </c>
      <c r="BO390">
        <v>360</v>
      </c>
      <c r="BP390">
        <v>315</v>
      </c>
      <c r="BQ390">
        <f>(I390+J390+N390+O390)/4</f>
        <v>9.0416666666666661</v>
      </c>
      <c r="BR390">
        <f>(K390+L390+M390)/3</f>
        <v>8.3777777777777782</v>
      </c>
      <c r="BS390">
        <f>BQ390/BR390</f>
        <v>1.0792440318302385</v>
      </c>
      <c r="BT390">
        <f>AQ390/I390</f>
        <v>150</v>
      </c>
      <c r="BU390" t="str">
        <f>IF(OR(A390=2, A390=12), "Central", IF(A390=3, "Semi-Central", "Periférica"))</f>
        <v>Periférica</v>
      </c>
    </row>
    <row r="391" spans="1:73" x14ac:dyDescent="0.3">
      <c r="A391" s="1">
        <v>5</v>
      </c>
      <c r="B391" s="1">
        <v>528</v>
      </c>
      <c r="C391" s="1" t="s">
        <v>310</v>
      </c>
      <c r="D391" t="s">
        <v>5</v>
      </c>
      <c r="E391" t="s">
        <v>0</v>
      </c>
      <c r="F391">
        <v>2</v>
      </c>
      <c r="G391">
        <v>2.2222222222222223</v>
      </c>
      <c r="H391">
        <v>5</v>
      </c>
      <c r="I391">
        <v>5.333333333333333</v>
      </c>
      <c r="J391">
        <v>4</v>
      </c>
      <c r="K391">
        <v>4.666666666666667</v>
      </c>
      <c r="L391">
        <v>4.666666666666667</v>
      </c>
      <c r="M391">
        <v>4.8</v>
      </c>
      <c r="N391">
        <v>6</v>
      </c>
      <c r="O391">
        <v>5</v>
      </c>
      <c r="P391">
        <v>4.666666666666667</v>
      </c>
      <c r="Q391">
        <v>3</v>
      </c>
      <c r="R391">
        <v>2</v>
      </c>
      <c r="S391">
        <v>2.2222222222222223</v>
      </c>
      <c r="T391">
        <v>4</v>
      </c>
      <c r="U391">
        <v>4.4000000000000004</v>
      </c>
      <c r="V391">
        <v>4</v>
      </c>
      <c r="W391">
        <v>4</v>
      </c>
      <c r="X391">
        <v>4</v>
      </c>
      <c r="Y391">
        <v>3.6</v>
      </c>
      <c r="Z391">
        <v>2.5</v>
      </c>
      <c r="AA391">
        <v>2</v>
      </c>
      <c r="AB391">
        <v>2.2222222222222223</v>
      </c>
      <c r="AC391">
        <v>3</v>
      </c>
      <c r="AD391">
        <v>3.4545454545454546</v>
      </c>
      <c r="AE391">
        <v>3.4</v>
      </c>
      <c r="AF391">
        <v>3.3333333333333335</v>
      </c>
      <c r="AG391">
        <v>3</v>
      </c>
      <c r="AH391">
        <v>2.5</v>
      </c>
      <c r="AI391" s="1">
        <v>5</v>
      </c>
      <c r="AJ391" s="1">
        <v>528</v>
      </c>
      <c r="AK391" s="1" t="s">
        <v>310</v>
      </c>
      <c r="AL391" t="s">
        <v>5</v>
      </c>
      <c r="AM391" t="s">
        <v>0</v>
      </c>
      <c r="AN391">
        <v>162</v>
      </c>
      <c r="AO391">
        <v>180</v>
      </c>
      <c r="AP391">
        <v>405</v>
      </c>
      <c r="AQ391">
        <v>432</v>
      </c>
      <c r="AR391">
        <v>324</v>
      </c>
      <c r="AS391">
        <v>378</v>
      </c>
      <c r="AT391">
        <v>378</v>
      </c>
      <c r="AU391">
        <v>388.8</v>
      </c>
      <c r="AV391">
        <v>486</v>
      </c>
      <c r="AW391">
        <v>405</v>
      </c>
      <c r="AX391">
        <v>378</v>
      </c>
      <c r="AY391">
        <v>243</v>
      </c>
      <c r="AZ391">
        <v>162</v>
      </c>
      <c r="BA391">
        <v>180</v>
      </c>
      <c r="BB391">
        <v>324</v>
      </c>
      <c r="BC391">
        <v>356.4</v>
      </c>
      <c r="BD391">
        <v>324</v>
      </c>
      <c r="BE391">
        <v>324</v>
      </c>
      <c r="BF391">
        <v>324</v>
      </c>
      <c r="BG391">
        <v>291.60000000000002</v>
      </c>
      <c r="BH391">
        <v>202.5</v>
      </c>
      <c r="BI391">
        <v>162</v>
      </c>
      <c r="BJ391">
        <v>180</v>
      </c>
      <c r="BK391">
        <v>243</v>
      </c>
      <c r="BL391">
        <v>279.81818181818181</v>
      </c>
      <c r="BM391">
        <v>275.39999999999998</v>
      </c>
      <c r="BN391">
        <v>270</v>
      </c>
      <c r="BO391">
        <v>243</v>
      </c>
      <c r="BP391">
        <v>202.5</v>
      </c>
      <c r="BQ391">
        <f>(I391+J391+N391+O391)/4</f>
        <v>5.083333333333333</v>
      </c>
      <c r="BR391">
        <f>(K391+L391+M391)/3</f>
        <v>4.7111111111111112</v>
      </c>
      <c r="BS391">
        <f>BQ391/BR391</f>
        <v>1.079009433962264</v>
      </c>
      <c r="BT391">
        <f>AQ391/I391</f>
        <v>81</v>
      </c>
      <c r="BU391" t="str">
        <f>IF(OR(A391=2, A391=12), "Central", IF(A391=3, "Semi-Central", "Periférica"))</f>
        <v>Periférica</v>
      </c>
    </row>
    <row r="392" spans="1:73" x14ac:dyDescent="0.3">
      <c r="A392" s="1">
        <v>16</v>
      </c>
      <c r="B392" s="1">
        <v>1616</v>
      </c>
      <c r="C392" s="1" t="s">
        <v>296</v>
      </c>
      <c r="D392" t="s">
        <v>1</v>
      </c>
      <c r="E392" t="s">
        <v>0</v>
      </c>
      <c r="F392">
        <v>0</v>
      </c>
      <c r="G392">
        <v>0</v>
      </c>
      <c r="H392">
        <v>5</v>
      </c>
      <c r="I392">
        <v>6.666666666666667</v>
      </c>
      <c r="J392">
        <v>4.666666666666667</v>
      </c>
      <c r="K392">
        <v>5</v>
      </c>
      <c r="L392">
        <v>5.333333333333333</v>
      </c>
      <c r="M392">
        <v>5.2</v>
      </c>
      <c r="N392">
        <v>6</v>
      </c>
      <c r="O392">
        <v>5</v>
      </c>
      <c r="P392">
        <v>4</v>
      </c>
      <c r="Q392">
        <v>3.5</v>
      </c>
      <c r="R392">
        <v>0</v>
      </c>
      <c r="S392">
        <v>0</v>
      </c>
      <c r="T392">
        <v>3</v>
      </c>
      <c r="U392">
        <v>4.8</v>
      </c>
      <c r="V392">
        <v>4.333333333333333</v>
      </c>
      <c r="W392">
        <v>4.333333333333333</v>
      </c>
      <c r="X392">
        <v>4.666666666666667</v>
      </c>
      <c r="Y392">
        <v>3.6</v>
      </c>
      <c r="Z392">
        <v>3</v>
      </c>
      <c r="AA392">
        <v>0</v>
      </c>
      <c r="AB392">
        <v>0</v>
      </c>
      <c r="AC392">
        <v>3</v>
      </c>
      <c r="AD392">
        <v>4</v>
      </c>
      <c r="AE392">
        <v>4.4000000000000004</v>
      </c>
      <c r="AF392">
        <v>4.666666666666667</v>
      </c>
      <c r="AG392">
        <v>3</v>
      </c>
      <c r="AH392">
        <v>3</v>
      </c>
      <c r="AI392" s="1">
        <v>16</v>
      </c>
      <c r="AJ392" s="1">
        <v>1616</v>
      </c>
      <c r="AK392" s="1" t="s">
        <v>296</v>
      </c>
      <c r="AL392" t="s">
        <v>1</v>
      </c>
      <c r="AM392" t="s">
        <v>0</v>
      </c>
      <c r="AN392">
        <v>0</v>
      </c>
      <c r="AO392">
        <v>0</v>
      </c>
      <c r="AP392">
        <v>450</v>
      </c>
      <c r="AQ392">
        <v>600</v>
      </c>
      <c r="AR392">
        <v>420</v>
      </c>
      <c r="AS392">
        <v>450</v>
      </c>
      <c r="AT392">
        <v>480</v>
      </c>
      <c r="AU392">
        <v>468</v>
      </c>
      <c r="AV392">
        <v>540</v>
      </c>
      <c r="AW392">
        <v>450</v>
      </c>
      <c r="AX392">
        <v>360</v>
      </c>
      <c r="AY392">
        <v>315</v>
      </c>
      <c r="AZ392">
        <v>0</v>
      </c>
      <c r="BA392">
        <v>0</v>
      </c>
      <c r="BB392">
        <v>270</v>
      </c>
      <c r="BC392">
        <v>432</v>
      </c>
      <c r="BD392">
        <v>390</v>
      </c>
      <c r="BE392">
        <v>390</v>
      </c>
      <c r="BF392">
        <v>420</v>
      </c>
      <c r="BG392">
        <v>324</v>
      </c>
      <c r="BH392">
        <v>270</v>
      </c>
      <c r="BI392">
        <v>0</v>
      </c>
      <c r="BJ392">
        <v>0</v>
      </c>
      <c r="BK392">
        <v>270</v>
      </c>
      <c r="BL392">
        <v>360</v>
      </c>
      <c r="BM392">
        <v>396</v>
      </c>
      <c r="BN392">
        <v>420</v>
      </c>
      <c r="BO392">
        <v>270</v>
      </c>
      <c r="BP392">
        <v>270</v>
      </c>
      <c r="BQ392">
        <f>(I392+J392+N392+O392)/4</f>
        <v>5.5833333333333339</v>
      </c>
      <c r="BR392">
        <f>(K392+L392+M392)/3</f>
        <v>5.1777777777777771</v>
      </c>
      <c r="BS392">
        <f>BQ392/BR392</f>
        <v>1.078326180257511</v>
      </c>
      <c r="BT392">
        <f>AQ392/I392</f>
        <v>90</v>
      </c>
      <c r="BU392" t="str">
        <f>IF(OR(A392=2, A392=12), "Central", IF(A392=3, "Semi-Central", "Periférica"))</f>
        <v>Periférica</v>
      </c>
    </row>
    <row r="393" spans="1:73" x14ac:dyDescent="0.3">
      <c r="A393" s="1">
        <v>8</v>
      </c>
      <c r="B393" s="1">
        <v>810</v>
      </c>
      <c r="C393" s="1" t="s">
        <v>160</v>
      </c>
      <c r="D393" t="s">
        <v>5</v>
      </c>
      <c r="F393">
        <v>0</v>
      </c>
      <c r="G393">
        <v>0</v>
      </c>
      <c r="H393">
        <v>5</v>
      </c>
      <c r="I393">
        <v>4.666666666666667</v>
      </c>
      <c r="J393">
        <v>4.666666666666667</v>
      </c>
      <c r="K393">
        <v>4.666666666666667</v>
      </c>
      <c r="L393">
        <v>4</v>
      </c>
      <c r="M393">
        <v>4.8</v>
      </c>
      <c r="N393">
        <v>5</v>
      </c>
      <c r="O393">
        <v>5</v>
      </c>
      <c r="P393">
        <v>3.333333333333333</v>
      </c>
      <c r="Q393">
        <v>3</v>
      </c>
      <c r="R393">
        <v>0</v>
      </c>
      <c r="S393">
        <v>0</v>
      </c>
      <c r="T393">
        <v>3</v>
      </c>
      <c r="U393">
        <v>4.8</v>
      </c>
      <c r="V393">
        <v>5</v>
      </c>
      <c r="W393">
        <v>4</v>
      </c>
      <c r="X393">
        <v>3.1111111111111112</v>
      </c>
      <c r="Y393">
        <v>2.8</v>
      </c>
      <c r="Z393">
        <v>2</v>
      </c>
      <c r="AA393">
        <v>0</v>
      </c>
      <c r="AB393">
        <v>0</v>
      </c>
      <c r="AC393">
        <v>2.5</v>
      </c>
      <c r="AD393">
        <v>3.2727272727272729</v>
      </c>
      <c r="AE393">
        <v>3</v>
      </c>
      <c r="AF393">
        <v>3</v>
      </c>
      <c r="AG393">
        <v>3</v>
      </c>
      <c r="AH393">
        <v>2</v>
      </c>
      <c r="AI393" s="1">
        <v>8</v>
      </c>
      <c r="AJ393" s="1">
        <v>810</v>
      </c>
      <c r="AK393" s="1" t="s">
        <v>160</v>
      </c>
      <c r="AL393" t="s">
        <v>5</v>
      </c>
      <c r="AN393">
        <v>0</v>
      </c>
      <c r="AO393">
        <v>0</v>
      </c>
      <c r="AP393">
        <v>450</v>
      </c>
      <c r="AQ393">
        <v>420</v>
      </c>
      <c r="AR393">
        <v>420</v>
      </c>
      <c r="AS393">
        <v>420</v>
      </c>
      <c r="AT393">
        <v>360</v>
      </c>
      <c r="AU393">
        <v>432</v>
      </c>
      <c r="AV393">
        <v>450</v>
      </c>
      <c r="AW393">
        <v>450</v>
      </c>
      <c r="AX393">
        <v>300</v>
      </c>
      <c r="AY393">
        <v>270</v>
      </c>
      <c r="AZ393">
        <v>0</v>
      </c>
      <c r="BA393">
        <v>0</v>
      </c>
      <c r="BB393">
        <v>270</v>
      </c>
      <c r="BC393">
        <v>432</v>
      </c>
      <c r="BD393">
        <v>450</v>
      </c>
      <c r="BE393">
        <v>360</v>
      </c>
      <c r="BF393">
        <v>280</v>
      </c>
      <c r="BG393">
        <v>252</v>
      </c>
      <c r="BH393">
        <v>180</v>
      </c>
      <c r="BI393">
        <v>0</v>
      </c>
      <c r="BJ393">
        <v>0</v>
      </c>
      <c r="BK393">
        <v>225</v>
      </c>
      <c r="BL393">
        <v>294.54545454545462</v>
      </c>
      <c r="BM393">
        <v>270</v>
      </c>
      <c r="BN393">
        <v>270</v>
      </c>
      <c r="BO393">
        <v>270</v>
      </c>
      <c r="BP393">
        <v>180</v>
      </c>
      <c r="BQ393">
        <f>(I393+J393+N393+O393)/4</f>
        <v>4.8333333333333339</v>
      </c>
      <c r="BR393">
        <f>(K393+L393+M393)/3</f>
        <v>4.4888888888888898</v>
      </c>
      <c r="BS393">
        <f>BQ393/BR393</f>
        <v>1.0767326732673266</v>
      </c>
      <c r="BT393">
        <f>AQ393/I393</f>
        <v>90</v>
      </c>
      <c r="BU393" t="str">
        <f>IF(OR(A393=2, A393=12), "Central", IF(A393=3, "Semi-Central", "Periférica"))</f>
        <v>Periférica</v>
      </c>
    </row>
    <row r="394" spans="1:73" x14ac:dyDescent="0.3">
      <c r="A394" s="1">
        <v>3</v>
      </c>
      <c r="B394" s="1">
        <v>310</v>
      </c>
      <c r="C394" s="1" t="s">
        <v>309</v>
      </c>
      <c r="D394" t="s">
        <v>5</v>
      </c>
      <c r="E394" t="s">
        <v>0</v>
      </c>
      <c r="F394">
        <v>0</v>
      </c>
      <c r="G394">
        <v>0</v>
      </c>
      <c r="H394">
        <v>4</v>
      </c>
      <c r="I394">
        <v>5.333333333333333</v>
      </c>
      <c r="J394">
        <v>4</v>
      </c>
      <c r="K394">
        <v>4.666666666666667</v>
      </c>
      <c r="L394">
        <v>4</v>
      </c>
      <c r="M394">
        <v>4.8</v>
      </c>
      <c r="N394">
        <v>5</v>
      </c>
      <c r="O394">
        <v>5</v>
      </c>
      <c r="P394">
        <v>4</v>
      </c>
      <c r="Q394">
        <v>2</v>
      </c>
      <c r="R394">
        <v>0</v>
      </c>
      <c r="S394">
        <v>0</v>
      </c>
      <c r="T394">
        <v>3</v>
      </c>
      <c r="U394">
        <v>4</v>
      </c>
      <c r="V394">
        <v>4</v>
      </c>
      <c r="W394">
        <v>4</v>
      </c>
      <c r="X394">
        <v>4</v>
      </c>
      <c r="Y394">
        <v>3.2</v>
      </c>
      <c r="Z394">
        <v>1.5</v>
      </c>
      <c r="AA394">
        <v>0</v>
      </c>
      <c r="AB394">
        <v>0</v>
      </c>
      <c r="AC394">
        <v>2.5</v>
      </c>
      <c r="AD394">
        <v>4</v>
      </c>
      <c r="AE394">
        <v>4</v>
      </c>
      <c r="AF394">
        <v>4</v>
      </c>
      <c r="AG394">
        <v>2</v>
      </c>
      <c r="AH394">
        <v>1</v>
      </c>
      <c r="AI394" s="1">
        <v>3</v>
      </c>
      <c r="AJ394" s="1">
        <v>310</v>
      </c>
      <c r="AK394" s="1" t="s">
        <v>309</v>
      </c>
      <c r="AL394" t="s">
        <v>5</v>
      </c>
      <c r="AM394" t="s">
        <v>0</v>
      </c>
      <c r="AN394">
        <v>0</v>
      </c>
      <c r="AO394">
        <v>0</v>
      </c>
      <c r="AP394">
        <v>372</v>
      </c>
      <c r="AQ394">
        <v>496</v>
      </c>
      <c r="AR394">
        <v>372</v>
      </c>
      <c r="AS394">
        <v>434</v>
      </c>
      <c r="AT394">
        <v>372</v>
      </c>
      <c r="AU394">
        <v>446.4</v>
      </c>
      <c r="AV394">
        <v>465</v>
      </c>
      <c r="AW394">
        <v>465</v>
      </c>
      <c r="AX394">
        <v>372</v>
      </c>
      <c r="AY394">
        <v>186</v>
      </c>
      <c r="AZ394">
        <v>0</v>
      </c>
      <c r="BA394">
        <v>0</v>
      </c>
      <c r="BB394">
        <v>279</v>
      </c>
      <c r="BC394">
        <v>372</v>
      </c>
      <c r="BD394">
        <v>372</v>
      </c>
      <c r="BE394">
        <v>372</v>
      </c>
      <c r="BF394">
        <v>372</v>
      </c>
      <c r="BG394">
        <v>297.60000000000002</v>
      </c>
      <c r="BH394">
        <v>139.5</v>
      </c>
      <c r="BI394">
        <v>0</v>
      </c>
      <c r="BJ394">
        <v>0</v>
      </c>
      <c r="BK394">
        <v>232.5</v>
      </c>
      <c r="BL394">
        <v>372</v>
      </c>
      <c r="BM394">
        <v>372</v>
      </c>
      <c r="BN394">
        <v>372</v>
      </c>
      <c r="BO394">
        <v>186</v>
      </c>
      <c r="BP394">
        <v>93</v>
      </c>
      <c r="BQ394">
        <f>(I394+J394+N394+O394)/4</f>
        <v>4.833333333333333</v>
      </c>
      <c r="BR394">
        <f>(K394+L394+M394)/3</f>
        <v>4.4888888888888898</v>
      </c>
      <c r="BS394">
        <f>BQ394/BR394</f>
        <v>1.0767326732673264</v>
      </c>
      <c r="BT394">
        <f>AQ394/I394</f>
        <v>93</v>
      </c>
      <c r="BU394" t="str">
        <f>IF(OR(A394=2, A394=12), "Central", IF(A394=3, "Semi-Central", "Periférica"))</f>
        <v>Semi-Central</v>
      </c>
    </row>
    <row r="395" spans="1:73" x14ac:dyDescent="0.3">
      <c r="A395" s="1">
        <v>3</v>
      </c>
      <c r="B395" s="1">
        <v>310</v>
      </c>
      <c r="C395" s="1" t="s">
        <v>309</v>
      </c>
      <c r="D395" t="s">
        <v>1</v>
      </c>
      <c r="E395" t="s">
        <v>0</v>
      </c>
      <c r="F395">
        <v>0</v>
      </c>
      <c r="G395">
        <v>0</v>
      </c>
      <c r="H395">
        <v>3</v>
      </c>
      <c r="I395">
        <v>5.333333333333333</v>
      </c>
      <c r="J395">
        <v>4</v>
      </c>
      <c r="K395">
        <v>4.666666666666667</v>
      </c>
      <c r="L395">
        <v>4</v>
      </c>
      <c r="M395">
        <v>4.8</v>
      </c>
      <c r="N395">
        <v>5</v>
      </c>
      <c r="O395">
        <v>5</v>
      </c>
      <c r="P395">
        <v>4.666666666666667</v>
      </c>
      <c r="Q395">
        <v>3</v>
      </c>
      <c r="R395">
        <v>0</v>
      </c>
      <c r="S395">
        <v>0</v>
      </c>
      <c r="T395">
        <v>3</v>
      </c>
      <c r="U395">
        <v>4</v>
      </c>
      <c r="V395">
        <v>4</v>
      </c>
      <c r="W395">
        <v>4</v>
      </c>
      <c r="X395">
        <v>4</v>
      </c>
      <c r="Y395">
        <v>3.2</v>
      </c>
      <c r="Z395">
        <v>2.5</v>
      </c>
      <c r="AA395">
        <v>0</v>
      </c>
      <c r="AB395">
        <v>0</v>
      </c>
      <c r="AC395">
        <v>2.5</v>
      </c>
      <c r="AD395">
        <v>4</v>
      </c>
      <c r="AE395">
        <v>4</v>
      </c>
      <c r="AF395">
        <v>4</v>
      </c>
      <c r="AG395">
        <v>3</v>
      </c>
      <c r="AH395">
        <v>2.5</v>
      </c>
      <c r="AI395" s="1">
        <v>3</v>
      </c>
      <c r="AJ395" s="1">
        <v>310</v>
      </c>
      <c r="AK395" s="1" t="s">
        <v>309</v>
      </c>
      <c r="AL395" t="s">
        <v>1</v>
      </c>
      <c r="AM395" t="s">
        <v>0</v>
      </c>
      <c r="AN395">
        <v>0</v>
      </c>
      <c r="AO395">
        <v>0</v>
      </c>
      <c r="AP395">
        <v>279</v>
      </c>
      <c r="AQ395">
        <v>496</v>
      </c>
      <c r="AR395">
        <v>372</v>
      </c>
      <c r="AS395">
        <v>434</v>
      </c>
      <c r="AT395">
        <v>372</v>
      </c>
      <c r="AU395">
        <v>446.4</v>
      </c>
      <c r="AV395">
        <v>465</v>
      </c>
      <c r="AW395">
        <v>465</v>
      </c>
      <c r="AX395">
        <v>434</v>
      </c>
      <c r="AY395">
        <v>279</v>
      </c>
      <c r="AZ395">
        <v>0</v>
      </c>
      <c r="BA395">
        <v>0</v>
      </c>
      <c r="BB395">
        <v>279</v>
      </c>
      <c r="BC395">
        <v>372</v>
      </c>
      <c r="BD395">
        <v>372</v>
      </c>
      <c r="BE395">
        <v>372</v>
      </c>
      <c r="BF395">
        <v>372</v>
      </c>
      <c r="BG395">
        <v>297.60000000000002</v>
      </c>
      <c r="BH395">
        <v>232.5</v>
      </c>
      <c r="BI395">
        <v>0</v>
      </c>
      <c r="BJ395">
        <v>0</v>
      </c>
      <c r="BK395">
        <v>232.5</v>
      </c>
      <c r="BL395">
        <v>372</v>
      </c>
      <c r="BM395">
        <v>372</v>
      </c>
      <c r="BN395">
        <v>372</v>
      </c>
      <c r="BO395">
        <v>279</v>
      </c>
      <c r="BP395">
        <v>232.5</v>
      </c>
      <c r="BQ395">
        <f>(I395+J395+N395+O395)/4</f>
        <v>4.833333333333333</v>
      </c>
      <c r="BR395">
        <f>(K395+L395+M395)/3</f>
        <v>4.4888888888888898</v>
      </c>
      <c r="BS395">
        <f>BQ395/BR395</f>
        <v>1.0767326732673264</v>
      </c>
      <c r="BT395">
        <f>AQ395/I395</f>
        <v>93</v>
      </c>
      <c r="BU395" t="str">
        <f>IF(OR(A395=2, A395=12), "Central", IF(A395=3, "Semi-Central", "Periférica"))</f>
        <v>Semi-Central</v>
      </c>
    </row>
    <row r="396" spans="1:73" x14ac:dyDescent="0.3">
      <c r="A396" s="1">
        <v>3</v>
      </c>
      <c r="B396" s="1">
        <v>348</v>
      </c>
      <c r="C396" s="1">
        <v>348</v>
      </c>
      <c r="D396" t="s">
        <v>1</v>
      </c>
      <c r="E396" t="s">
        <v>0</v>
      </c>
      <c r="F396">
        <v>0</v>
      </c>
      <c r="G396">
        <v>0</v>
      </c>
      <c r="H396">
        <v>3</v>
      </c>
      <c r="I396">
        <v>4.666666666666667</v>
      </c>
      <c r="J396">
        <v>4.666666666666667</v>
      </c>
      <c r="K396">
        <v>5</v>
      </c>
      <c r="L396">
        <v>4.666666666666667</v>
      </c>
      <c r="M396">
        <v>5.2</v>
      </c>
      <c r="N396">
        <v>6</v>
      </c>
      <c r="O396">
        <v>6</v>
      </c>
      <c r="P396">
        <v>4.666666666666667</v>
      </c>
      <c r="Q396">
        <v>3.5</v>
      </c>
      <c r="R396">
        <v>0</v>
      </c>
      <c r="S396">
        <v>0</v>
      </c>
      <c r="T396">
        <v>3</v>
      </c>
      <c r="U396">
        <v>4</v>
      </c>
      <c r="V396">
        <v>4.333333333333333</v>
      </c>
      <c r="W396">
        <v>4.333333333333333</v>
      </c>
      <c r="X396">
        <v>4.2222222222222223</v>
      </c>
      <c r="Y396">
        <v>4</v>
      </c>
      <c r="Z396">
        <v>3.5</v>
      </c>
      <c r="AA396">
        <v>0</v>
      </c>
      <c r="AB396">
        <v>0</v>
      </c>
      <c r="AC396">
        <v>3</v>
      </c>
      <c r="AD396">
        <v>4</v>
      </c>
      <c r="AE396">
        <v>4</v>
      </c>
      <c r="AF396">
        <v>4</v>
      </c>
      <c r="AG396">
        <v>4</v>
      </c>
      <c r="AH396">
        <v>3.5</v>
      </c>
      <c r="AI396" s="1">
        <v>3</v>
      </c>
      <c r="AJ396" s="1">
        <v>348</v>
      </c>
      <c r="AK396" s="1">
        <v>348</v>
      </c>
      <c r="AL396" t="s">
        <v>1</v>
      </c>
      <c r="AM396" t="s">
        <v>0</v>
      </c>
      <c r="AN396">
        <v>0</v>
      </c>
      <c r="AO396">
        <v>0</v>
      </c>
      <c r="AP396">
        <v>279</v>
      </c>
      <c r="AQ396">
        <v>434</v>
      </c>
      <c r="AR396">
        <v>434</v>
      </c>
      <c r="AS396">
        <v>465</v>
      </c>
      <c r="AT396">
        <v>434</v>
      </c>
      <c r="AU396">
        <v>483.6</v>
      </c>
      <c r="AV396">
        <v>558</v>
      </c>
      <c r="AW396">
        <v>558</v>
      </c>
      <c r="AX396">
        <v>434</v>
      </c>
      <c r="AY396">
        <v>325.5</v>
      </c>
      <c r="AZ396">
        <v>0</v>
      </c>
      <c r="BA396">
        <v>0</v>
      </c>
      <c r="BB396">
        <v>270</v>
      </c>
      <c r="BC396">
        <v>360</v>
      </c>
      <c r="BD396">
        <v>390</v>
      </c>
      <c r="BE396">
        <v>390</v>
      </c>
      <c r="BF396">
        <v>380</v>
      </c>
      <c r="BG396">
        <v>360</v>
      </c>
      <c r="BH396">
        <v>315</v>
      </c>
      <c r="BI396">
        <v>0</v>
      </c>
      <c r="BJ396">
        <v>0</v>
      </c>
      <c r="BK396">
        <v>270</v>
      </c>
      <c r="BL396">
        <v>360</v>
      </c>
      <c r="BM396">
        <v>360</v>
      </c>
      <c r="BN396">
        <v>360</v>
      </c>
      <c r="BO396">
        <v>360</v>
      </c>
      <c r="BP396">
        <v>315</v>
      </c>
      <c r="BQ396">
        <f>(I396+J396+N396+O396)/4</f>
        <v>5.3333333333333339</v>
      </c>
      <c r="BR396">
        <f>(K396+L396+M396)/3</f>
        <v>4.9555555555555557</v>
      </c>
      <c r="BS396">
        <f>BQ396/BR396</f>
        <v>1.0762331838565022</v>
      </c>
      <c r="BT396">
        <f>AQ396/I396</f>
        <v>93</v>
      </c>
      <c r="BU396" t="str">
        <f>IF(OR(A396=2, A396=12), "Central", IF(A396=3, "Semi-Central", "Periférica"))</f>
        <v>Semi-Central</v>
      </c>
    </row>
    <row r="397" spans="1:73" x14ac:dyDescent="0.3">
      <c r="A397" s="1">
        <v>10</v>
      </c>
      <c r="B397" s="1">
        <v>1024</v>
      </c>
      <c r="C397" s="1" t="s">
        <v>135</v>
      </c>
      <c r="D397" t="s">
        <v>5</v>
      </c>
      <c r="E397" t="s">
        <v>0</v>
      </c>
      <c r="F397">
        <v>0</v>
      </c>
      <c r="G397">
        <v>0.88888888888888884</v>
      </c>
      <c r="H397">
        <v>5</v>
      </c>
      <c r="I397">
        <v>6</v>
      </c>
      <c r="J397">
        <v>5.333333333333333</v>
      </c>
      <c r="K397">
        <v>5</v>
      </c>
      <c r="L397">
        <v>4.666666666666667</v>
      </c>
      <c r="M397">
        <v>5.2</v>
      </c>
      <c r="N397">
        <v>5</v>
      </c>
      <c r="O397">
        <v>5</v>
      </c>
      <c r="P397">
        <v>4</v>
      </c>
      <c r="Q397">
        <v>1.5</v>
      </c>
      <c r="R397">
        <v>0</v>
      </c>
      <c r="S397">
        <v>0</v>
      </c>
      <c r="T397">
        <v>3</v>
      </c>
      <c r="U397">
        <v>3.6</v>
      </c>
      <c r="V397">
        <v>5</v>
      </c>
      <c r="W397">
        <v>4.666666666666667</v>
      </c>
      <c r="X397">
        <v>3.1111111111111112</v>
      </c>
      <c r="Y397">
        <v>2.8</v>
      </c>
      <c r="Z397">
        <v>1.5</v>
      </c>
      <c r="AA397">
        <v>0</v>
      </c>
      <c r="AB397">
        <v>0</v>
      </c>
      <c r="AC397">
        <v>3</v>
      </c>
      <c r="AD397">
        <v>3.454545454545455</v>
      </c>
      <c r="AE397">
        <v>3.2</v>
      </c>
      <c r="AF397">
        <v>3</v>
      </c>
      <c r="AG397">
        <v>3</v>
      </c>
      <c r="AH397">
        <v>3</v>
      </c>
      <c r="AI397" s="1">
        <v>10</v>
      </c>
      <c r="AJ397" s="1">
        <v>1024</v>
      </c>
      <c r="AK397" s="1" t="s">
        <v>135</v>
      </c>
      <c r="AL397" t="s">
        <v>5</v>
      </c>
      <c r="AM397" t="s">
        <v>0</v>
      </c>
      <c r="AN397">
        <v>0</v>
      </c>
      <c r="AO397">
        <v>80</v>
      </c>
      <c r="AP397">
        <v>450</v>
      </c>
      <c r="AQ397">
        <v>540</v>
      </c>
      <c r="AR397">
        <v>480</v>
      </c>
      <c r="AS397">
        <v>450</v>
      </c>
      <c r="AT397">
        <v>420</v>
      </c>
      <c r="AU397">
        <v>468</v>
      </c>
      <c r="AV397">
        <v>450</v>
      </c>
      <c r="AW397">
        <v>450</v>
      </c>
      <c r="AX397">
        <v>360</v>
      </c>
      <c r="AY397">
        <v>135</v>
      </c>
      <c r="AZ397">
        <v>0</v>
      </c>
      <c r="BA397">
        <v>0</v>
      </c>
      <c r="BB397">
        <v>270</v>
      </c>
      <c r="BC397">
        <v>324</v>
      </c>
      <c r="BD397">
        <v>450</v>
      </c>
      <c r="BE397">
        <v>420</v>
      </c>
      <c r="BF397">
        <v>280</v>
      </c>
      <c r="BG397">
        <v>252</v>
      </c>
      <c r="BH397">
        <v>135</v>
      </c>
      <c r="BI397">
        <v>0</v>
      </c>
      <c r="BJ397">
        <v>0</v>
      </c>
      <c r="BK397">
        <v>270</v>
      </c>
      <c r="BL397">
        <v>310.90909090909088</v>
      </c>
      <c r="BM397">
        <v>288</v>
      </c>
      <c r="BN397">
        <v>270</v>
      </c>
      <c r="BO397">
        <v>270</v>
      </c>
      <c r="BP397">
        <v>270</v>
      </c>
      <c r="BQ397">
        <f>(I397+J397+N397+O397)/4</f>
        <v>5.333333333333333</v>
      </c>
      <c r="BR397">
        <f>(K397+L397+M397)/3</f>
        <v>4.9555555555555557</v>
      </c>
      <c r="BS397">
        <f>BQ397/BR397</f>
        <v>1.0762331838565022</v>
      </c>
      <c r="BT397">
        <f>AQ397/I397</f>
        <v>90</v>
      </c>
      <c r="BU397" t="str">
        <f>IF(OR(A397=2, A397=12), "Central", IF(A397=3, "Semi-Central", "Periférica"))</f>
        <v>Periférica</v>
      </c>
    </row>
    <row r="398" spans="1:73" x14ac:dyDescent="0.3">
      <c r="A398" s="1">
        <v>15</v>
      </c>
      <c r="B398" s="1">
        <v>1531</v>
      </c>
      <c r="C398" s="1" t="s">
        <v>308</v>
      </c>
      <c r="D398" t="s">
        <v>1</v>
      </c>
      <c r="E398" t="s">
        <v>0</v>
      </c>
      <c r="F398">
        <v>0</v>
      </c>
      <c r="G398">
        <v>0</v>
      </c>
      <c r="H398">
        <v>5</v>
      </c>
      <c r="I398">
        <v>5.333333333333333</v>
      </c>
      <c r="J398">
        <v>5.333333333333333</v>
      </c>
      <c r="K398">
        <v>4</v>
      </c>
      <c r="L398">
        <v>5.333333333333333</v>
      </c>
      <c r="M398">
        <v>4.4000000000000004</v>
      </c>
      <c r="N398">
        <v>4.5</v>
      </c>
      <c r="O398">
        <v>4.5</v>
      </c>
      <c r="P398">
        <v>4</v>
      </c>
      <c r="Q398">
        <v>3.5</v>
      </c>
      <c r="R398">
        <v>0</v>
      </c>
      <c r="S398">
        <v>0</v>
      </c>
      <c r="T398">
        <v>4</v>
      </c>
      <c r="U398">
        <v>4.4000000000000004</v>
      </c>
      <c r="V398">
        <v>3.666666666666667</v>
      </c>
      <c r="W398">
        <v>3.666666666666667</v>
      </c>
      <c r="X398">
        <v>4</v>
      </c>
      <c r="Y398">
        <v>3.6</v>
      </c>
      <c r="Z398">
        <v>3.5</v>
      </c>
      <c r="AA398">
        <v>0</v>
      </c>
      <c r="AB398">
        <v>0</v>
      </c>
      <c r="AC398">
        <v>2.5</v>
      </c>
      <c r="AD398">
        <v>3.8181818181818179</v>
      </c>
      <c r="AE398">
        <v>4</v>
      </c>
      <c r="AF398">
        <v>3.666666666666667</v>
      </c>
      <c r="AG398">
        <v>3</v>
      </c>
      <c r="AH398">
        <v>3</v>
      </c>
      <c r="AI398" s="1">
        <v>15</v>
      </c>
      <c r="AJ398" s="1">
        <v>1531</v>
      </c>
      <c r="AK398" s="1" t="s">
        <v>308</v>
      </c>
      <c r="AL398" t="s">
        <v>1</v>
      </c>
      <c r="AM398" t="s">
        <v>0</v>
      </c>
      <c r="AN398">
        <v>0</v>
      </c>
      <c r="AO398">
        <v>0</v>
      </c>
      <c r="AP398">
        <v>450</v>
      </c>
      <c r="AQ398">
        <v>480</v>
      </c>
      <c r="AR398">
        <v>480</v>
      </c>
      <c r="AS398">
        <v>360</v>
      </c>
      <c r="AT398">
        <v>480</v>
      </c>
      <c r="AU398">
        <v>396</v>
      </c>
      <c r="AV398">
        <v>405</v>
      </c>
      <c r="AW398">
        <v>405</v>
      </c>
      <c r="AX398">
        <v>360</v>
      </c>
      <c r="AY398">
        <v>315</v>
      </c>
      <c r="AZ398">
        <v>0</v>
      </c>
      <c r="BA398">
        <v>0</v>
      </c>
      <c r="BB398">
        <v>360</v>
      </c>
      <c r="BC398">
        <v>396</v>
      </c>
      <c r="BD398">
        <v>330</v>
      </c>
      <c r="BE398">
        <v>330</v>
      </c>
      <c r="BF398">
        <v>360</v>
      </c>
      <c r="BG398">
        <v>324</v>
      </c>
      <c r="BH398">
        <v>315</v>
      </c>
      <c r="BI398">
        <v>0</v>
      </c>
      <c r="BJ398">
        <v>0</v>
      </c>
      <c r="BK398">
        <v>225</v>
      </c>
      <c r="BL398">
        <v>343.63636363636363</v>
      </c>
      <c r="BM398">
        <v>360</v>
      </c>
      <c r="BN398">
        <v>330</v>
      </c>
      <c r="BO398">
        <v>270</v>
      </c>
      <c r="BP398">
        <v>270</v>
      </c>
      <c r="BQ398">
        <f>(I398+J398+N398+O398)/4</f>
        <v>4.9166666666666661</v>
      </c>
      <c r="BR398">
        <f>(K398+L398+M398)/3</f>
        <v>4.5777777777777775</v>
      </c>
      <c r="BS398">
        <f>BQ398/BR398</f>
        <v>1.0740291262135921</v>
      </c>
      <c r="BT398">
        <f>AQ398/I398</f>
        <v>90</v>
      </c>
      <c r="BU398" t="str">
        <f>IF(OR(A398=2, A398=12), "Central", IF(A398=3, "Semi-Central", "Periférica"))</f>
        <v>Periférica</v>
      </c>
    </row>
    <row r="399" spans="1:73" x14ac:dyDescent="0.3">
      <c r="A399" s="1">
        <v>10</v>
      </c>
      <c r="B399" s="1">
        <v>1033</v>
      </c>
      <c r="C399" s="1" t="s">
        <v>295</v>
      </c>
      <c r="D399" t="s">
        <v>1</v>
      </c>
      <c r="E399" t="s">
        <v>0</v>
      </c>
      <c r="F399">
        <v>0</v>
      </c>
      <c r="G399">
        <v>0.44444444444444442</v>
      </c>
      <c r="H399">
        <v>5</v>
      </c>
      <c r="I399">
        <v>6</v>
      </c>
      <c r="J399">
        <v>4.666666666666667</v>
      </c>
      <c r="K399">
        <v>5</v>
      </c>
      <c r="L399">
        <v>5.333333333333333</v>
      </c>
      <c r="M399">
        <v>4.8</v>
      </c>
      <c r="N399">
        <v>6</v>
      </c>
      <c r="O399">
        <v>5</v>
      </c>
      <c r="P399">
        <v>5.333333333333333</v>
      </c>
      <c r="Q399">
        <v>4</v>
      </c>
      <c r="R399">
        <v>0</v>
      </c>
      <c r="S399">
        <v>0</v>
      </c>
      <c r="T399">
        <v>3</v>
      </c>
      <c r="U399">
        <v>4.8</v>
      </c>
      <c r="V399">
        <v>4</v>
      </c>
      <c r="W399">
        <v>4</v>
      </c>
      <c r="X399">
        <v>4</v>
      </c>
      <c r="Y399">
        <v>2.8</v>
      </c>
      <c r="Z399">
        <v>3</v>
      </c>
      <c r="AA399">
        <v>0</v>
      </c>
      <c r="AB399">
        <v>0</v>
      </c>
      <c r="AC399">
        <v>2</v>
      </c>
      <c r="AD399">
        <v>2.9090909090909092</v>
      </c>
      <c r="AE399">
        <v>3.8</v>
      </c>
      <c r="AF399">
        <v>3</v>
      </c>
      <c r="AG399">
        <v>3</v>
      </c>
      <c r="AH399">
        <v>2.5</v>
      </c>
      <c r="AI399" s="1">
        <v>10</v>
      </c>
      <c r="AJ399" s="1">
        <v>1033</v>
      </c>
      <c r="AK399" s="1" t="s">
        <v>295</v>
      </c>
      <c r="AL399" t="s">
        <v>1</v>
      </c>
      <c r="AM399" t="s">
        <v>0</v>
      </c>
      <c r="AN399">
        <v>0</v>
      </c>
      <c r="AO399">
        <v>40</v>
      </c>
      <c r="AP399">
        <v>450</v>
      </c>
      <c r="AQ399">
        <v>540</v>
      </c>
      <c r="AR399">
        <v>420</v>
      </c>
      <c r="AS399">
        <v>450</v>
      </c>
      <c r="AT399">
        <v>480</v>
      </c>
      <c r="AU399">
        <v>432</v>
      </c>
      <c r="AV399">
        <v>540</v>
      </c>
      <c r="AW399">
        <v>450</v>
      </c>
      <c r="AX399">
        <v>480</v>
      </c>
      <c r="AY399">
        <v>360</v>
      </c>
      <c r="AZ399">
        <v>0</v>
      </c>
      <c r="BA399">
        <v>0</v>
      </c>
      <c r="BB399">
        <v>270</v>
      </c>
      <c r="BC399">
        <v>432</v>
      </c>
      <c r="BD399">
        <v>360</v>
      </c>
      <c r="BE399">
        <v>360</v>
      </c>
      <c r="BF399">
        <v>360</v>
      </c>
      <c r="BG399">
        <v>252</v>
      </c>
      <c r="BH399">
        <v>270</v>
      </c>
      <c r="BI399">
        <v>0</v>
      </c>
      <c r="BJ399">
        <v>0</v>
      </c>
      <c r="BK399">
        <v>180</v>
      </c>
      <c r="BL399">
        <v>261.81818181818181</v>
      </c>
      <c r="BM399">
        <v>342</v>
      </c>
      <c r="BN399">
        <v>270</v>
      </c>
      <c r="BO399">
        <v>270</v>
      </c>
      <c r="BP399">
        <v>225</v>
      </c>
      <c r="BQ399">
        <f>(I399+J399+N399+O399)/4</f>
        <v>5.416666666666667</v>
      </c>
      <c r="BR399">
        <f>(K399+L399+M399)/3</f>
        <v>5.0444444444444443</v>
      </c>
      <c r="BS399">
        <f>BQ399/BR399</f>
        <v>1.0737885462555068</v>
      </c>
      <c r="BT399">
        <f>AQ399/I399</f>
        <v>90</v>
      </c>
      <c r="BU399" t="str">
        <f>IF(OR(A399=2, A399=12), "Central", IF(A399=3, "Semi-Central", "Periférica"))</f>
        <v>Periférica</v>
      </c>
    </row>
    <row r="400" spans="1:73" x14ac:dyDescent="0.3">
      <c r="A400" s="1">
        <v>12</v>
      </c>
      <c r="B400" s="1">
        <v>1214</v>
      </c>
      <c r="C400" s="1" t="s">
        <v>307</v>
      </c>
      <c r="D400" t="s">
        <v>1</v>
      </c>
      <c r="E400" t="s">
        <v>0</v>
      </c>
      <c r="F400">
        <v>0</v>
      </c>
      <c r="G400">
        <v>0</v>
      </c>
      <c r="H400">
        <v>4</v>
      </c>
      <c r="I400">
        <v>6</v>
      </c>
      <c r="J400">
        <v>4.666666666666667</v>
      </c>
      <c r="K400">
        <v>5</v>
      </c>
      <c r="L400">
        <v>5.333333333333333</v>
      </c>
      <c r="M400">
        <v>4.8</v>
      </c>
      <c r="N400">
        <v>5.5</v>
      </c>
      <c r="O400">
        <v>5.5</v>
      </c>
      <c r="P400">
        <v>4.666666666666667</v>
      </c>
      <c r="Q400">
        <v>3.5</v>
      </c>
      <c r="R400">
        <v>0</v>
      </c>
      <c r="S400">
        <v>0</v>
      </c>
      <c r="T400">
        <v>2</v>
      </c>
      <c r="U400">
        <v>3.2</v>
      </c>
      <c r="V400">
        <v>3.333333333333333</v>
      </c>
      <c r="W400">
        <v>4</v>
      </c>
      <c r="X400">
        <v>3.7777777777777781</v>
      </c>
      <c r="Y400">
        <v>2.4</v>
      </c>
      <c r="Z400">
        <v>1</v>
      </c>
      <c r="AA400">
        <v>0</v>
      </c>
      <c r="AB400">
        <v>0</v>
      </c>
      <c r="AC400">
        <v>1</v>
      </c>
      <c r="AD400">
        <v>2.7272727272727271</v>
      </c>
      <c r="AE400">
        <v>3</v>
      </c>
      <c r="AF400">
        <v>3</v>
      </c>
      <c r="AG400">
        <v>3</v>
      </c>
      <c r="AH400">
        <v>3</v>
      </c>
      <c r="AI400" s="1">
        <v>12</v>
      </c>
      <c r="AJ400" s="1">
        <v>1214</v>
      </c>
      <c r="AK400" s="1" t="s">
        <v>307</v>
      </c>
      <c r="AL400" t="s">
        <v>1</v>
      </c>
      <c r="AM400" t="s">
        <v>0</v>
      </c>
      <c r="AN400">
        <v>0</v>
      </c>
      <c r="AO400">
        <v>0</v>
      </c>
      <c r="AP400">
        <v>360</v>
      </c>
      <c r="AQ400">
        <v>540</v>
      </c>
      <c r="AR400">
        <v>420</v>
      </c>
      <c r="AS400">
        <v>450</v>
      </c>
      <c r="AT400">
        <v>480</v>
      </c>
      <c r="AU400">
        <v>432</v>
      </c>
      <c r="AV400">
        <v>495</v>
      </c>
      <c r="AW400">
        <v>495</v>
      </c>
      <c r="AX400">
        <v>420</v>
      </c>
      <c r="AY400">
        <v>315</v>
      </c>
      <c r="AZ400">
        <v>0</v>
      </c>
      <c r="BA400">
        <v>0</v>
      </c>
      <c r="BB400">
        <v>180</v>
      </c>
      <c r="BC400">
        <v>288</v>
      </c>
      <c r="BD400">
        <v>300</v>
      </c>
      <c r="BE400">
        <v>360</v>
      </c>
      <c r="BF400">
        <v>340</v>
      </c>
      <c r="BG400">
        <v>216</v>
      </c>
      <c r="BH400">
        <v>90</v>
      </c>
      <c r="BI400">
        <v>0</v>
      </c>
      <c r="BJ400">
        <v>0</v>
      </c>
      <c r="BK400">
        <v>90</v>
      </c>
      <c r="BL400">
        <v>245.4545454545455</v>
      </c>
      <c r="BM400">
        <v>270</v>
      </c>
      <c r="BN400">
        <v>270</v>
      </c>
      <c r="BO400">
        <v>270</v>
      </c>
      <c r="BP400">
        <v>270</v>
      </c>
      <c r="BQ400">
        <f>(I400+J400+N400+O400)/4</f>
        <v>5.416666666666667</v>
      </c>
      <c r="BR400">
        <f>(K400+L400+M400)/3</f>
        <v>5.0444444444444443</v>
      </c>
      <c r="BS400">
        <f>BQ400/BR400</f>
        <v>1.0737885462555068</v>
      </c>
      <c r="BT400">
        <f>AQ400/I400</f>
        <v>90</v>
      </c>
      <c r="BU400" t="str">
        <f>IF(OR(A400=2, A400=12), "Central", IF(A400=3, "Semi-Central", "Periférica"))</f>
        <v>Central</v>
      </c>
    </row>
    <row r="401" spans="1:73" x14ac:dyDescent="0.3">
      <c r="A401" s="1">
        <v>5</v>
      </c>
      <c r="B401" s="1">
        <v>536</v>
      </c>
      <c r="C401" s="1" t="s">
        <v>186</v>
      </c>
      <c r="D401" t="s">
        <v>5</v>
      </c>
      <c r="E401" t="s">
        <v>0</v>
      </c>
      <c r="F401">
        <v>0</v>
      </c>
      <c r="G401">
        <v>0</v>
      </c>
      <c r="H401">
        <v>4</v>
      </c>
      <c r="I401">
        <v>4.666666666666667</v>
      </c>
      <c r="J401">
        <v>4</v>
      </c>
      <c r="K401">
        <v>4</v>
      </c>
      <c r="L401">
        <v>4</v>
      </c>
      <c r="M401">
        <v>4</v>
      </c>
      <c r="N401">
        <v>4.5</v>
      </c>
      <c r="O401">
        <v>4</v>
      </c>
      <c r="P401">
        <v>2.6666666666666665</v>
      </c>
      <c r="Q401">
        <v>1.5</v>
      </c>
      <c r="R401">
        <v>0</v>
      </c>
      <c r="S401">
        <v>0</v>
      </c>
      <c r="T401">
        <v>3</v>
      </c>
      <c r="U401">
        <v>3.2</v>
      </c>
      <c r="V401">
        <v>3.3333333333333335</v>
      </c>
      <c r="W401">
        <v>3.6666666666666665</v>
      </c>
      <c r="X401">
        <v>3.5555555555555554</v>
      </c>
      <c r="Y401">
        <v>2.4</v>
      </c>
      <c r="Z401">
        <v>1.5</v>
      </c>
      <c r="AA401">
        <v>0</v>
      </c>
      <c r="AB401">
        <v>0</v>
      </c>
      <c r="AC401">
        <v>2.5</v>
      </c>
      <c r="AD401">
        <v>2.5454545454545454</v>
      </c>
      <c r="AE401">
        <v>3</v>
      </c>
      <c r="AF401">
        <v>3</v>
      </c>
      <c r="AG401">
        <v>3</v>
      </c>
      <c r="AH401">
        <v>1</v>
      </c>
      <c r="AI401" s="1">
        <v>5</v>
      </c>
      <c r="AJ401" s="1">
        <v>536</v>
      </c>
      <c r="AK401" s="1" t="s">
        <v>186</v>
      </c>
      <c r="AL401" t="s">
        <v>5</v>
      </c>
      <c r="AM401" t="s">
        <v>0</v>
      </c>
      <c r="AN401">
        <v>0</v>
      </c>
      <c r="AO401">
        <v>0</v>
      </c>
      <c r="AP401">
        <v>188</v>
      </c>
      <c r="AQ401">
        <v>219.33333333333334</v>
      </c>
      <c r="AR401">
        <v>188</v>
      </c>
      <c r="AS401">
        <v>188</v>
      </c>
      <c r="AT401">
        <v>188</v>
      </c>
      <c r="AU401">
        <v>188</v>
      </c>
      <c r="AV401">
        <v>211.5</v>
      </c>
      <c r="AW401">
        <v>188</v>
      </c>
      <c r="AX401">
        <v>125.33333333333333</v>
      </c>
      <c r="AY401">
        <v>70.5</v>
      </c>
      <c r="AZ401">
        <v>0</v>
      </c>
      <c r="BA401">
        <v>0</v>
      </c>
      <c r="BB401">
        <v>141</v>
      </c>
      <c r="BC401">
        <v>150.4</v>
      </c>
      <c r="BD401">
        <v>156.66666666666666</v>
      </c>
      <c r="BE401">
        <v>172.33333333333334</v>
      </c>
      <c r="BF401">
        <v>167.11111111111111</v>
      </c>
      <c r="BG401">
        <v>112.8</v>
      </c>
      <c r="BH401">
        <v>70.5</v>
      </c>
      <c r="BI401">
        <v>0</v>
      </c>
      <c r="BJ401">
        <v>0</v>
      </c>
      <c r="BK401">
        <v>117.5</v>
      </c>
      <c r="BL401">
        <v>119.63636363636364</v>
      </c>
      <c r="BM401">
        <v>141</v>
      </c>
      <c r="BN401">
        <v>141</v>
      </c>
      <c r="BO401">
        <v>141</v>
      </c>
      <c r="BP401">
        <v>47</v>
      </c>
      <c r="BQ401">
        <f>(I401+J401+N401+O401)/4</f>
        <v>4.291666666666667</v>
      </c>
      <c r="BR401">
        <f>(K401+L401+M401)/3</f>
        <v>4</v>
      </c>
      <c r="BS401">
        <f>BQ401/BR401</f>
        <v>1.0729166666666667</v>
      </c>
      <c r="BT401">
        <f>AQ401/I401</f>
        <v>47</v>
      </c>
      <c r="BU401" t="str">
        <f>IF(OR(A401=2, A401=12), "Central", IF(A401=3, "Semi-Central", "Periférica"))</f>
        <v>Periférica</v>
      </c>
    </row>
    <row r="402" spans="1:73" x14ac:dyDescent="0.3">
      <c r="A402" s="1">
        <v>15</v>
      </c>
      <c r="B402" s="1">
        <v>1552</v>
      </c>
      <c r="C402" s="1" t="s">
        <v>53</v>
      </c>
      <c r="D402" t="s">
        <v>5</v>
      </c>
      <c r="E402" t="s">
        <v>0</v>
      </c>
      <c r="F402">
        <v>0</v>
      </c>
      <c r="G402">
        <v>0</v>
      </c>
      <c r="H402">
        <v>5</v>
      </c>
      <c r="I402">
        <v>5.333333333333333</v>
      </c>
      <c r="J402">
        <v>4</v>
      </c>
      <c r="K402">
        <v>3.666666666666667</v>
      </c>
      <c r="L402">
        <v>4</v>
      </c>
      <c r="M402">
        <v>4.8</v>
      </c>
      <c r="N402">
        <v>4</v>
      </c>
      <c r="O402">
        <v>4.5</v>
      </c>
      <c r="P402">
        <v>3.333333333333333</v>
      </c>
      <c r="Q402">
        <v>2.5</v>
      </c>
      <c r="R402">
        <v>0</v>
      </c>
      <c r="S402">
        <v>0</v>
      </c>
      <c r="T402">
        <v>3</v>
      </c>
      <c r="U402">
        <v>4</v>
      </c>
      <c r="V402">
        <v>4</v>
      </c>
      <c r="W402">
        <v>4</v>
      </c>
      <c r="X402">
        <v>4</v>
      </c>
      <c r="Y402">
        <v>4</v>
      </c>
      <c r="Z402">
        <v>2.5</v>
      </c>
      <c r="AA402">
        <v>0</v>
      </c>
      <c r="AB402">
        <v>0</v>
      </c>
      <c r="AC402">
        <v>3.5</v>
      </c>
      <c r="AD402">
        <v>2.9090909090909092</v>
      </c>
      <c r="AE402">
        <v>3</v>
      </c>
      <c r="AF402">
        <v>3</v>
      </c>
      <c r="AG402">
        <v>3</v>
      </c>
      <c r="AH402">
        <v>2</v>
      </c>
      <c r="AI402" s="1">
        <v>15</v>
      </c>
      <c r="AJ402" s="1">
        <v>1552</v>
      </c>
      <c r="AK402" s="1" t="s">
        <v>53</v>
      </c>
      <c r="AL402" t="s">
        <v>5</v>
      </c>
      <c r="AM402" t="s">
        <v>0</v>
      </c>
      <c r="AN402">
        <v>0</v>
      </c>
      <c r="AO402">
        <v>0</v>
      </c>
      <c r="AP402">
        <v>300</v>
      </c>
      <c r="AQ402">
        <v>320</v>
      </c>
      <c r="AR402">
        <v>240</v>
      </c>
      <c r="AS402">
        <v>220</v>
      </c>
      <c r="AT402">
        <v>240</v>
      </c>
      <c r="AU402">
        <v>288</v>
      </c>
      <c r="AV402">
        <v>240</v>
      </c>
      <c r="AW402">
        <v>270</v>
      </c>
      <c r="AX402">
        <v>200</v>
      </c>
      <c r="AY402">
        <v>150</v>
      </c>
      <c r="AZ402">
        <v>0</v>
      </c>
      <c r="BA402">
        <v>0</v>
      </c>
      <c r="BB402">
        <v>180</v>
      </c>
      <c r="BC402">
        <v>240</v>
      </c>
      <c r="BD402">
        <v>240</v>
      </c>
      <c r="BE402">
        <v>240</v>
      </c>
      <c r="BF402">
        <v>240</v>
      </c>
      <c r="BG402">
        <v>240</v>
      </c>
      <c r="BH402">
        <v>150</v>
      </c>
      <c r="BI402">
        <v>0</v>
      </c>
      <c r="BJ402">
        <v>0</v>
      </c>
      <c r="BK402">
        <v>210</v>
      </c>
      <c r="BL402">
        <v>174.5454545454545</v>
      </c>
      <c r="BM402">
        <v>180</v>
      </c>
      <c r="BN402">
        <v>180</v>
      </c>
      <c r="BO402">
        <v>180</v>
      </c>
      <c r="BP402">
        <v>120</v>
      </c>
      <c r="BQ402">
        <f>(I402+J402+N402+O402)/4</f>
        <v>4.458333333333333</v>
      </c>
      <c r="BR402">
        <f>(K402+L402+M402)/3</f>
        <v>4.1555555555555559</v>
      </c>
      <c r="BS402">
        <f>BQ402/BR402</f>
        <v>1.0728609625668448</v>
      </c>
      <c r="BT402">
        <f>AQ402/I402</f>
        <v>60</v>
      </c>
      <c r="BU402" t="str">
        <f>IF(OR(A402=2, A402=12), "Central", IF(A402=3, "Semi-Central", "Periférica"))</f>
        <v>Periférica</v>
      </c>
    </row>
    <row r="403" spans="1:73" x14ac:dyDescent="0.3">
      <c r="A403" s="1">
        <v>3</v>
      </c>
      <c r="B403" s="1">
        <v>385</v>
      </c>
      <c r="C403" s="1">
        <v>385</v>
      </c>
      <c r="D403" t="s">
        <v>5</v>
      </c>
      <c r="E403" t="s">
        <v>0</v>
      </c>
      <c r="F403">
        <v>0</v>
      </c>
      <c r="G403">
        <v>0.44444444444444442</v>
      </c>
      <c r="H403">
        <v>6</v>
      </c>
      <c r="I403">
        <v>5.333333333333333</v>
      </c>
      <c r="J403">
        <v>4.666666666666667</v>
      </c>
      <c r="K403">
        <v>5</v>
      </c>
      <c r="L403">
        <v>4.666666666666667</v>
      </c>
      <c r="M403">
        <v>4</v>
      </c>
      <c r="N403">
        <v>5</v>
      </c>
      <c r="O403">
        <v>4.5</v>
      </c>
      <c r="P403">
        <v>4</v>
      </c>
      <c r="Q403">
        <v>2.5</v>
      </c>
      <c r="R403">
        <v>0</v>
      </c>
      <c r="S403">
        <v>0</v>
      </c>
      <c r="T403">
        <v>2</v>
      </c>
      <c r="U403">
        <v>4</v>
      </c>
      <c r="V403">
        <v>4</v>
      </c>
      <c r="W403">
        <v>4</v>
      </c>
      <c r="X403">
        <v>3.7777777777777777</v>
      </c>
      <c r="Y403">
        <v>3.2</v>
      </c>
      <c r="Z403">
        <v>2.5</v>
      </c>
      <c r="AA403">
        <v>0</v>
      </c>
      <c r="AB403">
        <v>0</v>
      </c>
      <c r="AC403">
        <v>2.5</v>
      </c>
      <c r="AD403">
        <v>4</v>
      </c>
      <c r="AE403">
        <v>4</v>
      </c>
      <c r="AF403">
        <v>4</v>
      </c>
      <c r="AG403">
        <v>3</v>
      </c>
      <c r="AH403">
        <v>2.5</v>
      </c>
      <c r="AI403" s="1">
        <v>3</v>
      </c>
      <c r="AJ403" s="1">
        <v>385</v>
      </c>
      <c r="AK403" s="1">
        <v>385</v>
      </c>
      <c r="AL403" t="s">
        <v>5</v>
      </c>
      <c r="AM403" t="s">
        <v>0</v>
      </c>
      <c r="AN403">
        <v>0</v>
      </c>
      <c r="AO403">
        <v>43.555555555555557</v>
      </c>
      <c r="AP403">
        <v>588</v>
      </c>
      <c r="AQ403">
        <v>522.66666666666663</v>
      </c>
      <c r="AR403">
        <v>457.33333333333331</v>
      </c>
      <c r="AS403">
        <v>490</v>
      </c>
      <c r="AT403">
        <v>457.33333333333331</v>
      </c>
      <c r="AU403">
        <v>392</v>
      </c>
      <c r="AV403">
        <v>490</v>
      </c>
      <c r="AW403">
        <v>441</v>
      </c>
      <c r="AX403">
        <v>392</v>
      </c>
      <c r="AY403">
        <v>245</v>
      </c>
      <c r="AZ403">
        <v>0</v>
      </c>
      <c r="BA403">
        <v>0</v>
      </c>
      <c r="BB403">
        <v>196</v>
      </c>
      <c r="BC403">
        <v>392</v>
      </c>
      <c r="BD403">
        <v>392</v>
      </c>
      <c r="BE403">
        <v>392</v>
      </c>
      <c r="BF403">
        <v>370.22222222222223</v>
      </c>
      <c r="BG403">
        <v>313.60000000000002</v>
      </c>
      <c r="BH403">
        <v>245</v>
      </c>
      <c r="BI403">
        <v>0</v>
      </c>
      <c r="BJ403">
        <v>0</v>
      </c>
      <c r="BK403">
        <v>245</v>
      </c>
      <c r="BL403">
        <v>392</v>
      </c>
      <c r="BM403">
        <v>392</v>
      </c>
      <c r="BN403">
        <v>392</v>
      </c>
      <c r="BO403">
        <v>294</v>
      </c>
      <c r="BP403">
        <v>245</v>
      </c>
      <c r="BQ403">
        <f>(I403+J403+N403+O403)/4</f>
        <v>4.875</v>
      </c>
      <c r="BR403">
        <f>(K403+L403+M403)/3</f>
        <v>4.5555555555555562</v>
      </c>
      <c r="BS403">
        <f>BQ403/BR403</f>
        <v>1.0701219512195119</v>
      </c>
      <c r="BT403">
        <f>AQ403/I403</f>
        <v>98</v>
      </c>
      <c r="BU403" t="str">
        <f>IF(OR(A403=2, A403=12), "Central", IF(A403=3, "Semi-Central", "Periférica"))</f>
        <v>Semi-Central</v>
      </c>
    </row>
    <row r="404" spans="1:73" x14ac:dyDescent="0.3">
      <c r="A404" s="1">
        <v>8</v>
      </c>
      <c r="B404" s="1">
        <v>822</v>
      </c>
      <c r="C404" s="1">
        <v>722</v>
      </c>
      <c r="D404" t="s">
        <v>1</v>
      </c>
      <c r="F404">
        <v>2</v>
      </c>
      <c r="G404">
        <v>0.44444444444444442</v>
      </c>
      <c r="H404">
        <v>4</v>
      </c>
      <c r="I404">
        <v>5.333333333333333</v>
      </c>
      <c r="J404">
        <v>7.333333333333333</v>
      </c>
      <c r="K404">
        <v>6</v>
      </c>
      <c r="L404">
        <v>6</v>
      </c>
      <c r="M404">
        <v>6</v>
      </c>
      <c r="N404">
        <v>7</v>
      </c>
      <c r="O404">
        <v>6</v>
      </c>
      <c r="P404">
        <v>4.666666666666667</v>
      </c>
      <c r="Q404">
        <v>2.5</v>
      </c>
      <c r="R404">
        <v>2</v>
      </c>
      <c r="S404">
        <v>0.22222222222222221</v>
      </c>
      <c r="T404">
        <v>3</v>
      </c>
      <c r="U404">
        <v>3.6</v>
      </c>
      <c r="V404">
        <v>5</v>
      </c>
      <c r="W404">
        <v>5</v>
      </c>
      <c r="X404">
        <v>4.8888888888888893</v>
      </c>
      <c r="Y404">
        <v>3.6</v>
      </c>
      <c r="Z404">
        <v>2.5</v>
      </c>
      <c r="AA404">
        <v>2</v>
      </c>
      <c r="AB404">
        <v>0.22222222222222221</v>
      </c>
      <c r="AC404">
        <v>2.5</v>
      </c>
      <c r="AD404">
        <v>4.9090909090909092</v>
      </c>
      <c r="AE404">
        <v>5</v>
      </c>
      <c r="AF404">
        <v>4</v>
      </c>
      <c r="AG404">
        <v>3</v>
      </c>
      <c r="AH404">
        <v>2.5</v>
      </c>
      <c r="AI404" s="1">
        <v>8</v>
      </c>
      <c r="AJ404" s="1">
        <v>822</v>
      </c>
      <c r="AK404" s="1">
        <v>722</v>
      </c>
      <c r="AL404" t="s">
        <v>1</v>
      </c>
      <c r="AN404">
        <v>180</v>
      </c>
      <c r="AO404">
        <v>40</v>
      </c>
      <c r="AP404">
        <v>360</v>
      </c>
      <c r="AQ404">
        <v>480</v>
      </c>
      <c r="AR404">
        <v>660</v>
      </c>
      <c r="AS404">
        <v>540</v>
      </c>
      <c r="AT404">
        <v>540</v>
      </c>
      <c r="AU404">
        <v>540</v>
      </c>
      <c r="AV404">
        <v>630</v>
      </c>
      <c r="AW404">
        <v>540</v>
      </c>
      <c r="AX404">
        <v>420</v>
      </c>
      <c r="AY404">
        <v>225</v>
      </c>
      <c r="AZ404">
        <v>180</v>
      </c>
      <c r="BA404">
        <v>20</v>
      </c>
      <c r="BB404">
        <v>270</v>
      </c>
      <c r="BC404">
        <v>324</v>
      </c>
      <c r="BD404">
        <v>450</v>
      </c>
      <c r="BE404">
        <v>450</v>
      </c>
      <c r="BF404">
        <v>440</v>
      </c>
      <c r="BG404">
        <v>324</v>
      </c>
      <c r="BH404">
        <v>225</v>
      </c>
      <c r="BI404">
        <v>180</v>
      </c>
      <c r="BJ404">
        <v>20</v>
      </c>
      <c r="BK404">
        <v>225</v>
      </c>
      <c r="BL404">
        <v>441.81818181818181</v>
      </c>
      <c r="BM404">
        <v>450</v>
      </c>
      <c r="BN404">
        <v>360</v>
      </c>
      <c r="BO404">
        <v>270</v>
      </c>
      <c r="BP404">
        <v>225</v>
      </c>
      <c r="BQ404">
        <f>(I404+J404+N404+O404)/4</f>
        <v>6.4166666666666661</v>
      </c>
      <c r="BR404">
        <f>(K404+L404+M404)/3</f>
        <v>6</v>
      </c>
      <c r="BS404">
        <f>BQ404/BR404</f>
        <v>1.0694444444444444</v>
      </c>
      <c r="BT404">
        <f>AQ404/I404</f>
        <v>90</v>
      </c>
      <c r="BU404" t="str">
        <f>IF(OR(A404=2, A404=12), "Central", IF(A404=3, "Semi-Central", "Periférica"))</f>
        <v>Periférica</v>
      </c>
    </row>
    <row r="405" spans="1:73" x14ac:dyDescent="0.3">
      <c r="A405" s="1">
        <v>9</v>
      </c>
      <c r="B405" s="1">
        <v>967</v>
      </c>
      <c r="C405" s="1">
        <v>712</v>
      </c>
      <c r="D405" t="s">
        <v>5</v>
      </c>
      <c r="F405">
        <v>2</v>
      </c>
      <c r="G405">
        <v>3.7777777777777781</v>
      </c>
      <c r="H405">
        <v>8</v>
      </c>
      <c r="I405">
        <v>8</v>
      </c>
      <c r="J405">
        <v>6.666666666666667</v>
      </c>
      <c r="K405">
        <v>6</v>
      </c>
      <c r="L405">
        <v>6</v>
      </c>
      <c r="M405">
        <v>6</v>
      </c>
      <c r="N405">
        <v>5.5</v>
      </c>
      <c r="O405">
        <v>5.5</v>
      </c>
      <c r="P405">
        <v>4</v>
      </c>
      <c r="Q405">
        <v>2.5</v>
      </c>
      <c r="R405">
        <v>2</v>
      </c>
      <c r="S405">
        <v>3.1111111111111112</v>
      </c>
      <c r="T405">
        <v>7</v>
      </c>
      <c r="U405">
        <v>6.4</v>
      </c>
      <c r="V405">
        <v>5.333333333333333</v>
      </c>
      <c r="W405">
        <v>5</v>
      </c>
      <c r="X405">
        <v>5.1111111111111107</v>
      </c>
      <c r="Y405">
        <v>3.6</v>
      </c>
      <c r="Z405">
        <v>2.5</v>
      </c>
      <c r="AA405">
        <v>2</v>
      </c>
      <c r="AB405">
        <v>2.666666666666667</v>
      </c>
      <c r="AC405">
        <v>4</v>
      </c>
      <c r="AD405">
        <v>5.0909090909090908</v>
      </c>
      <c r="AE405">
        <v>5</v>
      </c>
      <c r="AF405">
        <v>4.333333333333333</v>
      </c>
      <c r="AG405">
        <v>3</v>
      </c>
      <c r="AH405">
        <v>2.5</v>
      </c>
      <c r="AI405" s="1">
        <v>9</v>
      </c>
      <c r="AJ405" s="1">
        <v>967</v>
      </c>
      <c r="AK405" s="1">
        <v>712</v>
      </c>
      <c r="AL405" t="s">
        <v>5</v>
      </c>
      <c r="AN405">
        <v>180</v>
      </c>
      <c r="AO405">
        <v>340</v>
      </c>
      <c r="AP405">
        <v>720</v>
      </c>
      <c r="AQ405">
        <v>720</v>
      </c>
      <c r="AR405">
        <v>600</v>
      </c>
      <c r="AS405">
        <v>540</v>
      </c>
      <c r="AT405">
        <v>540</v>
      </c>
      <c r="AU405">
        <v>540</v>
      </c>
      <c r="AV405">
        <v>495</v>
      </c>
      <c r="AW405">
        <v>495</v>
      </c>
      <c r="AX405">
        <v>360</v>
      </c>
      <c r="AY405">
        <v>225</v>
      </c>
      <c r="AZ405">
        <v>180</v>
      </c>
      <c r="BA405">
        <v>280</v>
      </c>
      <c r="BB405">
        <v>630</v>
      </c>
      <c r="BC405">
        <v>576</v>
      </c>
      <c r="BD405">
        <v>480</v>
      </c>
      <c r="BE405">
        <v>450</v>
      </c>
      <c r="BF405">
        <v>460</v>
      </c>
      <c r="BG405">
        <v>324</v>
      </c>
      <c r="BH405">
        <v>225</v>
      </c>
      <c r="BI405">
        <v>180</v>
      </c>
      <c r="BJ405">
        <v>240</v>
      </c>
      <c r="BK405">
        <v>360</v>
      </c>
      <c r="BL405">
        <v>458.18181818181819</v>
      </c>
      <c r="BM405">
        <v>450</v>
      </c>
      <c r="BN405">
        <v>390</v>
      </c>
      <c r="BO405">
        <v>270</v>
      </c>
      <c r="BP405">
        <v>225</v>
      </c>
      <c r="BQ405">
        <f>(I405+J405+N405+O405)/4</f>
        <v>6.416666666666667</v>
      </c>
      <c r="BR405">
        <f>(K405+L405+M405)/3</f>
        <v>6</v>
      </c>
      <c r="BS405">
        <f>BQ405/BR405</f>
        <v>1.0694444444444444</v>
      </c>
      <c r="BT405">
        <f>AQ405/I405</f>
        <v>90</v>
      </c>
      <c r="BU405" t="str">
        <f>IF(OR(A405=2, A405=12), "Central", IF(A405=3, "Semi-Central", "Periférica"))</f>
        <v>Periférica</v>
      </c>
    </row>
    <row r="406" spans="1:73" x14ac:dyDescent="0.3">
      <c r="A406" s="1">
        <v>12</v>
      </c>
      <c r="B406" s="1">
        <v>1227</v>
      </c>
      <c r="C406" s="1">
        <v>107</v>
      </c>
      <c r="D406" t="s">
        <v>1</v>
      </c>
      <c r="E406" t="s">
        <v>0</v>
      </c>
      <c r="F406">
        <v>2</v>
      </c>
      <c r="G406">
        <v>2.8888888888888888</v>
      </c>
      <c r="H406">
        <v>14</v>
      </c>
      <c r="I406">
        <v>10.66666666666667</v>
      </c>
      <c r="J406">
        <v>8.6666666666666661</v>
      </c>
      <c r="K406">
        <v>8</v>
      </c>
      <c r="L406">
        <v>8</v>
      </c>
      <c r="M406">
        <v>8.8000000000000007</v>
      </c>
      <c r="N406">
        <v>9</v>
      </c>
      <c r="O406">
        <v>7</v>
      </c>
      <c r="P406">
        <v>5.333333333333333</v>
      </c>
      <c r="Q406">
        <v>3.5</v>
      </c>
      <c r="R406">
        <v>2</v>
      </c>
      <c r="S406">
        <v>2.2222222222222219</v>
      </c>
      <c r="T406">
        <v>6</v>
      </c>
      <c r="U406">
        <v>7.2</v>
      </c>
      <c r="V406">
        <v>7</v>
      </c>
      <c r="W406">
        <v>7</v>
      </c>
      <c r="X406">
        <v>6.8888888888888893</v>
      </c>
      <c r="Y406">
        <v>5.6</v>
      </c>
      <c r="Z406">
        <v>4</v>
      </c>
      <c r="AA406">
        <v>2</v>
      </c>
      <c r="AB406">
        <v>2</v>
      </c>
      <c r="AC406">
        <v>4</v>
      </c>
      <c r="AD406">
        <v>6</v>
      </c>
      <c r="AE406">
        <v>6</v>
      </c>
      <c r="AF406">
        <v>6</v>
      </c>
      <c r="AG406">
        <v>5</v>
      </c>
      <c r="AH406">
        <v>3.5</v>
      </c>
      <c r="AI406" s="1">
        <v>12</v>
      </c>
      <c r="AJ406" s="1">
        <v>1227</v>
      </c>
      <c r="AK406" s="1">
        <v>107</v>
      </c>
      <c r="AL406" t="s">
        <v>1</v>
      </c>
      <c r="AM406" t="s">
        <v>0</v>
      </c>
      <c r="AN406">
        <v>300</v>
      </c>
      <c r="AO406">
        <v>433.33333333333331</v>
      </c>
      <c r="AP406">
        <v>2100</v>
      </c>
      <c r="AQ406">
        <v>1600</v>
      </c>
      <c r="AR406">
        <v>1300</v>
      </c>
      <c r="AS406">
        <v>1200</v>
      </c>
      <c r="AT406">
        <v>1200</v>
      </c>
      <c r="AU406">
        <v>1320</v>
      </c>
      <c r="AV406">
        <v>1350</v>
      </c>
      <c r="AW406">
        <v>1050</v>
      </c>
      <c r="AX406">
        <v>800</v>
      </c>
      <c r="AY406">
        <v>525</v>
      </c>
      <c r="AZ406">
        <v>180</v>
      </c>
      <c r="BA406">
        <v>200</v>
      </c>
      <c r="BB406">
        <v>540</v>
      </c>
      <c r="BC406">
        <v>648</v>
      </c>
      <c r="BD406">
        <v>630</v>
      </c>
      <c r="BE406">
        <v>630</v>
      </c>
      <c r="BF406">
        <v>620</v>
      </c>
      <c r="BG406">
        <v>504</v>
      </c>
      <c r="BH406">
        <v>360</v>
      </c>
      <c r="BI406">
        <v>180</v>
      </c>
      <c r="BJ406">
        <v>180</v>
      </c>
      <c r="BK406">
        <v>360</v>
      </c>
      <c r="BL406">
        <v>540</v>
      </c>
      <c r="BM406">
        <v>540</v>
      </c>
      <c r="BN406">
        <v>540</v>
      </c>
      <c r="BO406">
        <v>450</v>
      </c>
      <c r="BP406">
        <v>315</v>
      </c>
      <c r="BQ406">
        <f>(I406+J406+N406+O406)/4</f>
        <v>8.8333333333333339</v>
      </c>
      <c r="BR406">
        <f>(K406+L406+M406)/3</f>
        <v>8.2666666666666675</v>
      </c>
      <c r="BS406">
        <f>BQ406/BR406</f>
        <v>1.0685483870967742</v>
      </c>
      <c r="BT406">
        <f>AQ406/I406</f>
        <v>149.99999999999997</v>
      </c>
      <c r="BU406" t="str">
        <f>IF(OR(A406=2, A406=12), "Central", IF(A406=3, "Semi-Central", "Periférica"))</f>
        <v>Central</v>
      </c>
    </row>
    <row r="407" spans="1:73" x14ac:dyDescent="0.3">
      <c r="A407" s="1">
        <v>10</v>
      </c>
      <c r="B407" s="1">
        <v>1059</v>
      </c>
      <c r="C407" s="1" t="s">
        <v>306</v>
      </c>
      <c r="D407" t="s">
        <v>5</v>
      </c>
      <c r="E407" t="s">
        <v>0</v>
      </c>
      <c r="F407">
        <v>0</v>
      </c>
      <c r="G407">
        <v>0</v>
      </c>
      <c r="H407">
        <v>5</v>
      </c>
      <c r="I407">
        <v>5.333333333333333</v>
      </c>
      <c r="J407">
        <v>5.333333333333333</v>
      </c>
      <c r="K407">
        <v>5</v>
      </c>
      <c r="L407">
        <v>4.666666666666667</v>
      </c>
      <c r="M407">
        <v>5.2</v>
      </c>
      <c r="N407">
        <v>5</v>
      </c>
      <c r="O407">
        <v>5.5</v>
      </c>
      <c r="P407">
        <v>5.333333333333333</v>
      </c>
      <c r="Q407">
        <v>2</v>
      </c>
      <c r="R407">
        <v>0</v>
      </c>
      <c r="S407">
        <v>0</v>
      </c>
      <c r="T407">
        <v>4</v>
      </c>
      <c r="U407">
        <v>5.2</v>
      </c>
      <c r="V407">
        <v>5</v>
      </c>
      <c r="W407">
        <v>4</v>
      </c>
      <c r="X407">
        <v>3.333333333333333</v>
      </c>
      <c r="Y407">
        <v>2.8</v>
      </c>
      <c r="Z407">
        <v>2</v>
      </c>
      <c r="AA407">
        <v>0</v>
      </c>
      <c r="AB407">
        <v>0</v>
      </c>
      <c r="AC407">
        <v>2.5</v>
      </c>
      <c r="AD407">
        <v>3.0909090909090908</v>
      </c>
      <c r="AE407">
        <v>3.4</v>
      </c>
      <c r="AF407">
        <v>3</v>
      </c>
      <c r="AG407">
        <v>3</v>
      </c>
      <c r="AH407">
        <v>2.5</v>
      </c>
      <c r="AI407" s="1">
        <v>10</v>
      </c>
      <c r="AJ407" s="1">
        <v>1059</v>
      </c>
      <c r="AK407" s="1" t="s">
        <v>306</v>
      </c>
      <c r="AL407" t="s">
        <v>5</v>
      </c>
      <c r="AM407" t="s">
        <v>0</v>
      </c>
      <c r="AN407">
        <v>0</v>
      </c>
      <c r="AO407">
        <v>0</v>
      </c>
      <c r="AP407">
        <v>450</v>
      </c>
      <c r="AQ407">
        <v>480</v>
      </c>
      <c r="AR407">
        <v>480</v>
      </c>
      <c r="AS407">
        <v>450</v>
      </c>
      <c r="AT407">
        <v>420</v>
      </c>
      <c r="AU407">
        <v>468</v>
      </c>
      <c r="AV407">
        <v>450</v>
      </c>
      <c r="AW407">
        <v>495</v>
      </c>
      <c r="AX407">
        <v>480</v>
      </c>
      <c r="AY407">
        <v>180</v>
      </c>
      <c r="AZ407">
        <v>0</v>
      </c>
      <c r="BA407">
        <v>0</v>
      </c>
      <c r="BB407">
        <v>360</v>
      </c>
      <c r="BC407">
        <v>468</v>
      </c>
      <c r="BD407">
        <v>450</v>
      </c>
      <c r="BE407">
        <v>360</v>
      </c>
      <c r="BF407">
        <v>300</v>
      </c>
      <c r="BG407">
        <v>252</v>
      </c>
      <c r="BH407">
        <v>180</v>
      </c>
      <c r="BI407">
        <v>0</v>
      </c>
      <c r="BJ407">
        <v>0</v>
      </c>
      <c r="BK407">
        <v>225</v>
      </c>
      <c r="BL407">
        <v>278.18181818181819</v>
      </c>
      <c r="BM407">
        <v>306</v>
      </c>
      <c r="BN407">
        <v>270</v>
      </c>
      <c r="BO407">
        <v>270</v>
      </c>
      <c r="BP407">
        <v>225</v>
      </c>
      <c r="BQ407">
        <f>(I407+J407+N407+O407)/4</f>
        <v>5.2916666666666661</v>
      </c>
      <c r="BR407">
        <f>(K407+L407+M407)/3</f>
        <v>4.9555555555555557</v>
      </c>
      <c r="BS407">
        <f>BQ407/BR407</f>
        <v>1.0678251121076232</v>
      </c>
      <c r="BT407">
        <f>AQ407/I407</f>
        <v>90</v>
      </c>
      <c r="BU407" t="str">
        <f>IF(OR(A407=2, A407=12), "Central", IF(A407=3, "Semi-Central", "Periférica"))</f>
        <v>Periférica</v>
      </c>
    </row>
    <row r="408" spans="1:73" x14ac:dyDescent="0.3">
      <c r="A408" s="1">
        <v>10</v>
      </c>
      <c r="B408" s="1">
        <v>1059</v>
      </c>
      <c r="C408" s="1" t="s">
        <v>306</v>
      </c>
      <c r="D408" t="s">
        <v>1</v>
      </c>
      <c r="E408" t="s">
        <v>0</v>
      </c>
      <c r="F408">
        <v>0</v>
      </c>
      <c r="G408">
        <v>0.44444444444444442</v>
      </c>
      <c r="H408">
        <v>5</v>
      </c>
      <c r="I408">
        <v>5.333333333333333</v>
      </c>
      <c r="J408">
        <v>5.333333333333333</v>
      </c>
      <c r="K408">
        <v>5</v>
      </c>
      <c r="L408">
        <v>4.666666666666667</v>
      </c>
      <c r="M408">
        <v>5.2</v>
      </c>
      <c r="N408">
        <v>5.5</v>
      </c>
      <c r="O408">
        <v>5</v>
      </c>
      <c r="P408">
        <v>4.666666666666667</v>
      </c>
      <c r="Q408">
        <v>1.5</v>
      </c>
      <c r="R408">
        <v>0</v>
      </c>
      <c r="S408">
        <v>0.44444444444444442</v>
      </c>
      <c r="T408">
        <v>5</v>
      </c>
      <c r="U408">
        <v>5.2</v>
      </c>
      <c r="V408">
        <v>5</v>
      </c>
      <c r="W408">
        <v>4</v>
      </c>
      <c r="X408">
        <v>3.333333333333333</v>
      </c>
      <c r="Y408">
        <v>2.8</v>
      </c>
      <c r="Z408">
        <v>1.5</v>
      </c>
      <c r="AA408">
        <v>0</v>
      </c>
      <c r="AB408">
        <v>0.22222222222222221</v>
      </c>
      <c r="AC408">
        <v>2</v>
      </c>
      <c r="AD408">
        <v>3.0909090909090908</v>
      </c>
      <c r="AE408">
        <v>3.4</v>
      </c>
      <c r="AF408">
        <v>3</v>
      </c>
      <c r="AG408">
        <v>3</v>
      </c>
      <c r="AH408">
        <v>2.5</v>
      </c>
      <c r="AI408" s="1">
        <v>10</v>
      </c>
      <c r="AJ408" s="1">
        <v>1059</v>
      </c>
      <c r="AK408" s="1" t="s">
        <v>306</v>
      </c>
      <c r="AL408" t="s">
        <v>1</v>
      </c>
      <c r="AM408" t="s">
        <v>0</v>
      </c>
      <c r="AN408">
        <v>0</v>
      </c>
      <c r="AO408">
        <v>40</v>
      </c>
      <c r="AP408">
        <v>450</v>
      </c>
      <c r="AQ408">
        <v>480</v>
      </c>
      <c r="AR408">
        <v>480</v>
      </c>
      <c r="AS408">
        <v>450</v>
      </c>
      <c r="AT408">
        <v>420</v>
      </c>
      <c r="AU408">
        <v>468</v>
      </c>
      <c r="AV408">
        <v>495</v>
      </c>
      <c r="AW408">
        <v>450</v>
      </c>
      <c r="AX408">
        <v>420</v>
      </c>
      <c r="AY408">
        <v>135</v>
      </c>
      <c r="AZ408">
        <v>0</v>
      </c>
      <c r="BA408">
        <v>40</v>
      </c>
      <c r="BB408">
        <v>450</v>
      </c>
      <c r="BC408">
        <v>468</v>
      </c>
      <c r="BD408">
        <v>450</v>
      </c>
      <c r="BE408">
        <v>360</v>
      </c>
      <c r="BF408">
        <v>300</v>
      </c>
      <c r="BG408">
        <v>252</v>
      </c>
      <c r="BH408">
        <v>135</v>
      </c>
      <c r="BI408">
        <v>0</v>
      </c>
      <c r="BJ408">
        <v>20</v>
      </c>
      <c r="BK408">
        <v>180</v>
      </c>
      <c r="BL408">
        <v>278.18181818181819</v>
      </c>
      <c r="BM408">
        <v>306</v>
      </c>
      <c r="BN408">
        <v>270</v>
      </c>
      <c r="BO408">
        <v>270</v>
      </c>
      <c r="BP408">
        <v>225</v>
      </c>
      <c r="BQ408">
        <f>(I408+J408+N408+O408)/4</f>
        <v>5.2916666666666661</v>
      </c>
      <c r="BR408">
        <f>(K408+L408+M408)/3</f>
        <v>4.9555555555555557</v>
      </c>
      <c r="BS408">
        <f>BQ408/BR408</f>
        <v>1.0678251121076232</v>
      </c>
      <c r="BT408">
        <f>AQ408/I408</f>
        <v>90</v>
      </c>
      <c r="BU408" t="str">
        <f>IF(OR(A408=2, A408=12), "Central", IF(A408=3, "Semi-Central", "Periférica"))</f>
        <v>Periférica</v>
      </c>
    </row>
    <row r="409" spans="1:73" x14ac:dyDescent="0.3">
      <c r="A409" s="1">
        <v>3</v>
      </c>
      <c r="B409" s="1">
        <v>387</v>
      </c>
      <c r="C409" s="1" t="s">
        <v>305</v>
      </c>
      <c r="D409" t="s">
        <v>1</v>
      </c>
      <c r="E409" t="s">
        <v>0</v>
      </c>
      <c r="F409">
        <v>0</v>
      </c>
      <c r="G409">
        <v>0</v>
      </c>
      <c r="H409">
        <v>3</v>
      </c>
      <c r="I409">
        <v>5.333333333333333</v>
      </c>
      <c r="J409">
        <v>4.666666666666667</v>
      </c>
      <c r="K409">
        <v>5</v>
      </c>
      <c r="L409">
        <v>4.666666666666667</v>
      </c>
      <c r="M409">
        <v>4.4000000000000004</v>
      </c>
      <c r="N409">
        <v>5</v>
      </c>
      <c r="O409">
        <v>5</v>
      </c>
      <c r="P409">
        <v>4</v>
      </c>
      <c r="Q409">
        <v>1.5</v>
      </c>
      <c r="R409">
        <v>0</v>
      </c>
      <c r="S409">
        <v>0</v>
      </c>
      <c r="T409">
        <v>2</v>
      </c>
      <c r="U409">
        <v>3.6</v>
      </c>
      <c r="V409">
        <v>3.6666666666666665</v>
      </c>
      <c r="W409">
        <v>3.6666666666666665</v>
      </c>
      <c r="X409">
        <v>3.7777777777777777</v>
      </c>
      <c r="Y409">
        <v>3.2</v>
      </c>
      <c r="Z409">
        <v>1</v>
      </c>
      <c r="AA409">
        <v>0</v>
      </c>
      <c r="AB409">
        <v>0</v>
      </c>
      <c r="AC409">
        <v>3</v>
      </c>
      <c r="AD409">
        <v>3.0909090909090908</v>
      </c>
      <c r="AE409">
        <v>3</v>
      </c>
      <c r="AF409">
        <v>3</v>
      </c>
      <c r="AG409">
        <v>3</v>
      </c>
      <c r="AH409">
        <v>1.5</v>
      </c>
      <c r="AI409" s="1">
        <v>3</v>
      </c>
      <c r="AJ409" s="1">
        <v>387</v>
      </c>
      <c r="AK409" s="1" t="s">
        <v>305</v>
      </c>
      <c r="AL409" t="s">
        <v>1</v>
      </c>
      <c r="AM409" t="s">
        <v>0</v>
      </c>
      <c r="AN409">
        <v>0</v>
      </c>
      <c r="AO409">
        <v>0</v>
      </c>
      <c r="AP409">
        <v>279</v>
      </c>
      <c r="AQ409">
        <v>496</v>
      </c>
      <c r="AR409">
        <v>434</v>
      </c>
      <c r="AS409">
        <v>465</v>
      </c>
      <c r="AT409">
        <v>434</v>
      </c>
      <c r="AU409">
        <v>409.2</v>
      </c>
      <c r="AV409">
        <v>465</v>
      </c>
      <c r="AW409">
        <v>465</v>
      </c>
      <c r="AX409">
        <v>372</v>
      </c>
      <c r="AY409">
        <v>139.5</v>
      </c>
      <c r="AZ409">
        <v>0</v>
      </c>
      <c r="BA409">
        <v>0</v>
      </c>
      <c r="BB409">
        <v>186</v>
      </c>
      <c r="BC409">
        <v>334.8</v>
      </c>
      <c r="BD409">
        <v>341</v>
      </c>
      <c r="BE409">
        <v>341</v>
      </c>
      <c r="BF409">
        <v>351.33333333333331</v>
      </c>
      <c r="BG409">
        <v>297.60000000000002</v>
      </c>
      <c r="BH409">
        <v>93</v>
      </c>
      <c r="BI409">
        <v>0</v>
      </c>
      <c r="BJ409">
        <v>0</v>
      </c>
      <c r="BK409">
        <v>279</v>
      </c>
      <c r="BL409">
        <v>287.45454545454544</v>
      </c>
      <c r="BM409">
        <v>279</v>
      </c>
      <c r="BN409">
        <v>279</v>
      </c>
      <c r="BO409">
        <v>279</v>
      </c>
      <c r="BP409">
        <v>139.5</v>
      </c>
      <c r="BQ409">
        <f>(I409+J409+N409+O409)/4</f>
        <v>5</v>
      </c>
      <c r="BR409">
        <f>(K409+L409+M409)/3</f>
        <v>4.6888888888888891</v>
      </c>
      <c r="BS409">
        <f>BQ409/BR409</f>
        <v>1.066350710900474</v>
      </c>
      <c r="BT409">
        <f>AQ409/I409</f>
        <v>93</v>
      </c>
      <c r="BU409" t="str">
        <f>IF(OR(A409=2, A409=12), "Central", IF(A409=3, "Semi-Central", "Periférica"))</f>
        <v>Semi-Central</v>
      </c>
    </row>
    <row r="410" spans="1:73" x14ac:dyDescent="0.3">
      <c r="A410" s="1">
        <v>16</v>
      </c>
      <c r="B410" s="1">
        <v>1625</v>
      </c>
      <c r="C410" s="1">
        <v>325</v>
      </c>
      <c r="D410" t="s">
        <v>5</v>
      </c>
      <c r="E410" t="s">
        <v>0</v>
      </c>
      <c r="F410">
        <v>0</v>
      </c>
      <c r="G410">
        <v>0.44444444444444442</v>
      </c>
      <c r="H410">
        <v>6</v>
      </c>
      <c r="I410">
        <v>5.333333333333333</v>
      </c>
      <c r="J410">
        <v>4.666666666666667</v>
      </c>
      <c r="K410">
        <v>4.666666666666667</v>
      </c>
      <c r="L410">
        <v>4</v>
      </c>
      <c r="M410">
        <v>4</v>
      </c>
      <c r="N410">
        <v>4</v>
      </c>
      <c r="O410">
        <v>4</v>
      </c>
      <c r="P410">
        <v>3.333333333333333</v>
      </c>
      <c r="Q410">
        <v>3</v>
      </c>
      <c r="R410">
        <v>0</v>
      </c>
      <c r="S410">
        <v>0</v>
      </c>
      <c r="T410">
        <v>2</v>
      </c>
      <c r="U410">
        <v>4.8</v>
      </c>
      <c r="V410">
        <v>4</v>
      </c>
      <c r="W410">
        <v>4</v>
      </c>
      <c r="X410">
        <v>4.4444444444444446</v>
      </c>
      <c r="Y410">
        <v>3.6</v>
      </c>
      <c r="Z410">
        <v>2.5</v>
      </c>
      <c r="AA410">
        <v>0</v>
      </c>
      <c r="AB410">
        <v>0</v>
      </c>
      <c r="AC410">
        <v>2.5</v>
      </c>
      <c r="AD410">
        <v>4</v>
      </c>
      <c r="AE410">
        <v>4</v>
      </c>
      <c r="AF410">
        <v>4.333333333333333</v>
      </c>
      <c r="AG410">
        <v>3</v>
      </c>
      <c r="AH410">
        <v>2.5</v>
      </c>
      <c r="AI410" s="1">
        <v>16</v>
      </c>
      <c r="AJ410" s="1">
        <v>1625</v>
      </c>
      <c r="AK410" s="1">
        <v>325</v>
      </c>
      <c r="AL410" t="s">
        <v>5</v>
      </c>
      <c r="AM410" t="s">
        <v>0</v>
      </c>
      <c r="AN410">
        <v>0</v>
      </c>
      <c r="AO410">
        <v>40</v>
      </c>
      <c r="AP410">
        <v>540</v>
      </c>
      <c r="AQ410">
        <v>480</v>
      </c>
      <c r="AR410">
        <v>420</v>
      </c>
      <c r="AS410">
        <v>420</v>
      </c>
      <c r="AT410">
        <v>360</v>
      </c>
      <c r="AU410">
        <v>360</v>
      </c>
      <c r="AV410">
        <v>360</v>
      </c>
      <c r="AW410">
        <v>360</v>
      </c>
      <c r="AX410">
        <v>300</v>
      </c>
      <c r="AY410">
        <v>270</v>
      </c>
      <c r="AZ410">
        <v>0</v>
      </c>
      <c r="BA410">
        <v>0</v>
      </c>
      <c r="BB410">
        <v>180</v>
      </c>
      <c r="BC410">
        <v>432</v>
      </c>
      <c r="BD410">
        <v>360</v>
      </c>
      <c r="BE410">
        <v>360</v>
      </c>
      <c r="BF410">
        <v>400</v>
      </c>
      <c r="BG410">
        <v>324</v>
      </c>
      <c r="BH410">
        <v>225</v>
      </c>
      <c r="BI410">
        <v>0</v>
      </c>
      <c r="BJ410">
        <v>0</v>
      </c>
      <c r="BK410">
        <v>225</v>
      </c>
      <c r="BL410">
        <v>360</v>
      </c>
      <c r="BM410">
        <v>360</v>
      </c>
      <c r="BN410">
        <v>390</v>
      </c>
      <c r="BO410">
        <v>270</v>
      </c>
      <c r="BP410">
        <v>225</v>
      </c>
      <c r="BQ410">
        <f>(I410+J410+N410+O410)/4</f>
        <v>4.5</v>
      </c>
      <c r="BR410">
        <f>(K410+L410+M410)/3</f>
        <v>4.2222222222222223</v>
      </c>
      <c r="BS410">
        <f>BQ410/BR410</f>
        <v>1.0657894736842104</v>
      </c>
      <c r="BT410">
        <f>AQ410/I410</f>
        <v>90</v>
      </c>
      <c r="BU410" t="str">
        <f>IF(OR(A410=2, A410=12), "Central", IF(A410=3, "Semi-Central", "Periférica"))</f>
        <v>Periférica</v>
      </c>
    </row>
    <row r="411" spans="1:73" x14ac:dyDescent="0.3">
      <c r="A411" s="1">
        <v>16</v>
      </c>
      <c r="B411" s="1">
        <v>1625</v>
      </c>
      <c r="C411" s="1">
        <v>325</v>
      </c>
      <c r="D411" t="s">
        <v>1</v>
      </c>
      <c r="E411" t="s">
        <v>0</v>
      </c>
      <c r="F411">
        <v>2</v>
      </c>
      <c r="G411">
        <v>0</v>
      </c>
      <c r="H411">
        <v>5</v>
      </c>
      <c r="I411">
        <v>5.333333333333333</v>
      </c>
      <c r="J411">
        <v>4.666666666666667</v>
      </c>
      <c r="K411">
        <v>4.666666666666667</v>
      </c>
      <c r="L411">
        <v>4</v>
      </c>
      <c r="M411">
        <v>4</v>
      </c>
      <c r="N411">
        <v>4</v>
      </c>
      <c r="O411">
        <v>4</v>
      </c>
      <c r="P411">
        <v>3.333333333333333</v>
      </c>
      <c r="Q411">
        <v>3.5</v>
      </c>
      <c r="R411">
        <v>2</v>
      </c>
      <c r="S411">
        <v>0</v>
      </c>
      <c r="T411">
        <v>2</v>
      </c>
      <c r="U411">
        <v>4.8</v>
      </c>
      <c r="V411">
        <v>4</v>
      </c>
      <c r="W411">
        <v>4</v>
      </c>
      <c r="X411">
        <v>4.4444444444444446</v>
      </c>
      <c r="Y411">
        <v>4</v>
      </c>
      <c r="Z411">
        <v>3</v>
      </c>
      <c r="AA411">
        <v>2</v>
      </c>
      <c r="AB411">
        <v>0</v>
      </c>
      <c r="AC411">
        <v>2</v>
      </c>
      <c r="AD411">
        <v>4</v>
      </c>
      <c r="AE411">
        <v>4</v>
      </c>
      <c r="AF411">
        <v>4.333333333333333</v>
      </c>
      <c r="AG411">
        <v>3</v>
      </c>
      <c r="AH411">
        <v>2.5</v>
      </c>
      <c r="AI411" s="1">
        <v>16</v>
      </c>
      <c r="AJ411" s="1">
        <v>1625</v>
      </c>
      <c r="AK411" s="1">
        <v>325</v>
      </c>
      <c r="AL411" t="s">
        <v>1</v>
      </c>
      <c r="AM411" t="s">
        <v>0</v>
      </c>
      <c r="AN411">
        <v>180</v>
      </c>
      <c r="AO411">
        <v>0</v>
      </c>
      <c r="AP411">
        <v>450</v>
      </c>
      <c r="AQ411">
        <v>480</v>
      </c>
      <c r="AR411">
        <v>420</v>
      </c>
      <c r="AS411">
        <v>420</v>
      </c>
      <c r="AT411">
        <v>360</v>
      </c>
      <c r="AU411">
        <v>360</v>
      </c>
      <c r="AV411">
        <v>360</v>
      </c>
      <c r="AW411">
        <v>360</v>
      </c>
      <c r="AX411">
        <v>300</v>
      </c>
      <c r="AY411">
        <v>315</v>
      </c>
      <c r="AZ411">
        <v>180</v>
      </c>
      <c r="BA411">
        <v>0</v>
      </c>
      <c r="BB411">
        <v>180</v>
      </c>
      <c r="BC411">
        <v>432</v>
      </c>
      <c r="BD411">
        <v>360</v>
      </c>
      <c r="BE411">
        <v>360</v>
      </c>
      <c r="BF411">
        <v>400</v>
      </c>
      <c r="BG411">
        <v>360</v>
      </c>
      <c r="BH411">
        <v>270</v>
      </c>
      <c r="BI411">
        <v>180</v>
      </c>
      <c r="BJ411">
        <v>0</v>
      </c>
      <c r="BK411">
        <v>180</v>
      </c>
      <c r="BL411">
        <v>360</v>
      </c>
      <c r="BM411">
        <v>360</v>
      </c>
      <c r="BN411">
        <v>390</v>
      </c>
      <c r="BO411">
        <v>270</v>
      </c>
      <c r="BP411">
        <v>225</v>
      </c>
      <c r="BQ411">
        <f>(I411+J411+N411+O411)/4</f>
        <v>4.5</v>
      </c>
      <c r="BR411">
        <f>(K411+L411+M411)/3</f>
        <v>4.2222222222222223</v>
      </c>
      <c r="BS411">
        <f>BQ411/BR411</f>
        <v>1.0657894736842104</v>
      </c>
      <c r="BT411">
        <f>AQ411/I411</f>
        <v>90</v>
      </c>
      <c r="BU411" t="str">
        <f>IF(OR(A411=2, A411=12), "Central", IF(A411=3, "Semi-Central", "Periférica"))</f>
        <v>Periférica</v>
      </c>
    </row>
    <row r="412" spans="1:73" x14ac:dyDescent="0.3">
      <c r="A412" s="1">
        <v>11</v>
      </c>
      <c r="B412" s="1">
        <v>1115</v>
      </c>
      <c r="C412" s="1" t="s">
        <v>121</v>
      </c>
      <c r="D412" t="s">
        <v>5</v>
      </c>
      <c r="F412">
        <v>0</v>
      </c>
      <c r="G412">
        <v>0</v>
      </c>
      <c r="H412">
        <v>3</v>
      </c>
      <c r="I412">
        <v>7.333333333333333</v>
      </c>
      <c r="J412">
        <v>6.666666666666667</v>
      </c>
      <c r="K412">
        <v>6</v>
      </c>
      <c r="L412">
        <v>6</v>
      </c>
      <c r="M412">
        <v>5.6</v>
      </c>
      <c r="N412">
        <v>6</v>
      </c>
      <c r="O412">
        <v>5</v>
      </c>
      <c r="P412">
        <v>4.666666666666667</v>
      </c>
      <c r="Q412">
        <v>1.5</v>
      </c>
      <c r="R412">
        <v>0</v>
      </c>
      <c r="S412">
        <v>0</v>
      </c>
      <c r="T412">
        <v>3</v>
      </c>
      <c r="U412">
        <v>6.4</v>
      </c>
      <c r="V412">
        <v>6.333333333333333</v>
      </c>
      <c r="W412">
        <v>4</v>
      </c>
      <c r="X412">
        <v>3.1111111111111112</v>
      </c>
      <c r="Y412">
        <v>3.2</v>
      </c>
      <c r="Z412">
        <v>1</v>
      </c>
      <c r="AA412">
        <v>0</v>
      </c>
      <c r="AB412">
        <v>0</v>
      </c>
      <c r="AC412">
        <v>1.5</v>
      </c>
      <c r="AD412">
        <v>4.3636363636363633</v>
      </c>
      <c r="AE412">
        <v>3</v>
      </c>
      <c r="AF412">
        <v>3</v>
      </c>
      <c r="AG412">
        <v>3</v>
      </c>
      <c r="AH412">
        <v>2.5</v>
      </c>
      <c r="AI412" s="1">
        <v>11</v>
      </c>
      <c r="AJ412" s="1">
        <v>1115</v>
      </c>
      <c r="AK412" s="1" t="s">
        <v>121</v>
      </c>
      <c r="AL412" t="s">
        <v>5</v>
      </c>
      <c r="AN412">
        <v>0</v>
      </c>
      <c r="AO412">
        <v>0</v>
      </c>
      <c r="AP412">
        <v>270</v>
      </c>
      <c r="AQ412">
        <v>660</v>
      </c>
      <c r="AR412">
        <v>600</v>
      </c>
      <c r="AS412">
        <v>540</v>
      </c>
      <c r="AT412">
        <v>540</v>
      </c>
      <c r="AU412">
        <v>504</v>
      </c>
      <c r="AV412">
        <v>540</v>
      </c>
      <c r="AW412">
        <v>450</v>
      </c>
      <c r="AX412">
        <v>420</v>
      </c>
      <c r="AY412">
        <v>135</v>
      </c>
      <c r="AZ412">
        <v>0</v>
      </c>
      <c r="BA412">
        <v>0</v>
      </c>
      <c r="BB412">
        <v>270</v>
      </c>
      <c r="BC412">
        <v>576</v>
      </c>
      <c r="BD412">
        <v>570</v>
      </c>
      <c r="BE412">
        <v>360</v>
      </c>
      <c r="BF412">
        <v>280</v>
      </c>
      <c r="BG412">
        <v>288</v>
      </c>
      <c r="BH412">
        <v>90</v>
      </c>
      <c r="BI412">
        <v>0</v>
      </c>
      <c r="BJ412">
        <v>0</v>
      </c>
      <c r="BK412">
        <v>135</v>
      </c>
      <c r="BL412">
        <v>392.72727272727269</v>
      </c>
      <c r="BM412">
        <v>270</v>
      </c>
      <c r="BN412">
        <v>270</v>
      </c>
      <c r="BO412">
        <v>270</v>
      </c>
      <c r="BP412">
        <v>225</v>
      </c>
      <c r="BQ412">
        <f>(I412+J412+N412+O412)/4</f>
        <v>6.25</v>
      </c>
      <c r="BR412">
        <f>(K412+L412+M412)/3</f>
        <v>5.8666666666666671</v>
      </c>
      <c r="BS412">
        <f>BQ412/BR412</f>
        <v>1.0653409090909089</v>
      </c>
      <c r="BT412">
        <f>AQ412/I412</f>
        <v>90</v>
      </c>
      <c r="BU412" t="str">
        <f>IF(OR(A412=2, A412=12), "Central", IF(A412=3, "Semi-Central", "Periférica"))</f>
        <v>Periférica</v>
      </c>
    </row>
    <row r="413" spans="1:73" x14ac:dyDescent="0.3">
      <c r="A413" s="1">
        <v>3</v>
      </c>
      <c r="B413" s="1">
        <v>371</v>
      </c>
      <c r="C413" s="1" t="s">
        <v>273</v>
      </c>
      <c r="D413" t="s">
        <v>5</v>
      </c>
      <c r="E413" t="s">
        <v>0</v>
      </c>
      <c r="F413">
        <v>0</v>
      </c>
      <c r="G413">
        <v>0.44444444444444442</v>
      </c>
      <c r="H413">
        <v>6</v>
      </c>
      <c r="I413">
        <v>6</v>
      </c>
      <c r="J413">
        <v>6</v>
      </c>
      <c r="K413">
        <v>5.666666666666667</v>
      </c>
      <c r="L413">
        <v>5.333333333333333</v>
      </c>
      <c r="M413">
        <v>5.2</v>
      </c>
      <c r="N413">
        <v>6</v>
      </c>
      <c r="O413">
        <v>5</v>
      </c>
      <c r="P413">
        <v>4</v>
      </c>
      <c r="Q413">
        <v>3</v>
      </c>
      <c r="R413">
        <v>0</v>
      </c>
      <c r="S413">
        <v>0.44444444444444442</v>
      </c>
      <c r="T413">
        <v>3</v>
      </c>
      <c r="U413">
        <v>4</v>
      </c>
      <c r="V413">
        <v>4</v>
      </c>
      <c r="W413">
        <v>4</v>
      </c>
      <c r="X413">
        <v>4.2222222222222223</v>
      </c>
      <c r="Y413">
        <v>3.2</v>
      </c>
      <c r="Z413">
        <v>2.5</v>
      </c>
      <c r="AA413">
        <v>0</v>
      </c>
      <c r="AB413">
        <v>0</v>
      </c>
      <c r="AC413">
        <v>3</v>
      </c>
      <c r="AD413">
        <v>3.0909090909090908</v>
      </c>
      <c r="AE413">
        <v>3.2</v>
      </c>
      <c r="AF413">
        <v>3</v>
      </c>
      <c r="AG413">
        <v>3</v>
      </c>
      <c r="AH413">
        <v>2.5</v>
      </c>
      <c r="AI413" s="1">
        <v>3</v>
      </c>
      <c r="AJ413" s="1">
        <v>371</v>
      </c>
      <c r="AK413" s="1" t="s">
        <v>273</v>
      </c>
      <c r="AL413" t="s">
        <v>5</v>
      </c>
      <c r="AM413" t="s">
        <v>0</v>
      </c>
      <c r="AN413">
        <v>0</v>
      </c>
      <c r="AO413">
        <v>41.333333333333336</v>
      </c>
      <c r="AP413">
        <v>558</v>
      </c>
      <c r="AQ413">
        <v>558</v>
      </c>
      <c r="AR413">
        <v>558</v>
      </c>
      <c r="AS413">
        <v>527</v>
      </c>
      <c r="AT413">
        <v>496</v>
      </c>
      <c r="AU413">
        <v>483.6</v>
      </c>
      <c r="AV413">
        <v>558</v>
      </c>
      <c r="AW413">
        <v>465</v>
      </c>
      <c r="AX413">
        <v>372</v>
      </c>
      <c r="AY413">
        <v>279</v>
      </c>
      <c r="AZ413">
        <v>0</v>
      </c>
      <c r="BA413">
        <v>41.333333333333336</v>
      </c>
      <c r="BB413">
        <v>279</v>
      </c>
      <c r="BC413">
        <v>372</v>
      </c>
      <c r="BD413">
        <v>372</v>
      </c>
      <c r="BE413">
        <v>372</v>
      </c>
      <c r="BF413">
        <v>392.66666666666669</v>
      </c>
      <c r="BG413">
        <v>297.60000000000002</v>
      </c>
      <c r="BH413">
        <v>232.5</v>
      </c>
      <c r="BI413">
        <v>0</v>
      </c>
      <c r="BJ413">
        <v>0</v>
      </c>
      <c r="BK413">
        <v>279</v>
      </c>
      <c r="BL413">
        <v>287.45454545454544</v>
      </c>
      <c r="BM413">
        <v>297.60000000000002</v>
      </c>
      <c r="BN413">
        <v>279</v>
      </c>
      <c r="BO413">
        <v>279</v>
      </c>
      <c r="BP413">
        <v>232.5</v>
      </c>
      <c r="BQ413">
        <f>(I413+J413+N413+O413)/4</f>
        <v>5.75</v>
      </c>
      <c r="BR413">
        <f>(K413+L413+M413)/3</f>
        <v>5.3999999999999995</v>
      </c>
      <c r="BS413">
        <f>BQ413/BR413</f>
        <v>1.0648148148148149</v>
      </c>
      <c r="BT413">
        <f>AQ413/I413</f>
        <v>93</v>
      </c>
      <c r="BU413" t="str">
        <f>IF(OR(A413=2, A413=12), "Central", IF(A413=3, "Semi-Central", "Periférica"))</f>
        <v>Semi-Central</v>
      </c>
    </row>
    <row r="414" spans="1:73" x14ac:dyDescent="0.3">
      <c r="A414" s="1">
        <v>5</v>
      </c>
      <c r="B414" s="1" t="s">
        <v>304</v>
      </c>
      <c r="C414" s="1" t="s">
        <v>303</v>
      </c>
      <c r="D414" t="s">
        <v>5</v>
      </c>
      <c r="E414" t="s">
        <v>0</v>
      </c>
      <c r="F414">
        <v>0</v>
      </c>
      <c r="G414">
        <v>0</v>
      </c>
      <c r="H414">
        <v>2</v>
      </c>
      <c r="I414">
        <v>4</v>
      </c>
      <c r="J414">
        <v>4</v>
      </c>
      <c r="K414">
        <v>4.666666666666667</v>
      </c>
      <c r="L414">
        <v>5.333333333333333</v>
      </c>
      <c r="M414">
        <v>4.8</v>
      </c>
      <c r="N414">
        <v>6</v>
      </c>
      <c r="O414">
        <v>7</v>
      </c>
      <c r="P414">
        <v>5.333333333333333</v>
      </c>
      <c r="Q414">
        <v>2.5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s="1">
        <v>5</v>
      </c>
      <c r="AJ414" s="1" t="s">
        <v>304</v>
      </c>
      <c r="AK414" s="1" t="s">
        <v>303</v>
      </c>
      <c r="AL414" t="s">
        <v>5</v>
      </c>
      <c r="AM414" t="s">
        <v>0</v>
      </c>
      <c r="AN414">
        <v>0</v>
      </c>
      <c r="AO414">
        <v>0</v>
      </c>
      <c r="AP414">
        <v>162</v>
      </c>
      <c r="AQ414">
        <v>324</v>
      </c>
      <c r="AR414">
        <v>324</v>
      </c>
      <c r="AS414">
        <v>378</v>
      </c>
      <c r="AT414">
        <v>432</v>
      </c>
      <c r="AU414">
        <v>388.8</v>
      </c>
      <c r="AV414">
        <v>486</v>
      </c>
      <c r="AW414">
        <v>567</v>
      </c>
      <c r="AX414">
        <v>432</v>
      </c>
      <c r="AY414">
        <v>202.5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f>(I414+J414+N414+O414)/4</f>
        <v>5.25</v>
      </c>
      <c r="BR414">
        <f>(K414+L414+M414)/3</f>
        <v>4.9333333333333336</v>
      </c>
      <c r="BS414">
        <f>BQ414/BR414</f>
        <v>1.064189189189189</v>
      </c>
      <c r="BT414">
        <f>AQ414/I414</f>
        <v>81</v>
      </c>
      <c r="BU414" t="str">
        <f>IF(OR(A414=2, A414=12), "Central", IF(A414=3, "Semi-Central", "Periférica"))</f>
        <v>Periférica</v>
      </c>
    </row>
    <row r="415" spans="1:73" x14ac:dyDescent="0.3">
      <c r="A415" s="1">
        <v>16</v>
      </c>
      <c r="B415" s="1">
        <v>1640</v>
      </c>
      <c r="C415" s="1" t="s">
        <v>299</v>
      </c>
      <c r="D415" t="s">
        <v>1</v>
      </c>
      <c r="E415" t="s">
        <v>0</v>
      </c>
      <c r="F415">
        <v>0</v>
      </c>
      <c r="G415">
        <v>0</v>
      </c>
      <c r="H415">
        <v>5</v>
      </c>
      <c r="I415">
        <v>6.666666666666667</v>
      </c>
      <c r="J415">
        <v>4.666666666666667</v>
      </c>
      <c r="K415">
        <v>5</v>
      </c>
      <c r="L415">
        <v>5.333333333333333</v>
      </c>
      <c r="M415">
        <v>4</v>
      </c>
      <c r="N415">
        <v>5</v>
      </c>
      <c r="O415">
        <v>4</v>
      </c>
      <c r="P415">
        <v>4</v>
      </c>
      <c r="Q415">
        <v>1.5</v>
      </c>
      <c r="R415">
        <v>0</v>
      </c>
      <c r="S415">
        <v>0</v>
      </c>
      <c r="T415">
        <v>4</v>
      </c>
      <c r="U415">
        <v>4.4000000000000004</v>
      </c>
      <c r="V415">
        <v>4</v>
      </c>
      <c r="W415">
        <v>4</v>
      </c>
      <c r="X415">
        <v>4</v>
      </c>
      <c r="Y415">
        <v>3.6</v>
      </c>
      <c r="Z415">
        <v>1.5</v>
      </c>
      <c r="AA415">
        <v>0</v>
      </c>
      <c r="AB415">
        <v>0</v>
      </c>
      <c r="AC415">
        <v>3.5</v>
      </c>
      <c r="AD415">
        <v>4.5454545454545459</v>
      </c>
      <c r="AE415">
        <v>4</v>
      </c>
      <c r="AF415">
        <v>4</v>
      </c>
      <c r="AG415">
        <v>3</v>
      </c>
      <c r="AH415">
        <v>1.5</v>
      </c>
      <c r="AI415" s="1">
        <v>16</v>
      </c>
      <c r="AJ415" s="1">
        <v>1640</v>
      </c>
      <c r="AK415" s="1" t="s">
        <v>299</v>
      </c>
      <c r="AL415" t="s">
        <v>1</v>
      </c>
      <c r="AM415" t="s">
        <v>0</v>
      </c>
      <c r="AN415">
        <v>0</v>
      </c>
      <c r="AO415">
        <v>0</v>
      </c>
      <c r="AP415">
        <v>450</v>
      </c>
      <c r="AQ415">
        <v>600</v>
      </c>
      <c r="AR415">
        <v>420</v>
      </c>
      <c r="AS415">
        <v>450</v>
      </c>
      <c r="AT415">
        <v>480</v>
      </c>
      <c r="AU415">
        <v>360</v>
      </c>
      <c r="AV415">
        <v>450</v>
      </c>
      <c r="AW415">
        <v>360</v>
      </c>
      <c r="AX415">
        <v>360</v>
      </c>
      <c r="AY415">
        <v>135</v>
      </c>
      <c r="AZ415">
        <v>0</v>
      </c>
      <c r="BA415">
        <v>0</v>
      </c>
      <c r="BB415">
        <v>360</v>
      </c>
      <c r="BC415">
        <v>396</v>
      </c>
      <c r="BD415">
        <v>360</v>
      </c>
      <c r="BE415">
        <v>360</v>
      </c>
      <c r="BF415">
        <v>360</v>
      </c>
      <c r="BG415">
        <v>324</v>
      </c>
      <c r="BH415">
        <v>135</v>
      </c>
      <c r="BI415">
        <v>0</v>
      </c>
      <c r="BJ415">
        <v>0</v>
      </c>
      <c r="BK415">
        <v>315</v>
      </c>
      <c r="BL415">
        <v>409.09090909090912</v>
      </c>
      <c r="BM415">
        <v>360</v>
      </c>
      <c r="BN415">
        <v>360</v>
      </c>
      <c r="BO415">
        <v>270</v>
      </c>
      <c r="BP415">
        <v>135</v>
      </c>
      <c r="BQ415">
        <f>(I415+J415+N415+O415)/4</f>
        <v>5.0833333333333339</v>
      </c>
      <c r="BR415">
        <f>(K415+L415+M415)/3</f>
        <v>4.7777777777777777</v>
      </c>
      <c r="BS415">
        <f>BQ415/BR415</f>
        <v>1.0639534883720931</v>
      </c>
      <c r="BT415">
        <f>AQ415/I415</f>
        <v>90</v>
      </c>
      <c r="BU415" t="str">
        <f>IF(OR(A415=2, A415=12), "Central", IF(A415=3, "Semi-Central", "Periférica"))</f>
        <v>Periférica</v>
      </c>
    </row>
    <row r="416" spans="1:73" x14ac:dyDescent="0.3">
      <c r="A416" s="1">
        <v>14</v>
      </c>
      <c r="B416" s="1">
        <v>1406</v>
      </c>
      <c r="C416" s="1">
        <v>106</v>
      </c>
      <c r="D416" t="s">
        <v>5</v>
      </c>
      <c r="F416">
        <v>0</v>
      </c>
      <c r="G416">
        <v>0</v>
      </c>
      <c r="H416">
        <v>6</v>
      </c>
      <c r="I416">
        <v>8</v>
      </c>
      <c r="J416">
        <v>6.666666666666667</v>
      </c>
      <c r="K416">
        <v>5.666666666666667</v>
      </c>
      <c r="L416">
        <v>5.333333333333333</v>
      </c>
      <c r="M416">
        <v>6.4</v>
      </c>
      <c r="N416">
        <v>5.5</v>
      </c>
      <c r="O416">
        <v>4.5</v>
      </c>
      <c r="P416">
        <v>4</v>
      </c>
      <c r="Q416">
        <v>3.5</v>
      </c>
      <c r="R416">
        <v>0</v>
      </c>
      <c r="S416">
        <v>0</v>
      </c>
      <c r="T416">
        <v>2</v>
      </c>
      <c r="U416">
        <v>4</v>
      </c>
      <c r="V416">
        <v>4</v>
      </c>
      <c r="W416">
        <v>4.333333333333333</v>
      </c>
      <c r="X416">
        <v>4</v>
      </c>
      <c r="Y416">
        <v>3.2</v>
      </c>
      <c r="Z416">
        <v>2.5</v>
      </c>
      <c r="AA416">
        <v>0</v>
      </c>
      <c r="AB416">
        <v>0</v>
      </c>
      <c r="AC416">
        <v>2</v>
      </c>
      <c r="AD416">
        <v>3.0909090909090908</v>
      </c>
      <c r="AE416">
        <v>3</v>
      </c>
      <c r="AF416">
        <v>3.333333333333333</v>
      </c>
      <c r="AG416">
        <v>3</v>
      </c>
      <c r="AH416">
        <v>2</v>
      </c>
      <c r="AI416" s="1">
        <v>14</v>
      </c>
      <c r="AJ416" s="1">
        <v>1406</v>
      </c>
      <c r="AK416" s="1">
        <v>106</v>
      </c>
      <c r="AL416" t="s">
        <v>5</v>
      </c>
      <c r="AN416">
        <v>0</v>
      </c>
      <c r="AO416">
        <v>0</v>
      </c>
      <c r="AP416">
        <v>540</v>
      </c>
      <c r="AQ416">
        <v>720</v>
      </c>
      <c r="AR416">
        <v>600</v>
      </c>
      <c r="AS416">
        <v>510</v>
      </c>
      <c r="AT416">
        <v>480</v>
      </c>
      <c r="AU416">
        <v>576</v>
      </c>
      <c r="AV416">
        <v>495</v>
      </c>
      <c r="AW416">
        <v>405</v>
      </c>
      <c r="AX416">
        <v>360</v>
      </c>
      <c r="AY416">
        <v>315</v>
      </c>
      <c r="AZ416">
        <v>0</v>
      </c>
      <c r="BA416">
        <v>0</v>
      </c>
      <c r="BB416">
        <v>180</v>
      </c>
      <c r="BC416">
        <v>360</v>
      </c>
      <c r="BD416">
        <v>360</v>
      </c>
      <c r="BE416">
        <v>390</v>
      </c>
      <c r="BF416">
        <v>360</v>
      </c>
      <c r="BG416">
        <v>288</v>
      </c>
      <c r="BH416">
        <v>225</v>
      </c>
      <c r="BI416">
        <v>0</v>
      </c>
      <c r="BJ416">
        <v>0</v>
      </c>
      <c r="BK416">
        <v>180</v>
      </c>
      <c r="BL416">
        <v>278.18181818181819</v>
      </c>
      <c r="BM416">
        <v>270</v>
      </c>
      <c r="BN416">
        <v>300</v>
      </c>
      <c r="BO416">
        <v>270</v>
      </c>
      <c r="BP416">
        <v>180</v>
      </c>
      <c r="BQ416">
        <f>(I416+J416+N416+O416)/4</f>
        <v>6.166666666666667</v>
      </c>
      <c r="BR416">
        <f>(K416+L416+M416)/3</f>
        <v>5.8</v>
      </c>
      <c r="BS416">
        <f>BQ416/BR416</f>
        <v>1.0632183908045978</v>
      </c>
      <c r="BT416">
        <f>AQ416/I416</f>
        <v>90</v>
      </c>
      <c r="BU416" t="str">
        <f>IF(OR(A416=2, A416=12), "Central", IF(A416=3, "Semi-Central", "Periférica"))</f>
        <v>Periférica</v>
      </c>
    </row>
    <row r="417" spans="1:73" x14ac:dyDescent="0.3">
      <c r="A417" s="1">
        <v>3</v>
      </c>
      <c r="B417" s="1">
        <v>385</v>
      </c>
      <c r="C417" s="1">
        <v>385</v>
      </c>
      <c r="D417" t="s">
        <v>1</v>
      </c>
      <c r="E417" t="s">
        <v>0</v>
      </c>
      <c r="F417">
        <v>0</v>
      </c>
      <c r="G417">
        <v>0</v>
      </c>
      <c r="H417">
        <v>3</v>
      </c>
      <c r="I417">
        <v>5.333333333333333</v>
      </c>
      <c r="J417">
        <v>4.666666666666667</v>
      </c>
      <c r="K417">
        <v>5</v>
      </c>
      <c r="L417">
        <v>4.666666666666667</v>
      </c>
      <c r="M417">
        <v>4.8</v>
      </c>
      <c r="N417">
        <v>5.5</v>
      </c>
      <c r="O417">
        <v>5</v>
      </c>
      <c r="P417">
        <v>4</v>
      </c>
      <c r="Q417">
        <v>3</v>
      </c>
      <c r="R417">
        <v>0</v>
      </c>
      <c r="S417">
        <v>0</v>
      </c>
      <c r="T417">
        <v>1</v>
      </c>
      <c r="U417">
        <v>4</v>
      </c>
      <c r="V417">
        <v>4</v>
      </c>
      <c r="W417">
        <v>4</v>
      </c>
      <c r="X417">
        <v>3.7777777777777777</v>
      </c>
      <c r="Y417">
        <v>3.2</v>
      </c>
      <c r="Z417">
        <v>2.5</v>
      </c>
      <c r="AA417">
        <v>0</v>
      </c>
      <c r="AB417">
        <v>0</v>
      </c>
      <c r="AC417">
        <v>2</v>
      </c>
      <c r="AD417">
        <v>4</v>
      </c>
      <c r="AE417">
        <v>4</v>
      </c>
      <c r="AF417">
        <v>4</v>
      </c>
      <c r="AG417">
        <v>3</v>
      </c>
      <c r="AH417">
        <v>2.5</v>
      </c>
      <c r="AI417" s="1">
        <v>3</v>
      </c>
      <c r="AJ417" s="1">
        <v>385</v>
      </c>
      <c r="AK417" s="1">
        <v>385</v>
      </c>
      <c r="AL417" t="s">
        <v>1</v>
      </c>
      <c r="AM417" t="s">
        <v>0</v>
      </c>
      <c r="AN417">
        <v>0</v>
      </c>
      <c r="AO417">
        <v>0</v>
      </c>
      <c r="AP417">
        <v>294</v>
      </c>
      <c r="AQ417">
        <v>522.66666666666663</v>
      </c>
      <c r="AR417">
        <v>457.33333333333331</v>
      </c>
      <c r="AS417">
        <v>490</v>
      </c>
      <c r="AT417">
        <v>457.33333333333331</v>
      </c>
      <c r="AU417">
        <v>470.4</v>
      </c>
      <c r="AV417">
        <v>539</v>
      </c>
      <c r="AW417">
        <v>490</v>
      </c>
      <c r="AX417">
        <v>392</v>
      </c>
      <c r="AY417">
        <v>294</v>
      </c>
      <c r="AZ417">
        <v>0</v>
      </c>
      <c r="BA417">
        <v>0</v>
      </c>
      <c r="BB417">
        <v>98</v>
      </c>
      <c r="BC417">
        <v>392</v>
      </c>
      <c r="BD417">
        <v>392</v>
      </c>
      <c r="BE417">
        <v>392</v>
      </c>
      <c r="BF417">
        <v>370.22222222222223</v>
      </c>
      <c r="BG417">
        <v>313.60000000000002</v>
      </c>
      <c r="BH417">
        <v>245</v>
      </c>
      <c r="BI417">
        <v>0</v>
      </c>
      <c r="BJ417">
        <v>0</v>
      </c>
      <c r="BK417">
        <v>196</v>
      </c>
      <c r="BL417">
        <v>392</v>
      </c>
      <c r="BM417">
        <v>392</v>
      </c>
      <c r="BN417">
        <v>392</v>
      </c>
      <c r="BO417">
        <v>294</v>
      </c>
      <c r="BP417">
        <v>245</v>
      </c>
      <c r="BQ417">
        <f>(I417+J417+N417+O417)/4</f>
        <v>5.125</v>
      </c>
      <c r="BR417">
        <f>(K417+L417+M417)/3</f>
        <v>4.8222222222222229</v>
      </c>
      <c r="BS417">
        <f>BQ417/BR417</f>
        <v>1.0627880184331795</v>
      </c>
      <c r="BT417">
        <f>AQ417/I417</f>
        <v>98</v>
      </c>
      <c r="BU417" t="str">
        <f>IF(OR(A417=2, A417=12), "Central", IF(A417=3, "Semi-Central", "Periférica"))</f>
        <v>Semi-Central</v>
      </c>
    </row>
    <row r="418" spans="1:73" x14ac:dyDescent="0.3">
      <c r="A418" s="1">
        <v>8</v>
      </c>
      <c r="B418" s="1">
        <v>837</v>
      </c>
      <c r="C418" t="s">
        <v>152</v>
      </c>
      <c r="D418" t="s">
        <v>5</v>
      </c>
      <c r="F418">
        <v>0</v>
      </c>
      <c r="G418">
        <v>0</v>
      </c>
      <c r="H418">
        <v>3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2.5</v>
      </c>
      <c r="O418">
        <v>2</v>
      </c>
      <c r="P418">
        <v>2</v>
      </c>
      <c r="Q418">
        <v>1</v>
      </c>
      <c r="R418">
        <v>0</v>
      </c>
      <c r="S418">
        <v>0</v>
      </c>
      <c r="T418">
        <v>2</v>
      </c>
      <c r="U418">
        <v>2</v>
      </c>
      <c r="V418">
        <v>2</v>
      </c>
      <c r="W418">
        <v>2</v>
      </c>
      <c r="X418">
        <v>2</v>
      </c>
      <c r="Y418">
        <v>2</v>
      </c>
      <c r="Z418">
        <v>1</v>
      </c>
      <c r="AA418">
        <v>0</v>
      </c>
      <c r="AB418">
        <v>0</v>
      </c>
      <c r="AC418">
        <v>2</v>
      </c>
      <c r="AD418">
        <v>2</v>
      </c>
      <c r="AE418">
        <v>2</v>
      </c>
      <c r="AF418">
        <v>2</v>
      </c>
      <c r="AG418">
        <v>2</v>
      </c>
      <c r="AH418">
        <v>1</v>
      </c>
      <c r="AI418" s="1">
        <v>8</v>
      </c>
      <c r="AJ418" s="1">
        <v>837</v>
      </c>
      <c r="AK418" t="s">
        <v>152</v>
      </c>
      <c r="AL418" t="s">
        <v>5</v>
      </c>
      <c r="AN418">
        <v>0</v>
      </c>
      <c r="AO418">
        <v>0</v>
      </c>
      <c r="AP418">
        <v>270</v>
      </c>
      <c r="AQ418">
        <v>180</v>
      </c>
      <c r="AR418">
        <v>180</v>
      </c>
      <c r="AS418">
        <v>180</v>
      </c>
      <c r="AT418">
        <v>180</v>
      </c>
      <c r="AU418">
        <v>180</v>
      </c>
      <c r="AV418">
        <v>225</v>
      </c>
      <c r="AW418">
        <v>180</v>
      </c>
      <c r="AX418">
        <v>180</v>
      </c>
      <c r="AY418">
        <v>90</v>
      </c>
      <c r="AZ418">
        <v>0</v>
      </c>
      <c r="BA418">
        <v>0</v>
      </c>
      <c r="BB418">
        <v>180</v>
      </c>
      <c r="BC418">
        <v>180</v>
      </c>
      <c r="BD418">
        <v>180</v>
      </c>
      <c r="BE418">
        <v>180</v>
      </c>
      <c r="BF418">
        <v>180</v>
      </c>
      <c r="BG418">
        <v>180</v>
      </c>
      <c r="BH418">
        <v>90</v>
      </c>
      <c r="BI418">
        <v>0</v>
      </c>
      <c r="BJ418">
        <v>0</v>
      </c>
      <c r="BK418">
        <v>180</v>
      </c>
      <c r="BL418">
        <v>180</v>
      </c>
      <c r="BM418">
        <v>180</v>
      </c>
      <c r="BN418">
        <v>180</v>
      </c>
      <c r="BO418">
        <v>180</v>
      </c>
      <c r="BP418">
        <v>90</v>
      </c>
      <c r="BQ418">
        <f>(I418+J418+N418+O418)/4</f>
        <v>2.125</v>
      </c>
      <c r="BR418">
        <f>(K418+L418+M418)/3</f>
        <v>2</v>
      </c>
      <c r="BS418">
        <f>BQ418/BR418</f>
        <v>1.0625</v>
      </c>
      <c r="BT418">
        <f>AQ418/I418</f>
        <v>90</v>
      </c>
      <c r="BU418" t="str">
        <f>IF(OR(A418=2, A418=12), "Central", IF(A418=3, "Semi-Central", "Periférica"))</f>
        <v>Periférica</v>
      </c>
    </row>
    <row r="419" spans="1:73" x14ac:dyDescent="0.3">
      <c r="A419" s="1">
        <v>12</v>
      </c>
      <c r="B419" s="1">
        <v>1215</v>
      </c>
      <c r="C419" s="1" t="s">
        <v>82</v>
      </c>
      <c r="D419" t="s">
        <v>5</v>
      </c>
      <c r="E419" t="s">
        <v>0</v>
      </c>
      <c r="F419">
        <v>0</v>
      </c>
      <c r="G419">
        <v>0</v>
      </c>
      <c r="H419">
        <v>4</v>
      </c>
      <c r="I419">
        <v>7.333333333333333</v>
      </c>
      <c r="J419">
        <v>4.666666666666667</v>
      </c>
      <c r="K419">
        <v>5</v>
      </c>
      <c r="L419">
        <v>5.333333333333333</v>
      </c>
      <c r="M419">
        <v>5.2</v>
      </c>
      <c r="N419">
        <v>5</v>
      </c>
      <c r="O419">
        <v>5</v>
      </c>
      <c r="P419">
        <v>4.666666666666667</v>
      </c>
      <c r="Q419">
        <v>3.5</v>
      </c>
      <c r="R419">
        <v>0</v>
      </c>
      <c r="S419">
        <v>0</v>
      </c>
      <c r="T419">
        <v>2</v>
      </c>
      <c r="U419">
        <v>4.8</v>
      </c>
      <c r="V419">
        <v>4.333333333333333</v>
      </c>
      <c r="W419">
        <v>4</v>
      </c>
      <c r="X419">
        <v>4</v>
      </c>
      <c r="Y419">
        <v>3.2</v>
      </c>
      <c r="Z419">
        <v>3.5</v>
      </c>
      <c r="AA419">
        <v>0</v>
      </c>
      <c r="AB419">
        <v>0</v>
      </c>
      <c r="AC419">
        <v>1</v>
      </c>
      <c r="AD419">
        <v>2.7272727272727271</v>
      </c>
      <c r="AE419">
        <v>3.2</v>
      </c>
      <c r="AF419">
        <v>3</v>
      </c>
      <c r="AG419">
        <v>3</v>
      </c>
      <c r="AH419">
        <v>3</v>
      </c>
      <c r="AI419" s="1">
        <v>12</v>
      </c>
      <c r="AJ419" s="1">
        <v>1215</v>
      </c>
      <c r="AK419" s="1" t="s">
        <v>82</v>
      </c>
      <c r="AL419" t="s">
        <v>5</v>
      </c>
      <c r="AM419" t="s">
        <v>0</v>
      </c>
      <c r="AN419">
        <v>0</v>
      </c>
      <c r="AO419">
        <v>0</v>
      </c>
      <c r="AP419">
        <v>360</v>
      </c>
      <c r="AQ419">
        <v>660</v>
      </c>
      <c r="AR419">
        <v>420</v>
      </c>
      <c r="AS419">
        <v>450</v>
      </c>
      <c r="AT419">
        <v>480</v>
      </c>
      <c r="AU419">
        <v>468</v>
      </c>
      <c r="AV419">
        <v>450</v>
      </c>
      <c r="AW419">
        <v>450</v>
      </c>
      <c r="AX419">
        <v>420</v>
      </c>
      <c r="AY419">
        <v>315</v>
      </c>
      <c r="AZ419">
        <v>0</v>
      </c>
      <c r="BA419">
        <v>0</v>
      </c>
      <c r="BB419">
        <v>180</v>
      </c>
      <c r="BC419">
        <v>432</v>
      </c>
      <c r="BD419">
        <v>390</v>
      </c>
      <c r="BE419">
        <v>360</v>
      </c>
      <c r="BF419">
        <v>360</v>
      </c>
      <c r="BG419">
        <v>288</v>
      </c>
      <c r="BH419">
        <v>315</v>
      </c>
      <c r="BI419">
        <v>0</v>
      </c>
      <c r="BJ419">
        <v>0</v>
      </c>
      <c r="BK419">
        <v>90</v>
      </c>
      <c r="BL419">
        <v>245.4545454545455</v>
      </c>
      <c r="BM419">
        <v>288</v>
      </c>
      <c r="BN419">
        <v>270</v>
      </c>
      <c r="BO419">
        <v>270</v>
      </c>
      <c r="BP419">
        <v>270</v>
      </c>
      <c r="BQ419">
        <f>(I419+J419+N419+O419)/4</f>
        <v>5.5</v>
      </c>
      <c r="BR419">
        <f>(K419+L419+M419)/3</f>
        <v>5.1777777777777771</v>
      </c>
      <c r="BS419">
        <f>BQ419/BR419</f>
        <v>1.0622317596566524</v>
      </c>
      <c r="BT419">
        <f>AQ419/I419</f>
        <v>90</v>
      </c>
      <c r="BU419" t="str">
        <f>IF(OR(A419=2, A419=12), "Central", IF(A419=3, "Semi-Central", "Periférica"))</f>
        <v>Central</v>
      </c>
    </row>
    <row r="420" spans="1:73" x14ac:dyDescent="0.3">
      <c r="A420" s="1">
        <v>3</v>
      </c>
      <c r="B420" s="1">
        <v>373</v>
      </c>
      <c r="C420" s="1" t="s">
        <v>302</v>
      </c>
      <c r="D420" t="s">
        <v>5</v>
      </c>
      <c r="E420" t="s">
        <v>0</v>
      </c>
      <c r="F420">
        <v>0</v>
      </c>
      <c r="G420">
        <v>0.44444444444444442</v>
      </c>
      <c r="H420">
        <v>7</v>
      </c>
      <c r="I420">
        <v>8.6666666666666661</v>
      </c>
      <c r="J420">
        <v>6.666666666666667</v>
      </c>
      <c r="K420">
        <v>7</v>
      </c>
      <c r="L420">
        <v>6.666666666666667</v>
      </c>
      <c r="M420">
        <v>6</v>
      </c>
      <c r="N420">
        <v>7</v>
      </c>
      <c r="O420">
        <v>5.5</v>
      </c>
      <c r="P420">
        <v>4.666666666666667</v>
      </c>
      <c r="Q420">
        <v>2</v>
      </c>
      <c r="R420">
        <v>0</v>
      </c>
      <c r="S420">
        <v>0</v>
      </c>
      <c r="T420">
        <v>4</v>
      </c>
      <c r="U420">
        <v>4.8</v>
      </c>
      <c r="V420">
        <v>4.666666666666667</v>
      </c>
      <c r="W420">
        <v>4.333333333333333</v>
      </c>
      <c r="X420">
        <v>4</v>
      </c>
      <c r="Y420">
        <v>4</v>
      </c>
      <c r="Z420">
        <v>1.5</v>
      </c>
      <c r="AA420">
        <v>0</v>
      </c>
      <c r="AB420">
        <v>0</v>
      </c>
      <c r="AC420">
        <v>3.5</v>
      </c>
      <c r="AD420">
        <v>3.4545454545454546</v>
      </c>
      <c r="AE420">
        <v>3.6</v>
      </c>
      <c r="AF420">
        <v>3.6666666666666665</v>
      </c>
      <c r="AG420">
        <v>4</v>
      </c>
      <c r="AH420">
        <v>1.5</v>
      </c>
      <c r="AI420" s="1">
        <v>3</v>
      </c>
      <c r="AJ420" s="1">
        <v>373</v>
      </c>
      <c r="AK420" s="1" t="s">
        <v>302</v>
      </c>
      <c r="AL420" t="s">
        <v>5</v>
      </c>
      <c r="AM420" t="s">
        <v>0</v>
      </c>
      <c r="AN420">
        <v>0</v>
      </c>
      <c r="AO420">
        <v>23.555555555555557</v>
      </c>
      <c r="AP420">
        <v>686</v>
      </c>
      <c r="AQ420">
        <v>849.33333333333337</v>
      </c>
      <c r="AR420">
        <v>653.33333333333337</v>
      </c>
      <c r="AS420">
        <v>686</v>
      </c>
      <c r="AT420">
        <v>653.33333333333337</v>
      </c>
      <c r="AU420">
        <v>588</v>
      </c>
      <c r="AV420">
        <v>686</v>
      </c>
      <c r="AW420">
        <v>539</v>
      </c>
      <c r="AX420">
        <v>457.33333333333331</v>
      </c>
      <c r="AY420">
        <v>196</v>
      </c>
      <c r="AZ420">
        <v>0</v>
      </c>
      <c r="BA420">
        <v>0</v>
      </c>
      <c r="BB420">
        <v>392</v>
      </c>
      <c r="BC420">
        <v>470.4</v>
      </c>
      <c r="BD420">
        <v>457.33333333333331</v>
      </c>
      <c r="BE420">
        <v>424.66666666666669</v>
      </c>
      <c r="BF420">
        <v>392</v>
      </c>
      <c r="BG420">
        <v>392</v>
      </c>
      <c r="BH420">
        <v>147</v>
      </c>
      <c r="BI420">
        <v>0</v>
      </c>
      <c r="BJ420">
        <v>0</v>
      </c>
      <c r="BK420">
        <v>343</v>
      </c>
      <c r="BL420">
        <v>338.54545454545456</v>
      </c>
      <c r="BM420">
        <v>352.8</v>
      </c>
      <c r="BN420">
        <v>359.33333333333331</v>
      </c>
      <c r="BO420">
        <v>392</v>
      </c>
      <c r="BP420">
        <v>147</v>
      </c>
      <c r="BQ420">
        <f>(I420+J420+N420+O420)/4</f>
        <v>6.958333333333333</v>
      </c>
      <c r="BR420">
        <f>(K420+L420+M420)/3</f>
        <v>6.5555555555555562</v>
      </c>
      <c r="BS420">
        <f>BQ420/BR420</f>
        <v>1.0614406779661016</v>
      </c>
      <c r="BT420">
        <f>AQ420/I420</f>
        <v>98.000000000000014</v>
      </c>
      <c r="BU420" t="str">
        <f>IF(OR(A420=2, A420=12), "Central", IF(A420=3, "Semi-Central", "Periférica"))</f>
        <v>Semi-Central</v>
      </c>
    </row>
    <row r="421" spans="1:73" x14ac:dyDescent="0.3">
      <c r="A421" s="1">
        <v>8</v>
      </c>
      <c r="B421" s="1">
        <v>818</v>
      </c>
      <c r="C421" s="1" t="s">
        <v>282</v>
      </c>
      <c r="D421" t="s">
        <v>1</v>
      </c>
      <c r="F421">
        <v>0</v>
      </c>
      <c r="G421">
        <v>0.44444444444444442</v>
      </c>
      <c r="H421">
        <v>5</v>
      </c>
      <c r="I421">
        <v>5.333333333333333</v>
      </c>
      <c r="J421">
        <v>4.666666666666667</v>
      </c>
      <c r="K421">
        <v>4.666666666666667</v>
      </c>
      <c r="L421">
        <v>4.666666666666667</v>
      </c>
      <c r="M421">
        <v>4.8</v>
      </c>
      <c r="N421">
        <v>5</v>
      </c>
      <c r="O421">
        <v>5</v>
      </c>
      <c r="P421">
        <v>5.333333333333333</v>
      </c>
      <c r="Q421">
        <v>3.5</v>
      </c>
      <c r="R421">
        <v>0</v>
      </c>
      <c r="S421">
        <v>0</v>
      </c>
      <c r="T421">
        <v>3</v>
      </c>
      <c r="U421">
        <v>3.2</v>
      </c>
      <c r="V421">
        <v>3</v>
      </c>
      <c r="W421">
        <v>3</v>
      </c>
      <c r="X421">
        <v>2.8888888888888888</v>
      </c>
      <c r="Y421">
        <v>3.2</v>
      </c>
      <c r="Z421">
        <v>3</v>
      </c>
      <c r="AA421">
        <v>0</v>
      </c>
      <c r="AB421">
        <v>0</v>
      </c>
      <c r="AC421">
        <v>2</v>
      </c>
      <c r="AD421">
        <v>2</v>
      </c>
      <c r="AE421">
        <v>2.2000000000000002</v>
      </c>
      <c r="AF421">
        <v>3</v>
      </c>
      <c r="AG421">
        <v>2</v>
      </c>
      <c r="AH421">
        <v>2</v>
      </c>
      <c r="AI421" s="1">
        <v>8</v>
      </c>
      <c r="AJ421" s="1">
        <v>818</v>
      </c>
      <c r="AK421" s="1" t="s">
        <v>282</v>
      </c>
      <c r="AL421" t="s">
        <v>1</v>
      </c>
      <c r="AN421">
        <v>0</v>
      </c>
      <c r="AO421">
        <v>40</v>
      </c>
      <c r="AP421">
        <v>450</v>
      </c>
      <c r="AQ421">
        <v>480</v>
      </c>
      <c r="AR421">
        <v>420</v>
      </c>
      <c r="AS421">
        <v>420</v>
      </c>
      <c r="AT421">
        <v>420</v>
      </c>
      <c r="AU421">
        <v>432</v>
      </c>
      <c r="AV421">
        <v>450</v>
      </c>
      <c r="AW421">
        <v>450</v>
      </c>
      <c r="AX421">
        <v>480</v>
      </c>
      <c r="AY421">
        <v>315</v>
      </c>
      <c r="AZ421">
        <v>0</v>
      </c>
      <c r="BA421">
        <v>0</v>
      </c>
      <c r="BB421">
        <v>270</v>
      </c>
      <c r="BC421">
        <v>288</v>
      </c>
      <c r="BD421">
        <v>270</v>
      </c>
      <c r="BE421">
        <v>270</v>
      </c>
      <c r="BF421">
        <v>260</v>
      </c>
      <c r="BG421">
        <v>288</v>
      </c>
      <c r="BH421">
        <v>270</v>
      </c>
      <c r="BI421">
        <v>0</v>
      </c>
      <c r="BJ421">
        <v>0</v>
      </c>
      <c r="BK421">
        <v>180</v>
      </c>
      <c r="BL421">
        <v>180</v>
      </c>
      <c r="BM421">
        <v>198</v>
      </c>
      <c r="BN421">
        <v>270</v>
      </c>
      <c r="BO421">
        <v>180</v>
      </c>
      <c r="BP421">
        <v>180</v>
      </c>
      <c r="BQ421">
        <f>(I421+J421+N421+O421)/4</f>
        <v>5</v>
      </c>
      <c r="BR421">
        <f>(K421+L421+M421)/3</f>
        <v>4.7111111111111112</v>
      </c>
      <c r="BS421">
        <f>BQ421/BR421</f>
        <v>1.0613207547169812</v>
      </c>
      <c r="BT421">
        <f>AQ421/I421</f>
        <v>90</v>
      </c>
      <c r="BU421" t="str">
        <f>IF(OR(A421=2, A421=12), "Central", IF(A421=3, "Semi-Central", "Periférica"))</f>
        <v>Periférica</v>
      </c>
    </row>
    <row r="422" spans="1:73" x14ac:dyDescent="0.3">
      <c r="A422" s="1">
        <v>15</v>
      </c>
      <c r="B422" s="1">
        <v>1510</v>
      </c>
      <c r="C422" s="1">
        <v>110</v>
      </c>
      <c r="D422" t="s">
        <v>5</v>
      </c>
      <c r="E422" t="s">
        <v>0</v>
      </c>
      <c r="F422">
        <v>2</v>
      </c>
      <c r="G422">
        <v>0</v>
      </c>
      <c r="H422">
        <v>4</v>
      </c>
      <c r="I422">
        <v>5.333333333333333</v>
      </c>
      <c r="J422">
        <v>5.333333333333333</v>
      </c>
      <c r="K422">
        <v>5</v>
      </c>
      <c r="L422">
        <v>4.666666666666667</v>
      </c>
      <c r="M422">
        <v>6</v>
      </c>
      <c r="N422">
        <v>6</v>
      </c>
      <c r="O422">
        <v>5.5</v>
      </c>
      <c r="P422">
        <v>4.666666666666667</v>
      </c>
      <c r="Q422">
        <v>4</v>
      </c>
      <c r="R422">
        <v>2</v>
      </c>
      <c r="S422">
        <v>0</v>
      </c>
      <c r="T422">
        <v>3</v>
      </c>
      <c r="U422">
        <v>4.8</v>
      </c>
      <c r="V422">
        <v>4.666666666666667</v>
      </c>
      <c r="W422">
        <v>5.666666666666667</v>
      </c>
      <c r="X422">
        <v>5.7777777777777777</v>
      </c>
      <c r="Y422">
        <v>4.4000000000000004</v>
      </c>
      <c r="Z422">
        <v>3</v>
      </c>
      <c r="AA422">
        <v>2</v>
      </c>
      <c r="AB422">
        <v>0</v>
      </c>
      <c r="AC422">
        <v>3</v>
      </c>
      <c r="AD422">
        <v>3.8181818181818179</v>
      </c>
      <c r="AE422">
        <v>4</v>
      </c>
      <c r="AF422">
        <v>3.666666666666667</v>
      </c>
      <c r="AG422">
        <v>3</v>
      </c>
      <c r="AH422">
        <v>3</v>
      </c>
      <c r="AI422" s="1">
        <v>15</v>
      </c>
      <c r="AJ422" s="1">
        <v>1510</v>
      </c>
      <c r="AK422" s="1">
        <v>110</v>
      </c>
      <c r="AL422" t="s">
        <v>5</v>
      </c>
      <c r="AM422" t="s">
        <v>0</v>
      </c>
      <c r="AN422">
        <v>300</v>
      </c>
      <c r="AO422">
        <v>0</v>
      </c>
      <c r="AP422">
        <v>600</v>
      </c>
      <c r="AQ422">
        <v>800</v>
      </c>
      <c r="AR422">
        <v>800</v>
      </c>
      <c r="AS422">
        <v>750</v>
      </c>
      <c r="AT422">
        <v>700</v>
      </c>
      <c r="AU422">
        <v>900</v>
      </c>
      <c r="AV422">
        <v>900</v>
      </c>
      <c r="AW422">
        <v>825</v>
      </c>
      <c r="AX422">
        <v>700</v>
      </c>
      <c r="AY422">
        <v>600</v>
      </c>
      <c r="AZ422">
        <v>300</v>
      </c>
      <c r="BA422">
        <v>0</v>
      </c>
      <c r="BB422">
        <v>450</v>
      </c>
      <c r="BC422">
        <v>720</v>
      </c>
      <c r="BD422">
        <v>700</v>
      </c>
      <c r="BE422">
        <v>850</v>
      </c>
      <c r="BF422">
        <v>866.66666666666663</v>
      </c>
      <c r="BG422">
        <v>660</v>
      </c>
      <c r="BH422">
        <v>450</v>
      </c>
      <c r="BI422">
        <v>300</v>
      </c>
      <c r="BJ422">
        <v>0</v>
      </c>
      <c r="BK422">
        <v>450</v>
      </c>
      <c r="BL422">
        <v>572.72727272727275</v>
      </c>
      <c r="BM422">
        <v>600</v>
      </c>
      <c r="BN422">
        <v>550</v>
      </c>
      <c r="BO422">
        <v>450</v>
      </c>
      <c r="BP422">
        <v>450</v>
      </c>
      <c r="BQ422">
        <f>(I422+J422+N422+O422)/4</f>
        <v>5.5416666666666661</v>
      </c>
      <c r="BR422">
        <f>(K422+L422+M422)/3</f>
        <v>5.2222222222222223</v>
      </c>
      <c r="BS422">
        <f>BQ422/BR422</f>
        <v>1.0611702127659572</v>
      </c>
      <c r="BT422">
        <f>AQ422/I422</f>
        <v>150</v>
      </c>
      <c r="BU422" t="str">
        <f>IF(OR(A422=2, A422=12), "Central", IF(A422=3, "Semi-Central", "Periférica"))</f>
        <v>Periférica</v>
      </c>
    </row>
    <row r="423" spans="1:73" x14ac:dyDescent="0.3">
      <c r="A423" s="1">
        <v>11</v>
      </c>
      <c r="B423" s="1">
        <v>1119</v>
      </c>
      <c r="C423" s="1" t="s">
        <v>301</v>
      </c>
      <c r="D423" t="s">
        <v>1</v>
      </c>
      <c r="F423">
        <v>0</v>
      </c>
      <c r="G423">
        <v>0</v>
      </c>
      <c r="H423">
        <v>3</v>
      </c>
      <c r="I423">
        <v>5.333333333333333</v>
      </c>
      <c r="J423">
        <v>6</v>
      </c>
      <c r="K423">
        <v>5.666666666666667</v>
      </c>
      <c r="L423">
        <v>5.333333333333333</v>
      </c>
      <c r="M423">
        <v>4.8</v>
      </c>
      <c r="N423">
        <v>6</v>
      </c>
      <c r="O423">
        <v>5</v>
      </c>
      <c r="P423">
        <v>4.666666666666667</v>
      </c>
      <c r="Q423">
        <v>1.5</v>
      </c>
      <c r="R423">
        <v>0</v>
      </c>
      <c r="S423">
        <v>0</v>
      </c>
      <c r="T423">
        <v>4</v>
      </c>
      <c r="U423">
        <v>3.6</v>
      </c>
      <c r="V423">
        <v>4.666666666666667</v>
      </c>
      <c r="W423">
        <v>4</v>
      </c>
      <c r="X423">
        <v>2.8888888888888888</v>
      </c>
      <c r="Y423">
        <v>3.2</v>
      </c>
      <c r="Z423">
        <v>1</v>
      </c>
      <c r="AA423">
        <v>0</v>
      </c>
      <c r="AB423">
        <v>0</v>
      </c>
      <c r="AC423">
        <v>1</v>
      </c>
      <c r="AD423">
        <v>3.6363636363636358</v>
      </c>
      <c r="AE423">
        <v>3</v>
      </c>
      <c r="AF423">
        <v>3</v>
      </c>
      <c r="AG423">
        <v>3</v>
      </c>
      <c r="AH423">
        <v>1.5</v>
      </c>
      <c r="AI423" s="1">
        <v>11</v>
      </c>
      <c r="AJ423" s="1">
        <v>1119</v>
      </c>
      <c r="AK423" s="1" t="s">
        <v>301</v>
      </c>
      <c r="AL423" t="s">
        <v>1</v>
      </c>
      <c r="AN423">
        <v>0</v>
      </c>
      <c r="AO423">
        <v>0</v>
      </c>
      <c r="AP423">
        <v>270</v>
      </c>
      <c r="AQ423">
        <v>480</v>
      </c>
      <c r="AR423">
        <v>540</v>
      </c>
      <c r="AS423">
        <v>510</v>
      </c>
      <c r="AT423">
        <v>480</v>
      </c>
      <c r="AU423">
        <v>432</v>
      </c>
      <c r="AV423">
        <v>540</v>
      </c>
      <c r="AW423">
        <v>450</v>
      </c>
      <c r="AX423">
        <v>420</v>
      </c>
      <c r="AY423">
        <v>135</v>
      </c>
      <c r="AZ423">
        <v>0</v>
      </c>
      <c r="BA423">
        <v>0</v>
      </c>
      <c r="BB423">
        <v>360</v>
      </c>
      <c r="BC423">
        <v>324</v>
      </c>
      <c r="BD423">
        <v>420</v>
      </c>
      <c r="BE423">
        <v>360</v>
      </c>
      <c r="BF423">
        <v>260</v>
      </c>
      <c r="BG423">
        <v>288</v>
      </c>
      <c r="BH423">
        <v>90</v>
      </c>
      <c r="BI423">
        <v>0</v>
      </c>
      <c r="BJ423">
        <v>0</v>
      </c>
      <c r="BK423">
        <v>90</v>
      </c>
      <c r="BL423">
        <v>327.27272727272731</v>
      </c>
      <c r="BM423">
        <v>270</v>
      </c>
      <c r="BN423">
        <v>270</v>
      </c>
      <c r="BO423">
        <v>270</v>
      </c>
      <c r="BP423">
        <v>135</v>
      </c>
      <c r="BQ423">
        <f>(I423+J423+N423+O423)/4</f>
        <v>5.583333333333333</v>
      </c>
      <c r="BR423">
        <f>(K423+L423+M423)/3</f>
        <v>5.2666666666666666</v>
      </c>
      <c r="BS423">
        <f>BQ423/BR423</f>
        <v>1.0601265822784809</v>
      </c>
      <c r="BT423">
        <f>AQ423/I423</f>
        <v>90</v>
      </c>
      <c r="BU423" t="str">
        <f>IF(OR(A423=2, A423=12), "Central", IF(A423=3, "Semi-Central", "Periférica"))</f>
        <v>Periférica</v>
      </c>
    </row>
    <row r="424" spans="1:73" x14ac:dyDescent="0.3">
      <c r="A424" s="1">
        <v>11</v>
      </c>
      <c r="B424" s="1">
        <v>1116</v>
      </c>
      <c r="C424" s="1" t="s">
        <v>297</v>
      </c>
      <c r="D424" t="s">
        <v>5</v>
      </c>
      <c r="F424">
        <v>0</v>
      </c>
      <c r="G424">
        <v>0</v>
      </c>
      <c r="H424">
        <v>5</v>
      </c>
      <c r="I424">
        <v>6.666666666666667</v>
      </c>
      <c r="J424">
        <v>7.333333333333333</v>
      </c>
      <c r="K424">
        <v>6</v>
      </c>
      <c r="L424">
        <v>6</v>
      </c>
      <c r="M424">
        <v>6.4</v>
      </c>
      <c r="N424">
        <v>6</v>
      </c>
      <c r="O424">
        <v>6</v>
      </c>
      <c r="P424">
        <v>6</v>
      </c>
      <c r="Q424">
        <v>1.5</v>
      </c>
      <c r="R424">
        <v>0</v>
      </c>
      <c r="S424">
        <v>0</v>
      </c>
      <c r="T424">
        <v>3</v>
      </c>
      <c r="U424">
        <v>6.4</v>
      </c>
      <c r="V424">
        <v>6.666666666666667</v>
      </c>
      <c r="W424">
        <v>5.333333333333333</v>
      </c>
      <c r="X424">
        <v>5.5555555555555554</v>
      </c>
      <c r="Y424">
        <v>4</v>
      </c>
      <c r="Z424">
        <v>1.5</v>
      </c>
      <c r="AA424">
        <v>0</v>
      </c>
      <c r="AB424">
        <v>0</v>
      </c>
      <c r="AC424">
        <v>2</v>
      </c>
      <c r="AD424">
        <v>4.5454545454545459</v>
      </c>
      <c r="AE424">
        <v>5</v>
      </c>
      <c r="AF424">
        <v>6</v>
      </c>
      <c r="AG424">
        <v>4</v>
      </c>
      <c r="AH424">
        <v>2.5</v>
      </c>
      <c r="AI424" s="1">
        <v>11</v>
      </c>
      <c r="AJ424" s="1">
        <v>1116</v>
      </c>
      <c r="AK424" s="1" t="s">
        <v>297</v>
      </c>
      <c r="AL424" t="s">
        <v>5</v>
      </c>
      <c r="AN424">
        <v>0</v>
      </c>
      <c r="AO424">
        <v>0</v>
      </c>
      <c r="AP424">
        <v>450</v>
      </c>
      <c r="AQ424">
        <v>600</v>
      </c>
      <c r="AR424">
        <v>660</v>
      </c>
      <c r="AS424">
        <v>540</v>
      </c>
      <c r="AT424">
        <v>540</v>
      </c>
      <c r="AU424">
        <v>576</v>
      </c>
      <c r="AV424">
        <v>540</v>
      </c>
      <c r="AW424">
        <v>540</v>
      </c>
      <c r="AX424">
        <v>540</v>
      </c>
      <c r="AY424">
        <v>135</v>
      </c>
      <c r="AZ424">
        <v>0</v>
      </c>
      <c r="BA424">
        <v>0</v>
      </c>
      <c r="BB424">
        <v>270</v>
      </c>
      <c r="BC424">
        <v>576</v>
      </c>
      <c r="BD424">
        <v>600</v>
      </c>
      <c r="BE424">
        <v>480</v>
      </c>
      <c r="BF424">
        <v>500</v>
      </c>
      <c r="BG424">
        <v>360</v>
      </c>
      <c r="BH424">
        <v>135</v>
      </c>
      <c r="BI424">
        <v>0</v>
      </c>
      <c r="BJ424">
        <v>0</v>
      </c>
      <c r="BK424">
        <v>180</v>
      </c>
      <c r="BL424">
        <v>409.09090909090912</v>
      </c>
      <c r="BM424">
        <v>450</v>
      </c>
      <c r="BN424">
        <v>540</v>
      </c>
      <c r="BO424">
        <v>360</v>
      </c>
      <c r="BP424">
        <v>225</v>
      </c>
      <c r="BQ424">
        <f>(I424+J424+N424+O424)/4</f>
        <v>6.5</v>
      </c>
      <c r="BR424">
        <f>(K424+L424+M424)/3</f>
        <v>6.1333333333333329</v>
      </c>
      <c r="BS424">
        <f>BQ424/BR424</f>
        <v>1.0597826086956523</v>
      </c>
      <c r="BT424">
        <f>AQ424/I424</f>
        <v>90</v>
      </c>
      <c r="BU424" t="str">
        <f>IF(OR(A424=2, A424=12), "Central", IF(A424=3, "Semi-Central", "Periférica"))</f>
        <v>Periférica</v>
      </c>
    </row>
    <row r="425" spans="1:73" x14ac:dyDescent="0.3">
      <c r="A425" s="1">
        <v>8</v>
      </c>
      <c r="B425" s="1">
        <v>817</v>
      </c>
      <c r="C425" s="1" t="s">
        <v>165</v>
      </c>
      <c r="D425" t="s">
        <v>5</v>
      </c>
      <c r="F425">
        <v>0</v>
      </c>
      <c r="G425">
        <v>0.22222222222222221</v>
      </c>
      <c r="H425">
        <v>4</v>
      </c>
      <c r="I425">
        <v>5.333333333333333</v>
      </c>
      <c r="J425">
        <v>4.666666666666667</v>
      </c>
      <c r="K425">
        <v>5</v>
      </c>
      <c r="L425">
        <v>4</v>
      </c>
      <c r="M425">
        <v>4.8</v>
      </c>
      <c r="N425">
        <v>4.5</v>
      </c>
      <c r="O425">
        <v>5</v>
      </c>
      <c r="P425">
        <v>4.666666666666667</v>
      </c>
      <c r="Q425">
        <v>3</v>
      </c>
      <c r="R425">
        <v>0</v>
      </c>
      <c r="S425">
        <v>0.22222222222222221</v>
      </c>
      <c r="T425">
        <v>3</v>
      </c>
      <c r="U425">
        <v>3.6</v>
      </c>
      <c r="V425">
        <v>4</v>
      </c>
      <c r="W425">
        <v>3.666666666666667</v>
      </c>
      <c r="X425">
        <v>3.1111111111111112</v>
      </c>
      <c r="Y425">
        <v>2.8</v>
      </c>
      <c r="Z425">
        <v>3</v>
      </c>
      <c r="AA425">
        <v>0</v>
      </c>
      <c r="AB425">
        <v>0.22222222222222221</v>
      </c>
      <c r="AC425">
        <v>2.5</v>
      </c>
      <c r="AD425">
        <v>3.0909090909090908</v>
      </c>
      <c r="AE425">
        <v>3</v>
      </c>
      <c r="AF425">
        <v>3</v>
      </c>
      <c r="AG425">
        <v>3</v>
      </c>
      <c r="AH425">
        <v>2.5</v>
      </c>
      <c r="AI425" s="1">
        <v>8</v>
      </c>
      <c r="AJ425" s="1">
        <v>817</v>
      </c>
      <c r="AK425" s="1" t="s">
        <v>165</v>
      </c>
      <c r="AL425" t="s">
        <v>5</v>
      </c>
      <c r="AN425">
        <v>0</v>
      </c>
      <c r="AO425">
        <v>13.33333333333333</v>
      </c>
      <c r="AP425">
        <v>240</v>
      </c>
      <c r="AQ425">
        <v>320</v>
      </c>
      <c r="AR425">
        <v>280</v>
      </c>
      <c r="AS425">
        <v>300</v>
      </c>
      <c r="AT425">
        <v>240</v>
      </c>
      <c r="AU425">
        <v>288</v>
      </c>
      <c r="AV425">
        <v>270</v>
      </c>
      <c r="AW425">
        <v>300</v>
      </c>
      <c r="AX425">
        <v>280</v>
      </c>
      <c r="AY425">
        <v>180</v>
      </c>
      <c r="AZ425">
        <v>0</v>
      </c>
      <c r="BA425">
        <v>13.33333333333333</v>
      </c>
      <c r="BB425">
        <v>180</v>
      </c>
      <c r="BC425">
        <v>216</v>
      </c>
      <c r="BD425">
        <v>240</v>
      </c>
      <c r="BE425">
        <v>220</v>
      </c>
      <c r="BF425">
        <v>186.66666666666671</v>
      </c>
      <c r="BG425">
        <v>168</v>
      </c>
      <c r="BH425">
        <v>180</v>
      </c>
      <c r="BI425">
        <v>0</v>
      </c>
      <c r="BJ425">
        <v>13.33333333333333</v>
      </c>
      <c r="BK425">
        <v>150</v>
      </c>
      <c r="BL425">
        <v>185.4545454545455</v>
      </c>
      <c r="BM425">
        <v>180</v>
      </c>
      <c r="BN425">
        <v>180</v>
      </c>
      <c r="BO425">
        <v>180</v>
      </c>
      <c r="BP425">
        <v>150</v>
      </c>
      <c r="BQ425">
        <f>(I425+J425+N425+O425)/4</f>
        <v>4.875</v>
      </c>
      <c r="BR425">
        <f>(K425+L425+M425)/3</f>
        <v>4.6000000000000005</v>
      </c>
      <c r="BS425">
        <f>BQ425/BR425</f>
        <v>1.0597826086956521</v>
      </c>
      <c r="BT425">
        <f>AQ425/I425</f>
        <v>60</v>
      </c>
      <c r="BU425" t="str">
        <f>IF(OR(A425=2, A425=12), "Central", IF(A425=3, "Semi-Central", "Periférica"))</f>
        <v>Periférica</v>
      </c>
    </row>
    <row r="426" spans="1:73" x14ac:dyDescent="0.3">
      <c r="A426" s="1">
        <v>5</v>
      </c>
      <c r="B426" s="1">
        <v>514</v>
      </c>
      <c r="C426" s="1">
        <v>514</v>
      </c>
      <c r="D426" t="s">
        <v>5</v>
      </c>
      <c r="E426" t="s">
        <v>0</v>
      </c>
      <c r="F426">
        <v>0</v>
      </c>
      <c r="G426">
        <v>0</v>
      </c>
      <c r="H426">
        <v>5</v>
      </c>
      <c r="I426">
        <v>7.333333333333333</v>
      </c>
      <c r="J426">
        <v>6</v>
      </c>
      <c r="K426">
        <v>5</v>
      </c>
      <c r="L426">
        <v>5.333333333333333</v>
      </c>
      <c r="M426">
        <v>7.6</v>
      </c>
      <c r="N426">
        <v>6.5</v>
      </c>
      <c r="O426">
        <v>5.5</v>
      </c>
      <c r="P426">
        <v>4.666666666666667</v>
      </c>
      <c r="Q426">
        <v>3.5</v>
      </c>
      <c r="R426">
        <v>0</v>
      </c>
      <c r="S426">
        <v>0</v>
      </c>
      <c r="T426">
        <v>3</v>
      </c>
      <c r="U426">
        <v>5.2</v>
      </c>
      <c r="V426">
        <v>4.666666666666667</v>
      </c>
      <c r="W426">
        <v>4.666666666666667</v>
      </c>
      <c r="X426">
        <v>4.4444444444444446</v>
      </c>
      <c r="Y426">
        <v>3.6</v>
      </c>
      <c r="Z426">
        <v>3</v>
      </c>
      <c r="AA426">
        <v>0</v>
      </c>
      <c r="AB426">
        <v>0</v>
      </c>
      <c r="AC426">
        <v>3.5</v>
      </c>
      <c r="AD426">
        <v>3.6363636363636362</v>
      </c>
      <c r="AE426">
        <v>4</v>
      </c>
      <c r="AF426">
        <v>3.6666666666666665</v>
      </c>
      <c r="AG426">
        <v>3</v>
      </c>
      <c r="AH426">
        <v>2.5</v>
      </c>
      <c r="AI426" s="1">
        <v>5</v>
      </c>
      <c r="AJ426" s="1">
        <v>514</v>
      </c>
      <c r="AK426" s="1">
        <v>514</v>
      </c>
      <c r="AL426" t="s">
        <v>5</v>
      </c>
      <c r="AM426" t="s">
        <v>0</v>
      </c>
      <c r="AN426">
        <v>0</v>
      </c>
      <c r="AO426">
        <v>0</v>
      </c>
      <c r="AP426">
        <v>416</v>
      </c>
      <c r="AQ426">
        <v>594</v>
      </c>
      <c r="AR426">
        <v>515.33333333333337</v>
      </c>
      <c r="AS426">
        <v>445.33333333333331</v>
      </c>
      <c r="AT426">
        <v>483.33333333333331</v>
      </c>
      <c r="AU426">
        <v>659.6</v>
      </c>
      <c r="AV426">
        <v>532</v>
      </c>
      <c r="AW426">
        <v>495</v>
      </c>
      <c r="AX426">
        <v>400</v>
      </c>
      <c r="AY426">
        <v>322</v>
      </c>
      <c r="AZ426">
        <v>0</v>
      </c>
      <c r="BA426">
        <v>0</v>
      </c>
      <c r="BB426">
        <v>243</v>
      </c>
      <c r="BC426">
        <v>421.2</v>
      </c>
      <c r="BD426">
        <v>378</v>
      </c>
      <c r="BE426">
        <v>378</v>
      </c>
      <c r="BF426">
        <v>360</v>
      </c>
      <c r="BG426">
        <v>291.60000000000002</v>
      </c>
      <c r="BH426">
        <v>243</v>
      </c>
      <c r="BI426">
        <v>0</v>
      </c>
      <c r="BJ426">
        <v>0</v>
      </c>
      <c r="BK426">
        <v>283.5</v>
      </c>
      <c r="BL426">
        <v>294.54545454545456</v>
      </c>
      <c r="BM426">
        <v>324</v>
      </c>
      <c r="BN426">
        <v>297</v>
      </c>
      <c r="BO426">
        <v>243</v>
      </c>
      <c r="BP426">
        <v>202.5</v>
      </c>
      <c r="BQ426">
        <f>(I426+J426+N426+O426)/4</f>
        <v>6.333333333333333</v>
      </c>
      <c r="BR426">
        <f>(K426+L426+M426)/3</f>
        <v>5.977777777777777</v>
      </c>
      <c r="BS426">
        <f>BQ426/BR426</f>
        <v>1.0594795539033459</v>
      </c>
      <c r="BT426">
        <f>AQ426/I426</f>
        <v>81</v>
      </c>
      <c r="BU426" t="str">
        <f>IF(OR(A426=2, A426=12), "Central", IF(A426=3, "Semi-Central", "Periférica"))</f>
        <v>Periférica</v>
      </c>
    </row>
    <row r="427" spans="1:73" x14ac:dyDescent="0.3">
      <c r="A427" s="1">
        <v>5</v>
      </c>
      <c r="B427" s="1">
        <v>510</v>
      </c>
      <c r="C427" s="1">
        <v>510</v>
      </c>
      <c r="D427" t="s">
        <v>5</v>
      </c>
      <c r="E427" t="s">
        <v>0</v>
      </c>
      <c r="F427">
        <v>0</v>
      </c>
      <c r="G427">
        <v>0</v>
      </c>
      <c r="H427">
        <v>5</v>
      </c>
      <c r="I427">
        <v>6.666666666666667</v>
      </c>
      <c r="J427">
        <v>5.333333333333333</v>
      </c>
      <c r="K427">
        <v>5</v>
      </c>
      <c r="L427">
        <v>5.333333333333333</v>
      </c>
      <c r="M427">
        <v>5.6</v>
      </c>
      <c r="N427">
        <v>5.5</v>
      </c>
      <c r="O427">
        <v>5</v>
      </c>
      <c r="P427">
        <v>4.666666666666667</v>
      </c>
      <c r="Q427">
        <v>3</v>
      </c>
      <c r="R427">
        <v>0</v>
      </c>
      <c r="S427">
        <v>0</v>
      </c>
      <c r="T427">
        <v>3</v>
      </c>
      <c r="U427">
        <v>4.8</v>
      </c>
      <c r="V427">
        <v>4.666666666666667</v>
      </c>
      <c r="W427">
        <v>4.333333333333333</v>
      </c>
      <c r="X427">
        <v>4.4444444444444446</v>
      </c>
      <c r="Y427">
        <v>3.6</v>
      </c>
      <c r="Z427">
        <v>3</v>
      </c>
      <c r="AA427">
        <v>0</v>
      </c>
      <c r="AB427">
        <v>0</v>
      </c>
      <c r="AC427">
        <v>3.5</v>
      </c>
      <c r="AD427">
        <v>3.6363636363636362</v>
      </c>
      <c r="AE427">
        <v>3.8</v>
      </c>
      <c r="AF427">
        <v>4</v>
      </c>
      <c r="AG427">
        <v>4</v>
      </c>
      <c r="AH427">
        <v>3</v>
      </c>
      <c r="AI427" s="1">
        <v>5</v>
      </c>
      <c r="AJ427" s="1">
        <v>510</v>
      </c>
      <c r="AK427" s="1">
        <v>510</v>
      </c>
      <c r="AL427" t="s">
        <v>5</v>
      </c>
      <c r="AM427" t="s">
        <v>0</v>
      </c>
      <c r="AN427">
        <v>0</v>
      </c>
      <c r="AO427">
        <v>0</v>
      </c>
      <c r="AP427">
        <v>405</v>
      </c>
      <c r="AQ427">
        <v>540</v>
      </c>
      <c r="AR427">
        <v>432</v>
      </c>
      <c r="AS427">
        <v>405</v>
      </c>
      <c r="AT427">
        <v>432</v>
      </c>
      <c r="AU427">
        <v>453.6</v>
      </c>
      <c r="AV427">
        <v>445.5</v>
      </c>
      <c r="AW427">
        <v>405</v>
      </c>
      <c r="AX427">
        <v>378</v>
      </c>
      <c r="AY427">
        <v>243</v>
      </c>
      <c r="AZ427">
        <v>0</v>
      </c>
      <c r="BA427">
        <v>0</v>
      </c>
      <c r="BB427">
        <v>243</v>
      </c>
      <c r="BC427">
        <v>388.8</v>
      </c>
      <c r="BD427">
        <v>378</v>
      </c>
      <c r="BE427">
        <v>351</v>
      </c>
      <c r="BF427">
        <v>360</v>
      </c>
      <c r="BG427">
        <v>291.60000000000002</v>
      </c>
      <c r="BH427">
        <v>243</v>
      </c>
      <c r="BI427">
        <v>0</v>
      </c>
      <c r="BJ427">
        <v>0</v>
      </c>
      <c r="BK427">
        <v>283.5</v>
      </c>
      <c r="BL427">
        <v>294.54545454545456</v>
      </c>
      <c r="BM427">
        <v>307.8</v>
      </c>
      <c r="BN427">
        <v>324</v>
      </c>
      <c r="BO427">
        <v>324</v>
      </c>
      <c r="BP427">
        <v>243</v>
      </c>
      <c r="BQ427">
        <f>(I427+J427+N427+O427)/4</f>
        <v>5.625</v>
      </c>
      <c r="BR427">
        <f>(K427+L427+M427)/3</f>
        <v>5.3111111111111109</v>
      </c>
      <c r="BS427">
        <f>BQ427/BR427</f>
        <v>1.0591004184100419</v>
      </c>
      <c r="BT427">
        <f>AQ427/I427</f>
        <v>81</v>
      </c>
      <c r="BU427" t="str">
        <f>IF(OR(A427=2, A427=12), "Central", IF(A427=3, "Semi-Central", "Periférica"))</f>
        <v>Periférica</v>
      </c>
    </row>
    <row r="428" spans="1:73" x14ac:dyDescent="0.3">
      <c r="A428" s="1">
        <v>3</v>
      </c>
      <c r="B428" s="1">
        <v>324</v>
      </c>
      <c r="C428" s="1">
        <v>125</v>
      </c>
      <c r="D428" t="s">
        <v>1</v>
      </c>
      <c r="E428" t="s">
        <v>0</v>
      </c>
      <c r="F428">
        <v>0</v>
      </c>
      <c r="G428">
        <v>0.22222222222222221</v>
      </c>
      <c r="H428">
        <v>4</v>
      </c>
      <c r="I428">
        <v>6</v>
      </c>
      <c r="J428">
        <v>5.333333333333333</v>
      </c>
      <c r="K428">
        <v>5</v>
      </c>
      <c r="L428">
        <v>5.333333333333333</v>
      </c>
      <c r="M428">
        <v>4.8</v>
      </c>
      <c r="N428">
        <v>5</v>
      </c>
      <c r="O428">
        <v>5</v>
      </c>
      <c r="P428">
        <v>4</v>
      </c>
      <c r="Q428">
        <v>2</v>
      </c>
      <c r="R428">
        <v>0</v>
      </c>
      <c r="S428">
        <v>0.22222222222222221</v>
      </c>
      <c r="T428">
        <v>4</v>
      </c>
      <c r="U428">
        <v>4.4000000000000004</v>
      </c>
      <c r="V428">
        <v>4</v>
      </c>
      <c r="W428">
        <v>4</v>
      </c>
      <c r="X428">
        <v>4</v>
      </c>
      <c r="Y428">
        <v>3.2</v>
      </c>
      <c r="Z428">
        <v>1.5</v>
      </c>
      <c r="AA428">
        <v>0</v>
      </c>
      <c r="AB428">
        <v>0.22222222222222221</v>
      </c>
      <c r="AC428">
        <v>3.5</v>
      </c>
      <c r="AD428">
        <v>4</v>
      </c>
      <c r="AE428">
        <v>4</v>
      </c>
      <c r="AF428">
        <v>4</v>
      </c>
      <c r="AG428">
        <v>3</v>
      </c>
      <c r="AH428">
        <v>1.5</v>
      </c>
      <c r="AI428" s="1">
        <v>3</v>
      </c>
      <c r="AJ428" s="1">
        <v>324</v>
      </c>
      <c r="AK428" s="1">
        <v>125</v>
      </c>
      <c r="AL428" t="s">
        <v>1</v>
      </c>
      <c r="AM428" t="s">
        <v>0</v>
      </c>
      <c r="AN428">
        <v>0</v>
      </c>
      <c r="AO428">
        <v>21.777777777777779</v>
      </c>
      <c r="AP428">
        <v>392</v>
      </c>
      <c r="AQ428">
        <v>588</v>
      </c>
      <c r="AR428">
        <v>522.66666666666663</v>
      </c>
      <c r="AS428">
        <v>490</v>
      </c>
      <c r="AT428">
        <v>522.66666666666663</v>
      </c>
      <c r="AU428">
        <v>470.4</v>
      </c>
      <c r="AV428">
        <v>490</v>
      </c>
      <c r="AW428">
        <v>490</v>
      </c>
      <c r="AX428">
        <v>392</v>
      </c>
      <c r="AY428">
        <v>196</v>
      </c>
      <c r="AZ428">
        <v>0</v>
      </c>
      <c r="BA428">
        <v>21.777777777777779</v>
      </c>
      <c r="BB428">
        <v>392</v>
      </c>
      <c r="BC428">
        <v>431.2</v>
      </c>
      <c r="BD428">
        <v>392</v>
      </c>
      <c r="BE428">
        <v>392</v>
      </c>
      <c r="BF428">
        <v>392</v>
      </c>
      <c r="BG428">
        <v>313.60000000000002</v>
      </c>
      <c r="BH428">
        <v>147</v>
      </c>
      <c r="BI428">
        <v>0</v>
      </c>
      <c r="BJ428">
        <v>21.777777777777779</v>
      </c>
      <c r="BK428">
        <v>343</v>
      </c>
      <c r="BL428">
        <v>392</v>
      </c>
      <c r="BM428">
        <v>392</v>
      </c>
      <c r="BN428">
        <v>392</v>
      </c>
      <c r="BO428">
        <v>294</v>
      </c>
      <c r="BP428">
        <v>147</v>
      </c>
      <c r="BQ428">
        <f>(I428+J428+N428+O428)/4</f>
        <v>5.333333333333333</v>
      </c>
      <c r="BR428">
        <f>(K428+L428+M428)/3</f>
        <v>5.0444444444444443</v>
      </c>
      <c r="BS428">
        <f>BQ428/BR428</f>
        <v>1.0572687224669604</v>
      </c>
      <c r="BT428">
        <f>AQ428/I428</f>
        <v>98</v>
      </c>
      <c r="BU428" t="str">
        <f>IF(OR(A428=2, A428=12), "Central", IF(A428=3, "Semi-Central", "Periférica"))</f>
        <v>Semi-Central</v>
      </c>
    </row>
    <row r="429" spans="1:73" x14ac:dyDescent="0.3">
      <c r="A429" s="1">
        <v>3</v>
      </c>
      <c r="B429" s="1">
        <v>384</v>
      </c>
      <c r="C429" s="1" t="s">
        <v>293</v>
      </c>
      <c r="D429" t="s">
        <v>5</v>
      </c>
      <c r="E429" t="s">
        <v>0</v>
      </c>
      <c r="F429">
        <v>0</v>
      </c>
      <c r="G429">
        <v>0</v>
      </c>
      <c r="H429">
        <v>4</v>
      </c>
      <c r="I429">
        <v>6.666666666666667</v>
      </c>
      <c r="J429">
        <v>6</v>
      </c>
      <c r="K429">
        <v>6</v>
      </c>
      <c r="L429">
        <v>6</v>
      </c>
      <c r="M429">
        <v>4.8</v>
      </c>
      <c r="N429">
        <v>5.5</v>
      </c>
      <c r="O429">
        <v>5.5</v>
      </c>
      <c r="P429">
        <v>4.666666666666667</v>
      </c>
      <c r="Q429">
        <v>4</v>
      </c>
      <c r="R429">
        <v>0</v>
      </c>
      <c r="S429">
        <v>0</v>
      </c>
      <c r="T429">
        <v>3</v>
      </c>
      <c r="U429">
        <v>4</v>
      </c>
      <c r="V429">
        <v>4</v>
      </c>
      <c r="W429">
        <v>4</v>
      </c>
      <c r="X429">
        <v>4</v>
      </c>
      <c r="Y429">
        <v>3.2</v>
      </c>
      <c r="Z429">
        <v>3</v>
      </c>
      <c r="AA429">
        <v>0</v>
      </c>
      <c r="AB429">
        <v>0</v>
      </c>
      <c r="AC429">
        <v>3</v>
      </c>
      <c r="AD429">
        <v>4</v>
      </c>
      <c r="AE429">
        <v>4</v>
      </c>
      <c r="AF429">
        <v>4</v>
      </c>
      <c r="AG429">
        <v>3</v>
      </c>
      <c r="AH429">
        <v>3</v>
      </c>
      <c r="AI429" s="1">
        <v>3</v>
      </c>
      <c r="AJ429" s="1">
        <v>384</v>
      </c>
      <c r="AK429" s="1" t="s">
        <v>293</v>
      </c>
      <c r="AL429" t="s">
        <v>5</v>
      </c>
      <c r="AM429" t="s">
        <v>0</v>
      </c>
      <c r="AN429">
        <v>0</v>
      </c>
      <c r="AO429">
        <v>0</v>
      </c>
      <c r="AP429">
        <v>392</v>
      </c>
      <c r="AQ429">
        <v>653.33333333333337</v>
      </c>
      <c r="AR429">
        <v>588</v>
      </c>
      <c r="AS429">
        <v>588</v>
      </c>
      <c r="AT429">
        <v>588</v>
      </c>
      <c r="AU429">
        <v>470.4</v>
      </c>
      <c r="AV429">
        <v>539</v>
      </c>
      <c r="AW429">
        <v>539</v>
      </c>
      <c r="AX429">
        <v>457.33333333333331</v>
      </c>
      <c r="AY429">
        <v>392</v>
      </c>
      <c r="AZ429">
        <v>0</v>
      </c>
      <c r="BA429">
        <v>0</v>
      </c>
      <c r="BB429">
        <v>294</v>
      </c>
      <c r="BC429">
        <v>392</v>
      </c>
      <c r="BD429">
        <v>392</v>
      </c>
      <c r="BE429">
        <v>392</v>
      </c>
      <c r="BF429">
        <v>392</v>
      </c>
      <c r="BG429">
        <v>313.60000000000002</v>
      </c>
      <c r="BH429">
        <v>294</v>
      </c>
      <c r="BI429">
        <v>0</v>
      </c>
      <c r="BJ429">
        <v>0</v>
      </c>
      <c r="BK429">
        <v>294</v>
      </c>
      <c r="BL429">
        <v>392</v>
      </c>
      <c r="BM429">
        <v>392</v>
      </c>
      <c r="BN429">
        <v>392</v>
      </c>
      <c r="BO429">
        <v>294</v>
      </c>
      <c r="BP429">
        <v>294</v>
      </c>
      <c r="BQ429">
        <f>(I429+J429+N429+O429)/4</f>
        <v>5.916666666666667</v>
      </c>
      <c r="BR429">
        <f>(K429+L429+M429)/3</f>
        <v>5.6000000000000005</v>
      </c>
      <c r="BS429">
        <f>BQ429/BR429</f>
        <v>1.0565476190476191</v>
      </c>
      <c r="BT429">
        <f>AQ429/I429</f>
        <v>98</v>
      </c>
      <c r="BU429" t="str">
        <f>IF(OR(A429=2, A429=12), "Central", IF(A429=3, "Semi-Central", "Periférica"))</f>
        <v>Semi-Central</v>
      </c>
    </row>
    <row r="430" spans="1:73" x14ac:dyDescent="0.3">
      <c r="A430" s="1">
        <v>16</v>
      </c>
      <c r="B430" s="1">
        <v>1613</v>
      </c>
      <c r="C430" s="1" t="s">
        <v>300</v>
      </c>
      <c r="D430" t="s">
        <v>1</v>
      </c>
      <c r="E430" t="s">
        <v>0</v>
      </c>
      <c r="F430">
        <v>0</v>
      </c>
      <c r="G430">
        <v>0</v>
      </c>
      <c r="H430">
        <v>4</v>
      </c>
      <c r="I430">
        <v>5.333333333333333</v>
      </c>
      <c r="J430">
        <v>4.666666666666667</v>
      </c>
      <c r="K430">
        <v>5</v>
      </c>
      <c r="L430">
        <v>5.333333333333333</v>
      </c>
      <c r="M430">
        <v>6</v>
      </c>
      <c r="N430">
        <v>6</v>
      </c>
      <c r="O430">
        <v>7</v>
      </c>
      <c r="P430">
        <v>6.666666666666667</v>
      </c>
      <c r="Q430">
        <v>4.5</v>
      </c>
      <c r="R430">
        <v>0</v>
      </c>
      <c r="S430">
        <v>0</v>
      </c>
      <c r="T430">
        <v>3</v>
      </c>
      <c r="U430">
        <v>4.4000000000000004</v>
      </c>
      <c r="V430">
        <v>3.666666666666667</v>
      </c>
      <c r="W430">
        <v>3.666666666666667</v>
      </c>
      <c r="X430">
        <v>4</v>
      </c>
      <c r="Y430">
        <v>3.2</v>
      </c>
      <c r="Z430">
        <v>3</v>
      </c>
      <c r="AA430">
        <v>0</v>
      </c>
      <c r="AB430">
        <v>0</v>
      </c>
      <c r="AC430">
        <v>2</v>
      </c>
      <c r="AD430">
        <v>3.8181818181818179</v>
      </c>
      <c r="AE430">
        <v>4</v>
      </c>
      <c r="AF430">
        <v>3.666666666666667</v>
      </c>
      <c r="AG430">
        <v>3</v>
      </c>
      <c r="AH430">
        <v>3</v>
      </c>
      <c r="AI430" s="1">
        <v>16</v>
      </c>
      <c r="AJ430" s="1">
        <v>1613</v>
      </c>
      <c r="AK430" s="1" t="s">
        <v>300</v>
      </c>
      <c r="AL430" t="s">
        <v>1</v>
      </c>
      <c r="AM430" t="s">
        <v>0</v>
      </c>
      <c r="AN430">
        <v>0</v>
      </c>
      <c r="AO430">
        <v>0</v>
      </c>
      <c r="AP430">
        <v>360</v>
      </c>
      <c r="AQ430">
        <v>480</v>
      </c>
      <c r="AR430">
        <v>420</v>
      </c>
      <c r="AS430">
        <v>450</v>
      </c>
      <c r="AT430">
        <v>480</v>
      </c>
      <c r="AU430">
        <v>540</v>
      </c>
      <c r="AV430">
        <v>540</v>
      </c>
      <c r="AW430">
        <v>630</v>
      </c>
      <c r="AX430">
        <v>600</v>
      </c>
      <c r="AY430">
        <v>405</v>
      </c>
      <c r="AZ430">
        <v>0</v>
      </c>
      <c r="BA430">
        <v>0</v>
      </c>
      <c r="BB430">
        <v>270</v>
      </c>
      <c r="BC430">
        <v>396</v>
      </c>
      <c r="BD430">
        <v>330</v>
      </c>
      <c r="BE430">
        <v>330</v>
      </c>
      <c r="BF430">
        <v>360</v>
      </c>
      <c r="BG430">
        <v>288</v>
      </c>
      <c r="BH430">
        <v>270</v>
      </c>
      <c r="BI430">
        <v>0</v>
      </c>
      <c r="BJ430">
        <v>0</v>
      </c>
      <c r="BK430">
        <v>180</v>
      </c>
      <c r="BL430">
        <v>343.63636363636363</v>
      </c>
      <c r="BM430">
        <v>360</v>
      </c>
      <c r="BN430">
        <v>330</v>
      </c>
      <c r="BO430">
        <v>270</v>
      </c>
      <c r="BP430">
        <v>270</v>
      </c>
      <c r="BQ430">
        <f>(I430+J430+N430+O430)/4</f>
        <v>5.75</v>
      </c>
      <c r="BR430">
        <f>(K430+L430+M430)/3</f>
        <v>5.4444444444444438</v>
      </c>
      <c r="BS430">
        <f>BQ430/BR430</f>
        <v>1.056122448979592</v>
      </c>
      <c r="BT430">
        <f>AQ430/I430</f>
        <v>90</v>
      </c>
      <c r="BU430" t="str">
        <f>IF(OR(A430=2, A430=12), "Central", IF(A430=3, "Semi-Central", "Periférica"))</f>
        <v>Periférica</v>
      </c>
    </row>
    <row r="431" spans="1:73" x14ac:dyDescent="0.3">
      <c r="A431" s="1">
        <v>15</v>
      </c>
      <c r="B431" s="1">
        <v>1557</v>
      </c>
      <c r="C431" s="1" t="s">
        <v>51</v>
      </c>
      <c r="D431" t="s">
        <v>5</v>
      </c>
      <c r="E431" t="s">
        <v>0</v>
      </c>
      <c r="F431">
        <v>0</v>
      </c>
      <c r="G431">
        <v>0.44444444444444442</v>
      </c>
      <c r="H431">
        <v>4</v>
      </c>
      <c r="I431">
        <v>4.666666666666667</v>
      </c>
      <c r="J431">
        <v>3.333333333333333</v>
      </c>
      <c r="K431">
        <v>2.666666666666667</v>
      </c>
      <c r="L431">
        <v>4</v>
      </c>
      <c r="M431">
        <v>4</v>
      </c>
      <c r="N431">
        <v>3.5</v>
      </c>
      <c r="O431">
        <v>3.5</v>
      </c>
      <c r="P431">
        <v>2.666666666666667</v>
      </c>
      <c r="Q431">
        <v>2</v>
      </c>
      <c r="R431">
        <v>0</v>
      </c>
      <c r="S431">
        <v>0.22222222222222221</v>
      </c>
      <c r="T431">
        <v>3</v>
      </c>
      <c r="U431">
        <v>2.4</v>
      </c>
      <c r="V431">
        <v>2.666666666666667</v>
      </c>
      <c r="W431">
        <v>3.666666666666667</v>
      </c>
      <c r="X431">
        <v>3.1111111111111112</v>
      </c>
      <c r="Y431">
        <v>2.4</v>
      </c>
      <c r="Z431">
        <v>2</v>
      </c>
      <c r="AA431">
        <v>0</v>
      </c>
      <c r="AB431">
        <v>0.22222222222222221</v>
      </c>
      <c r="AC431">
        <v>2.5</v>
      </c>
      <c r="AD431">
        <v>2</v>
      </c>
      <c r="AE431">
        <v>2</v>
      </c>
      <c r="AF431">
        <v>3</v>
      </c>
      <c r="AG431">
        <v>2</v>
      </c>
      <c r="AH431">
        <v>2</v>
      </c>
      <c r="AI431" s="1">
        <v>15</v>
      </c>
      <c r="AJ431" s="1">
        <v>1557</v>
      </c>
      <c r="AK431" s="1" t="s">
        <v>51</v>
      </c>
      <c r="AL431" t="s">
        <v>5</v>
      </c>
      <c r="AM431" t="s">
        <v>0</v>
      </c>
      <c r="AN431">
        <v>0</v>
      </c>
      <c r="AO431">
        <v>40</v>
      </c>
      <c r="AP431">
        <v>360</v>
      </c>
      <c r="AQ431">
        <v>420</v>
      </c>
      <c r="AR431">
        <v>300</v>
      </c>
      <c r="AS431">
        <v>240</v>
      </c>
      <c r="AT431">
        <v>360</v>
      </c>
      <c r="AU431">
        <v>360</v>
      </c>
      <c r="AV431">
        <v>315</v>
      </c>
      <c r="AW431">
        <v>315</v>
      </c>
      <c r="AX431">
        <v>240</v>
      </c>
      <c r="AY431">
        <v>180</v>
      </c>
      <c r="AZ431">
        <v>0</v>
      </c>
      <c r="BA431">
        <v>20</v>
      </c>
      <c r="BB431">
        <v>270</v>
      </c>
      <c r="BC431">
        <v>216</v>
      </c>
      <c r="BD431">
        <v>240</v>
      </c>
      <c r="BE431">
        <v>330</v>
      </c>
      <c r="BF431">
        <v>280</v>
      </c>
      <c r="BG431">
        <v>216</v>
      </c>
      <c r="BH431">
        <v>180</v>
      </c>
      <c r="BI431">
        <v>0</v>
      </c>
      <c r="BJ431">
        <v>20</v>
      </c>
      <c r="BK431">
        <v>225</v>
      </c>
      <c r="BL431">
        <v>180</v>
      </c>
      <c r="BM431">
        <v>180</v>
      </c>
      <c r="BN431">
        <v>270</v>
      </c>
      <c r="BO431">
        <v>180</v>
      </c>
      <c r="BP431">
        <v>180</v>
      </c>
      <c r="BQ431">
        <f>(I431+J431+N431+O431)/4</f>
        <v>3.75</v>
      </c>
      <c r="BR431">
        <f>(K431+L431+M431)/3</f>
        <v>3.5555555555555558</v>
      </c>
      <c r="BS431">
        <f>BQ431/BR431</f>
        <v>1.0546875</v>
      </c>
      <c r="BT431">
        <f>AQ431/I431</f>
        <v>90</v>
      </c>
      <c r="BU431" t="str">
        <f>IF(OR(A431=2, A431=12), "Central", IF(A431=3, "Semi-Central", "Periférica"))</f>
        <v>Periférica</v>
      </c>
    </row>
    <row r="432" spans="1:73" x14ac:dyDescent="0.3">
      <c r="A432" s="1">
        <v>5</v>
      </c>
      <c r="B432" s="1">
        <v>502</v>
      </c>
      <c r="C432" s="1">
        <v>502</v>
      </c>
      <c r="D432" t="s">
        <v>5</v>
      </c>
      <c r="E432" t="s">
        <v>0</v>
      </c>
      <c r="F432">
        <v>0</v>
      </c>
      <c r="G432">
        <v>1.1111111111111112</v>
      </c>
      <c r="H432">
        <v>11</v>
      </c>
      <c r="I432">
        <v>14</v>
      </c>
      <c r="J432">
        <v>6.666666666666667</v>
      </c>
      <c r="K432">
        <v>5.333333333333333</v>
      </c>
      <c r="L432">
        <v>6</v>
      </c>
      <c r="M432">
        <v>11.2</v>
      </c>
      <c r="N432">
        <v>8</v>
      </c>
      <c r="O432">
        <v>3</v>
      </c>
      <c r="P432">
        <v>3.3333333333333335</v>
      </c>
      <c r="Q432">
        <v>2.5</v>
      </c>
      <c r="R432">
        <v>0</v>
      </c>
      <c r="S432">
        <v>0.44444444444444442</v>
      </c>
      <c r="T432">
        <v>6</v>
      </c>
      <c r="U432">
        <v>4</v>
      </c>
      <c r="V432">
        <v>4</v>
      </c>
      <c r="W432">
        <v>4</v>
      </c>
      <c r="X432">
        <v>4</v>
      </c>
      <c r="Y432">
        <v>3.2</v>
      </c>
      <c r="Z432">
        <v>2.5</v>
      </c>
      <c r="AA432">
        <v>0</v>
      </c>
      <c r="AB432">
        <v>0</v>
      </c>
      <c r="AC432">
        <v>4</v>
      </c>
      <c r="AD432">
        <v>4</v>
      </c>
      <c r="AE432">
        <v>4</v>
      </c>
      <c r="AF432">
        <v>4</v>
      </c>
      <c r="AG432">
        <v>4</v>
      </c>
      <c r="AH432">
        <v>2</v>
      </c>
      <c r="AI432" s="1">
        <v>5</v>
      </c>
      <c r="AJ432" s="1">
        <v>502</v>
      </c>
      <c r="AK432" s="1">
        <v>502</v>
      </c>
      <c r="AL432" t="s">
        <v>5</v>
      </c>
      <c r="AM432" t="s">
        <v>0</v>
      </c>
      <c r="AN432">
        <v>0</v>
      </c>
      <c r="AO432">
        <v>90</v>
      </c>
      <c r="AP432">
        <v>1104</v>
      </c>
      <c r="AQ432">
        <v>1560</v>
      </c>
      <c r="AR432">
        <v>634.66666666666663</v>
      </c>
      <c r="AS432">
        <v>597.66666666666663</v>
      </c>
      <c r="AT432">
        <v>533.33333333333337</v>
      </c>
      <c r="AU432">
        <v>1219.5999999999999</v>
      </c>
      <c r="AV432">
        <v>861</v>
      </c>
      <c r="AW432">
        <v>349.5</v>
      </c>
      <c r="AX432">
        <v>412</v>
      </c>
      <c r="AY432">
        <v>273.5</v>
      </c>
      <c r="AZ432">
        <v>0</v>
      </c>
      <c r="BA432">
        <v>36</v>
      </c>
      <c r="BB432">
        <v>486</v>
      </c>
      <c r="BC432">
        <v>324</v>
      </c>
      <c r="BD432">
        <v>324</v>
      </c>
      <c r="BE432">
        <v>324</v>
      </c>
      <c r="BF432">
        <v>324</v>
      </c>
      <c r="BG432">
        <v>259.2</v>
      </c>
      <c r="BH432">
        <v>202.5</v>
      </c>
      <c r="BI432">
        <v>0</v>
      </c>
      <c r="BJ432">
        <v>0</v>
      </c>
      <c r="BK432">
        <v>324</v>
      </c>
      <c r="BL432">
        <v>324</v>
      </c>
      <c r="BM432">
        <v>324</v>
      </c>
      <c r="BN432">
        <v>324</v>
      </c>
      <c r="BO432">
        <v>324</v>
      </c>
      <c r="BP432">
        <v>162</v>
      </c>
      <c r="BQ432">
        <f>(I432+J432+N432+O432)/4</f>
        <v>7.916666666666667</v>
      </c>
      <c r="BR432">
        <f>(K432+L432+M432)/3</f>
        <v>7.5111111111111102</v>
      </c>
      <c r="BS432">
        <f>BQ432/BR432</f>
        <v>1.0539940828402368</v>
      </c>
      <c r="BT432">
        <f>AQ432/I432</f>
        <v>111.42857142857143</v>
      </c>
      <c r="BU432" t="str">
        <f>IF(OR(A432=2, A432=12), "Central", IF(A432=3, "Semi-Central", "Periférica"))</f>
        <v>Periférica</v>
      </c>
    </row>
    <row r="433" spans="1:73" x14ac:dyDescent="0.3">
      <c r="A433" s="1">
        <v>11</v>
      </c>
      <c r="B433" s="1">
        <v>1107</v>
      </c>
      <c r="C433" s="1" t="s">
        <v>284</v>
      </c>
      <c r="D433" t="s">
        <v>1</v>
      </c>
      <c r="F433">
        <v>0</v>
      </c>
      <c r="G433">
        <v>0</v>
      </c>
      <c r="H433">
        <v>6</v>
      </c>
      <c r="I433">
        <v>8.6666666666666661</v>
      </c>
      <c r="J433">
        <v>9.3333333333333339</v>
      </c>
      <c r="K433">
        <v>8.6666666666666661</v>
      </c>
      <c r="L433">
        <v>6.666666666666667</v>
      </c>
      <c r="M433">
        <v>6.4</v>
      </c>
      <c r="N433">
        <v>7</v>
      </c>
      <c r="O433">
        <v>5.5</v>
      </c>
      <c r="P433">
        <v>5.333333333333333</v>
      </c>
      <c r="Q433">
        <v>1.5</v>
      </c>
      <c r="R433">
        <v>0</v>
      </c>
      <c r="S433">
        <v>0</v>
      </c>
      <c r="T433">
        <v>3</v>
      </c>
      <c r="U433">
        <v>6.4</v>
      </c>
      <c r="V433">
        <v>5.666666666666667</v>
      </c>
      <c r="W433">
        <v>6</v>
      </c>
      <c r="X433">
        <v>5.5555555555555554</v>
      </c>
      <c r="Y433">
        <v>3.6</v>
      </c>
      <c r="Z433">
        <v>1.5</v>
      </c>
      <c r="AA433">
        <v>0</v>
      </c>
      <c r="AB433">
        <v>0</v>
      </c>
      <c r="AC433">
        <v>1.5</v>
      </c>
      <c r="AD433">
        <v>3.2727272727272729</v>
      </c>
      <c r="AE433">
        <v>4</v>
      </c>
      <c r="AF433">
        <v>3.333333333333333</v>
      </c>
      <c r="AG433">
        <v>3</v>
      </c>
      <c r="AH433">
        <v>2.5</v>
      </c>
      <c r="AI433" s="1">
        <v>11</v>
      </c>
      <c r="AJ433" s="1">
        <v>1107</v>
      </c>
      <c r="AK433" s="1" t="s">
        <v>284</v>
      </c>
      <c r="AL433" t="s">
        <v>1</v>
      </c>
      <c r="AN433">
        <v>0</v>
      </c>
      <c r="AO433">
        <v>0</v>
      </c>
      <c r="AP433">
        <v>540</v>
      </c>
      <c r="AQ433">
        <v>780</v>
      </c>
      <c r="AR433">
        <v>840</v>
      </c>
      <c r="AS433">
        <v>780</v>
      </c>
      <c r="AT433">
        <v>600</v>
      </c>
      <c r="AU433">
        <v>576</v>
      </c>
      <c r="AV433">
        <v>630</v>
      </c>
      <c r="AW433">
        <v>495</v>
      </c>
      <c r="AX433">
        <v>480</v>
      </c>
      <c r="AY433">
        <v>135</v>
      </c>
      <c r="AZ433">
        <v>0</v>
      </c>
      <c r="BA433">
        <v>0</v>
      </c>
      <c r="BB433">
        <v>270</v>
      </c>
      <c r="BC433">
        <v>576</v>
      </c>
      <c r="BD433">
        <v>510</v>
      </c>
      <c r="BE433">
        <v>540</v>
      </c>
      <c r="BF433">
        <v>500</v>
      </c>
      <c r="BG433">
        <v>324</v>
      </c>
      <c r="BH433">
        <v>135</v>
      </c>
      <c r="BI433">
        <v>0</v>
      </c>
      <c r="BJ433">
        <v>0</v>
      </c>
      <c r="BK433">
        <v>135</v>
      </c>
      <c r="BL433">
        <v>294.54545454545462</v>
      </c>
      <c r="BM433">
        <v>360</v>
      </c>
      <c r="BN433">
        <v>300</v>
      </c>
      <c r="BO433">
        <v>270</v>
      </c>
      <c r="BP433">
        <v>225</v>
      </c>
      <c r="BQ433">
        <f>(I433+J433+N433+O433)/4</f>
        <v>7.625</v>
      </c>
      <c r="BR433">
        <f>(K433+L433+M433)/3</f>
        <v>7.2444444444444445</v>
      </c>
      <c r="BS433">
        <f>BQ433/BR433</f>
        <v>1.0525306748466257</v>
      </c>
      <c r="BT433">
        <f>AQ433/I433</f>
        <v>90</v>
      </c>
      <c r="BU433" t="str">
        <f>IF(OR(A433=2, A433=12), "Central", IF(A433=3, "Semi-Central", "Periférica"))</f>
        <v>Periférica</v>
      </c>
    </row>
    <row r="434" spans="1:73" x14ac:dyDescent="0.3">
      <c r="A434" s="1">
        <v>16</v>
      </c>
      <c r="B434" s="1">
        <v>1640</v>
      </c>
      <c r="C434" s="1" t="s">
        <v>299</v>
      </c>
      <c r="D434" t="s">
        <v>5</v>
      </c>
      <c r="E434" t="s">
        <v>0</v>
      </c>
      <c r="F434">
        <v>0</v>
      </c>
      <c r="G434">
        <v>0.44444444444444442</v>
      </c>
      <c r="H434">
        <v>4</v>
      </c>
      <c r="I434">
        <v>6</v>
      </c>
      <c r="J434">
        <v>4.666666666666667</v>
      </c>
      <c r="K434">
        <v>5</v>
      </c>
      <c r="L434">
        <v>4.666666666666667</v>
      </c>
      <c r="M434">
        <v>4</v>
      </c>
      <c r="N434">
        <v>4.5</v>
      </c>
      <c r="O434">
        <v>4</v>
      </c>
      <c r="P434">
        <v>4</v>
      </c>
      <c r="Q434">
        <v>1.5</v>
      </c>
      <c r="R434">
        <v>0</v>
      </c>
      <c r="S434">
        <v>0.44444444444444442</v>
      </c>
      <c r="T434">
        <v>4</v>
      </c>
      <c r="U434">
        <v>4.8</v>
      </c>
      <c r="V434">
        <v>4.666666666666667</v>
      </c>
      <c r="W434">
        <v>4.333333333333333</v>
      </c>
      <c r="X434">
        <v>4</v>
      </c>
      <c r="Y434">
        <v>3.6</v>
      </c>
      <c r="Z434">
        <v>1.5</v>
      </c>
      <c r="AA434">
        <v>0</v>
      </c>
      <c r="AB434">
        <v>0</v>
      </c>
      <c r="AC434">
        <v>4</v>
      </c>
      <c r="AD434">
        <v>4.5454545454545459</v>
      </c>
      <c r="AE434">
        <v>4</v>
      </c>
      <c r="AF434">
        <v>4</v>
      </c>
      <c r="AG434">
        <v>3</v>
      </c>
      <c r="AH434">
        <v>1.5</v>
      </c>
      <c r="AI434" s="1">
        <v>16</v>
      </c>
      <c r="AJ434" s="1">
        <v>1640</v>
      </c>
      <c r="AK434" s="1" t="s">
        <v>299</v>
      </c>
      <c r="AL434" t="s">
        <v>5</v>
      </c>
      <c r="AM434" t="s">
        <v>0</v>
      </c>
      <c r="AN434">
        <v>0</v>
      </c>
      <c r="AO434">
        <v>40</v>
      </c>
      <c r="AP434">
        <v>360</v>
      </c>
      <c r="AQ434">
        <v>540</v>
      </c>
      <c r="AR434">
        <v>420</v>
      </c>
      <c r="AS434">
        <v>450</v>
      </c>
      <c r="AT434">
        <v>420</v>
      </c>
      <c r="AU434">
        <v>360</v>
      </c>
      <c r="AV434">
        <v>405</v>
      </c>
      <c r="AW434">
        <v>360</v>
      </c>
      <c r="AX434">
        <v>360</v>
      </c>
      <c r="AY434">
        <v>135</v>
      </c>
      <c r="AZ434">
        <v>0</v>
      </c>
      <c r="BA434">
        <v>40</v>
      </c>
      <c r="BB434">
        <v>360</v>
      </c>
      <c r="BC434">
        <v>432</v>
      </c>
      <c r="BD434">
        <v>420</v>
      </c>
      <c r="BE434">
        <v>390</v>
      </c>
      <c r="BF434">
        <v>360</v>
      </c>
      <c r="BG434">
        <v>324</v>
      </c>
      <c r="BH434">
        <v>135</v>
      </c>
      <c r="BI434">
        <v>0</v>
      </c>
      <c r="BJ434">
        <v>0</v>
      </c>
      <c r="BK434">
        <v>360</v>
      </c>
      <c r="BL434">
        <v>409.09090909090912</v>
      </c>
      <c r="BM434">
        <v>360</v>
      </c>
      <c r="BN434">
        <v>360</v>
      </c>
      <c r="BO434">
        <v>270</v>
      </c>
      <c r="BP434">
        <v>135</v>
      </c>
      <c r="BQ434">
        <f>(I434+J434+N434+O434)/4</f>
        <v>4.791666666666667</v>
      </c>
      <c r="BR434">
        <f>(K434+L434+M434)/3</f>
        <v>4.5555555555555562</v>
      </c>
      <c r="BS434">
        <f>BQ434/BR434</f>
        <v>1.0518292682926829</v>
      </c>
      <c r="BT434">
        <f>AQ434/I434</f>
        <v>90</v>
      </c>
      <c r="BU434" t="str">
        <f>IF(OR(A434=2, A434=12), "Central", IF(A434=3, "Semi-Central", "Periférica"))</f>
        <v>Periférica</v>
      </c>
    </row>
    <row r="435" spans="1:73" x14ac:dyDescent="0.3">
      <c r="A435" s="1">
        <v>3</v>
      </c>
      <c r="B435" s="1">
        <v>389</v>
      </c>
      <c r="C435" s="1" t="s">
        <v>259</v>
      </c>
      <c r="D435" t="s">
        <v>1</v>
      </c>
      <c r="E435" t="s">
        <v>0</v>
      </c>
      <c r="F435">
        <v>0</v>
      </c>
      <c r="G435">
        <v>0</v>
      </c>
      <c r="H435">
        <v>3</v>
      </c>
      <c r="I435">
        <v>4.666666666666667</v>
      </c>
      <c r="J435">
        <v>4.666666666666667</v>
      </c>
      <c r="K435">
        <v>5</v>
      </c>
      <c r="L435">
        <v>4</v>
      </c>
      <c r="M435">
        <v>4.8</v>
      </c>
      <c r="N435">
        <v>5</v>
      </c>
      <c r="O435">
        <v>5</v>
      </c>
      <c r="P435">
        <v>4.666666666666667</v>
      </c>
      <c r="Q435">
        <v>3.5</v>
      </c>
      <c r="R435">
        <v>0</v>
      </c>
      <c r="S435">
        <v>0</v>
      </c>
      <c r="T435">
        <v>3</v>
      </c>
      <c r="U435">
        <v>4</v>
      </c>
      <c r="V435">
        <v>4</v>
      </c>
      <c r="W435">
        <v>4</v>
      </c>
      <c r="X435">
        <v>4</v>
      </c>
      <c r="Y435">
        <v>3.6</v>
      </c>
      <c r="Z435">
        <v>2.5</v>
      </c>
      <c r="AA435">
        <v>0</v>
      </c>
      <c r="AB435">
        <v>0</v>
      </c>
      <c r="AC435">
        <v>3</v>
      </c>
      <c r="AD435">
        <v>3.4545454545454546</v>
      </c>
      <c r="AE435">
        <v>3.4</v>
      </c>
      <c r="AF435">
        <v>3.6666666666666665</v>
      </c>
      <c r="AG435">
        <v>3</v>
      </c>
      <c r="AH435">
        <v>2.5</v>
      </c>
      <c r="AI435" s="1">
        <v>3</v>
      </c>
      <c r="AJ435" s="1">
        <v>389</v>
      </c>
      <c r="AK435" s="1" t="s">
        <v>259</v>
      </c>
      <c r="AL435" t="s">
        <v>1</v>
      </c>
      <c r="AM435" t="s">
        <v>0</v>
      </c>
      <c r="AN435">
        <v>0</v>
      </c>
      <c r="AO435">
        <v>0</v>
      </c>
      <c r="AP435">
        <v>294</v>
      </c>
      <c r="AQ435">
        <v>457.33333333333331</v>
      </c>
      <c r="AR435">
        <v>457.33333333333331</v>
      </c>
      <c r="AS435">
        <v>490</v>
      </c>
      <c r="AT435">
        <v>392</v>
      </c>
      <c r="AU435">
        <v>470.4</v>
      </c>
      <c r="AV435">
        <v>490</v>
      </c>
      <c r="AW435">
        <v>490</v>
      </c>
      <c r="AX435">
        <v>457.33333333333331</v>
      </c>
      <c r="AY435">
        <v>343</v>
      </c>
      <c r="AZ435">
        <v>0</v>
      </c>
      <c r="BA435">
        <v>0</v>
      </c>
      <c r="BB435">
        <v>294</v>
      </c>
      <c r="BC435">
        <v>392</v>
      </c>
      <c r="BD435">
        <v>392</v>
      </c>
      <c r="BE435">
        <v>392</v>
      </c>
      <c r="BF435">
        <v>392</v>
      </c>
      <c r="BG435">
        <v>352.8</v>
      </c>
      <c r="BH435">
        <v>245</v>
      </c>
      <c r="BI435">
        <v>0</v>
      </c>
      <c r="BJ435">
        <v>0</v>
      </c>
      <c r="BK435">
        <v>294</v>
      </c>
      <c r="BL435">
        <v>338.54545454545456</v>
      </c>
      <c r="BM435">
        <v>333.2</v>
      </c>
      <c r="BN435">
        <v>359.33333333333331</v>
      </c>
      <c r="BO435">
        <v>294</v>
      </c>
      <c r="BP435">
        <v>245</v>
      </c>
      <c r="BQ435">
        <f>(I435+J435+N435+O435)/4</f>
        <v>4.8333333333333339</v>
      </c>
      <c r="BR435">
        <f>(K435+L435+M435)/3</f>
        <v>4.6000000000000005</v>
      </c>
      <c r="BS435">
        <f>BQ435/BR435</f>
        <v>1.0507246376811594</v>
      </c>
      <c r="BT435">
        <f>AQ435/I435</f>
        <v>97.999999999999986</v>
      </c>
      <c r="BU435" t="str">
        <f>IF(OR(A435=2, A435=12), "Central", IF(A435=3, "Semi-Central", "Periférica"))</f>
        <v>Semi-Central</v>
      </c>
    </row>
    <row r="436" spans="1:73" x14ac:dyDescent="0.3">
      <c r="A436" s="1">
        <v>2</v>
      </c>
      <c r="B436" s="1">
        <v>283</v>
      </c>
      <c r="C436" s="1" t="s">
        <v>298</v>
      </c>
      <c r="D436" t="s">
        <v>5</v>
      </c>
      <c r="F436">
        <v>0</v>
      </c>
      <c r="G436">
        <v>0</v>
      </c>
      <c r="H436">
        <v>4</v>
      </c>
      <c r="I436">
        <v>6</v>
      </c>
      <c r="J436">
        <v>4.666666666666667</v>
      </c>
      <c r="K436">
        <v>5.333333333333333</v>
      </c>
      <c r="L436">
        <v>5.333333333333333</v>
      </c>
      <c r="M436">
        <v>4.8</v>
      </c>
      <c r="N436">
        <v>5.5</v>
      </c>
      <c r="O436">
        <v>5.5</v>
      </c>
      <c r="P436">
        <v>4</v>
      </c>
      <c r="Q436">
        <v>1.5</v>
      </c>
      <c r="R436">
        <v>0</v>
      </c>
      <c r="S436">
        <v>0</v>
      </c>
      <c r="T436">
        <v>4</v>
      </c>
      <c r="U436">
        <v>4</v>
      </c>
      <c r="V436">
        <v>4</v>
      </c>
      <c r="W436">
        <v>4</v>
      </c>
      <c r="X436">
        <v>4</v>
      </c>
      <c r="Y436">
        <v>4</v>
      </c>
      <c r="Z436">
        <v>2</v>
      </c>
      <c r="AA436">
        <v>0</v>
      </c>
      <c r="AB436">
        <v>0</v>
      </c>
      <c r="AC436">
        <v>0</v>
      </c>
      <c r="AD436">
        <v>3.0909090909090908</v>
      </c>
      <c r="AE436">
        <v>3</v>
      </c>
      <c r="AF436">
        <v>3</v>
      </c>
      <c r="AG436">
        <v>3</v>
      </c>
      <c r="AH436">
        <v>1.5</v>
      </c>
      <c r="AI436" s="1">
        <v>2</v>
      </c>
      <c r="AJ436" s="1">
        <v>283</v>
      </c>
      <c r="AK436" s="1" t="s">
        <v>298</v>
      </c>
      <c r="AL436" t="s">
        <v>5</v>
      </c>
      <c r="AN436">
        <v>0</v>
      </c>
      <c r="AO436">
        <v>0</v>
      </c>
      <c r="AP436">
        <v>404</v>
      </c>
      <c r="AQ436">
        <v>606</v>
      </c>
      <c r="AR436">
        <v>471.33333333333331</v>
      </c>
      <c r="AS436">
        <v>538.66666666666663</v>
      </c>
      <c r="AT436">
        <v>538.66666666666663</v>
      </c>
      <c r="AU436">
        <v>484.8</v>
      </c>
      <c r="AV436">
        <v>555.5</v>
      </c>
      <c r="AW436">
        <v>555.5</v>
      </c>
      <c r="AX436">
        <v>404</v>
      </c>
      <c r="AY436">
        <v>151.5</v>
      </c>
      <c r="AZ436">
        <v>0</v>
      </c>
      <c r="BA436">
        <v>0</v>
      </c>
      <c r="BB436">
        <v>404</v>
      </c>
      <c r="BC436">
        <v>404</v>
      </c>
      <c r="BD436">
        <v>404</v>
      </c>
      <c r="BE436">
        <v>404</v>
      </c>
      <c r="BF436">
        <v>404</v>
      </c>
      <c r="BG436">
        <v>404</v>
      </c>
      <c r="BH436">
        <v>202</v>
      </c>
      <c r="BI436">
        <v>0</v>
      </c>
      <c r="BJ436">
        <v>0</v>
      </c>
      <c r="BK436">
        <v>0</v>
      </c>
      <c r="BL436">
        <v>312.18181818181819</v>
      </c>
      <c r="BM436">
        <v>303</v>
      </c>
      <c r="BN436">
        <v>303</v>
      </c>
      <c r="BO436">
        <v>303</v>
      </c>
      <c r="BP436">
        <v>151.5</v>
      </c>
      <c r="BQ436">
        <f>(I436+J436+N436+O436)/4</f>
        <v>5.416666666666667</v>
      </c>
      <c r="BR436">
        <f>(K436+L436+M436)/3</f>
        <v>5.155555555555555</v>
      </c>
      <c r="BS436">
        <f>BQ436/BR436</f>
        <v>1.0506465517241381</v>
      </c>
      <c r="BT436">
        <f>AQ436/I436</f>
        <v>101</v>
      </c>
      <c r="BU436" t="str">
        <f>IF(OR(A436=2, A436=12), "Central", IF(A436=3, "Semi-Central", "Periférica"))</f>
        <v>Central</v>
      </c>
    </row>
    <row r="437" spans="1:73" x14ac:dyDescent="0.3">
      <c r="A437" s="1">
        <v>2</v>
      </c>
      <c r="B437" s="1">
        <v>283</v>
      </c>
      <c r="C437" s="1" t="s">
        <v>298</v>
      </c>
      <c r="D437" t="s">
        <v>1</v>
      </c>
      <c r="F437">
        <v>0</v>
      </c>
      <c r="G437">
        <v>0</v>
      </c>
      <c r="H437">
        <v>4</v>
      </c>
      <c r="I437">
        <v>6</v>
      </c>
      <c r="J437">
        <v>4.666666666666667</v>
      </c>
      <c r="K437">
        <v>5.333333333333333</v>
      </c>
      <c r="L437">
        <v>5.333333333333333</v>
      </c>
      <c r="M437">
        <v>4.8</v>
      </c>
      <c r="N437">
        <v>5.5</v>
      </c>
      <c r="O437">
        <v>5.5</v>
      </c>
      <c r="P437">
        <v>4</v>
      </c>
      <c r="Q437">
        <v>1.5</v>
      </c>
      <c r="R437">
        <v>0</v>
      </c>
      <c r="S437">
        <v>0</v>
      </c>
      <c r="T437">
        <v>4</v>
      </c>
      <c r="U437">
        <v>4</v>
      </c>
      <c r="V437">
        <v>4</v>
      </c>
      <c r="W437">
        <v>4</v>
      </c>
      <c r="X437">
        <v>4</v>
      </c>
      <c r="Y437">
        <v>4</v>
      </c>
      <c r="Z437">
        <v>2</v>
      </c>
      <c r="AA437">
        <v>0</v>
      </c>
      <c r="AB437">
        <v>0</v>
      </c>
      <c r="AC437">
        <v>0.5</v>
      </c>
      <c r="AD437">
        <v>3.0909090909090908</v>
      </c>
      <c r="AE437">
        <v>3</v>
      </c>
      <c r="AF437">
        <v>3</v>
      </c>
      <c r="AG437">
        <v>3</v>
      </c>
      <c r="AH437">
        <v>1.5</v>
      </c>
      <c r="AI437" s="1">
        <v>2</v>
      </c>
      <c r="AJ437" s="1">
        <v>283</v>
      </c>
      <c r="AK437" s="1" t="s">
        <v>298</v>
      </c>
      <c r="AL437" t="s">
        <v>1</v>
      </c>
      <c r="AN437">
        <v>0</v>
      </c>
      <c r="AO437">
        <v>0</v>
      </c>
      <c r="AP437">
        <v>404</v>
      </c>
      <c r="AQ437">
        <v>606</v>
      </c>
      <c r="AR437">
        <v>471.33333333333331</v>
      </c>
      <c r="AS437">
        <v>538.66666666666663</v>
      </c>
      <c r="AT437">
        <v>538.66666666666663</v>
      </c>
      <c r="AU437">
        <v>484.8</v>
      </c>
      <c r="AV437">
        <v>555.5</v>
      </c>
      <c r="AW437">
        <v>555.5</v>
      </c>
      <c r="AX437">
        <v>404</v>
      </c>
      <c r="AY437">
        <v>151.5</v>
      </c>
      <c r="AZ437">
        <v>0</v>
      </c>
      <c r="BA437">
        <v>0</v>
      </c>
      <c r="BB437">
        <v>404</v>
      </c>
      <c r="BC437">
        <v>404</v>
      </c>
      <c r="BD437">
        <v>404</v>
      </c>
      <c r="BE437">
        <v>404</v>
      </c>
      <c r="BF437">
        <v>404</v>
      </c>
      <c r="BG437">
        <v>404</v>
      </c>
      <c r="BH437">
        <v>202</v>
      </c>
      <c r="BI437">
        <v>0</v>
      </c>
      <c r="BJ437">
        <v>0</v>
      </c>
      <c r="BK437">
        <v>50.5</v>
      </c>
      <c r="BL437">
        <v>312.18181818181819</v>
      </c>
      <c r="BM437">
        <v>303</v>
      </c>
      <c r="BN437">
        <v>303</v>
      </c>
      <c r="BO437">
        <v>303</v>
      </c>
      <c r="BP437">
        <v>151.5</v>
      </c>
      <c r="BQ437">
        <f>(I437+J437+N437+O437)/4</f>
        <v>5.416666666666667</v>
      </c>
      <c r="BR437">
        <f>(K437+L437+M437)/3</f>
        <v>5.155555555555555</v>
      </c>
      <c r="BS437">
        <f>BQ437/BR437</f>
        <v>1.0506465517241381</v>
      </c>
      <c r="BT437">
        <f>AQ437/I437</f>
        <v>101</v>
      </c>
      <c r="BU437" t="str">
        <f>IF(OR(A437=2, A437=12), "Central", IF(A437=3, "Semi-Central", "Periférica"))</f>
        <v>Central</v>
      </c>
    </row>
    <row r="438" spans="1:73" x14ac:dyDescent="0.3">
      <c r="A438" s="1">
        <v>11</v>
      </c>
      <c r="B438" s="1">
        <v>1116</v>
      </c>
      <c r="C438" s="1" t="s">
        <v>297</v>
      </c>
      <c r="D438" t="s">
        <v>1</v>
      </c>
      <c r="F438">
        <v>0</v>
      </c>
      <c r="G438">
        <v>0</v>
      </c>
      <c r="H438">
        <v>5</v>
      </c>
      <c r="I438">
        <v>6.666666666666667</v>
      </c>
      <c r="J438">
        <v>6</v>
      </c>
      <c r="K438">
        <v>6.333333333333333</v>
      </c>
      <c r="L438">
        <v>6</v>
      </c>
      <c r="M438">
        <v>6</v>
      </c>
      <c r="N438">
        <v>6.5</v>
      </c>
      <c r="O438">
        <v>6.5</v>
      </c>
      <c r="P438">
        <v>6</v>
      </c>
      <c r="Q438">
        <v>2.5</v>
      </c>
      <c r="R438">
        <v>0</v>
      </c>
      <c r="S438">
        <v>0</v>
      </c>
      <c r="T438">
        <v>3</v>
      </c>
      <c r="U438">
        <v>6.4</v>
      </c>
      <c r="V438">
        <v>6.666666666666667</v>
      </c>
      <c r="W438">
        <v>5.333333333333333</v>
      </c>
      <c r="X438">
        <v>5.5555555555555554</v>
      </c>
      <c r="Y438">
        <v>4</v>
      </c>
      <c r="Z438">
        <v>2.5</v>
      </c>
      <c r="AA438">
        <v>0</v>
      </c>
      <c r="AB438">
        <v>0</v>
      </c>
      <c r="AC438">
        <v>2</v>
      </c>
      <c r="AD438">
        <v>4.5454545454545459</v>
      </c>
      <c r="AE438">
        <v>5</v>
      </c>
      <c r="AF438">
        <v>5.666666666666667</v>
      </c>
      <c r="AG438">
        <v>4</v>
      </c>
      <c r="AH438">
        <v>3</v>
      </c>
      <c r="AI438" s="1">
        <v>11</v>
      </c>
      <c r="AJ438" s="1">
        <v>1116</v>
      </c>
      <c r="AK438" s="1" t="s">
        <v>297</v>
      </c>
      <c r="AL438" t="s">
        <v>1</v>
      </c>
      <c r="AN438">
        <v>0</v>
      </c>
      <c r="AO438">
        <v>0</v>
      </c>
      <c r="AP438">
        <v>450</v>
      </c>
      <c r="AQ438">
        <v>600</v>
      </c>
      <c r="AR438">
        <v>540</v>
      </c>
      <c r="AS438">
        <v>570</v>
      </c>
      <c r="AT438">
        <v>540</v>
      </c>
      <c r="AU438">
        <v>540</v>
      </c>
      <c r="AV438">
        <v>585</v>
      </c>
      <c r="AW438">
        <v>585</v>
      </c>
      <c r="AX438">
        <v>540</v>
      </c>
      <c r="AY438">
        <v>225</v>
      </c>
      <c r="AZ438">
        <v>0</v>
      </c>
      <c r="BA438">
        <v>0</v>
      </c>
      <c r="BB438">
        <v>270</v>
      </c>
      <c r="BC438">
        <v>576</v>
      </c>
      <c r="BD438">
        <v>600</v>
      </c>
      <c r="BE438">
        <v>480</v>
      </c>
      <c r="BF438">
        <v>500</v>
      </c>
      <c r="BG438">
        <v>360</v>
      </c>
      <c r="BH438">
        <v>225</v>
      </c>
      <c r="BI438">
        <v>0</v>
      </c>
      <c r="BJ438">
        <v>0</v>
      </c>
      <c r="BK438">
        <v>180</v>
      </c>
      <c r="BL438">
        <v>409.09090909090912</v>
      </c>
      <c r="BM438">
        <v>450</v>
      </c>
      <c r="BN438">
        <v>510</v>
      </c>
      <c r="BO438">
        <v>360</v>
      </c>
      <c r="BP438">
        <v>270</v>
      </c>
      <c r="BQ438">
        <f>(I438+J438+N438+O438)/4</f>
        <v>6.416666666666667</v>
      </c>
      <c r="BR438">
        <f>(K438+L438+M438)/3</f>
        <v>6.1111111111111107</v>
      </c>
      <c r="BS438">
        <f>BQ438/BR438</f>
        <v>1.05</v>
      </c>
      <c r="BT438">
        <f>AQ438/I438</f>
        <v>90</v>
      </c>
      <c r="BU438" t="str">
        <f>IF(OR(A438=2, A438=12), "Central", IF(A438=3, "Semi-Central", "Periférica"))</f>
        <v>Periférica</v>
      </c>
    </row>
    <row r="439" spans="1:73" x14ac:dyDescent="0.3">
      <c r="A439" s="1">
        <v>16</v>
      </c>
      <c r="B439" s="1">
        <v>1616</v>
      </c>
      <c r="C439" s="1" t="s">
        <v>296</v>
      </c>
      <c r="D439" t="s">
        <v>5</v>
      </c>
      <c r="E439" t="s">
        <v>0</v>
      </c>
      <c r="F439">
        <v>0</v>
      </c>
      <c r="G439">
        <v>0</v>
      </c>
      <c r="H439">
        <v>6</v>
      </c>
      <c r="I439">
        <v>6</v>
      </c>
      <c r="J439">
        <v>4.666666666666667</v>
      </c>
      <c r="K439">
        <v>5</v>
      </c>
      <c r="L439">
        <v>5.333333333333333</v>
      </c>
      <c r="M439">
        <v>4.8</v>
      </c>
      <c r="N439">
        <v>6</v>
      </c>
      <c r="O439">
        <v>4.5</v>
      </c>
      <c r="P439">
        <v>4</v>
      </c>
      <c r="Q439">
        <v>1.5</v>
      </c>
      <c r="R439">
        <v>0</v>
      </c>
      <c r="S439">
        <v>0</v>
      </c>
      <c r="T439">
        <v>3</v>
      </c>
      <c r="U439">
        <v>4.8</v>
      </c>
      <c r="V439">
        <v>4.333333333333333</v>
      </c>
      <c r="W439">
        <v>4.333333333333333</v>
      </c>
      <c r="X439">
        <v>4.666666666666667</v>
      </c>
      <c r="Y439">
        <v>3.6</v>
      </c>
      <c r="Z439">
        <v>1.5</v>
      </c>
      <c r="AA439">
        <v>0</v>
      </c>
      <c r="AB439">
        <v>0</v>
      </c>
      <c r="AC439">
        <v>3</v>
      </c>
      <c r="AD439">
        <v>4</v>
      </c>
      <c r="AE439">
        <v>4.4000000000000004</v>
      </c>
      <c r="AF439">
        <v>4.666666666666667</v>
      </c>
      <c r="AG439">
        <v>3</v>
      </c>
      <c r="AH439">
        <v>1.5</v>
      </c>
      <c r="AI439" s="1">
        <v>16</v>
      </c>
      <c r="AJ439" s="1">
        <v>1616</v>
      </c>
      <c r="AK439" s="1" t="s">
        <v>296</v>
      </c>
      <c r="AL439" t="s">
        <v>5</v>
      </c>
      <c r="AM439" t="s">
        <v>0</v>
      </c>
      <c r="AN439">
        <v>0</v>
      </c>
      <c r="AO439">
        <v>0</v>
      </c>
      <c r="AP439">
        <v>540</v>
      </c>
      <c r="AQ439">
        <v>540</v>
      </c>
      <c r="AR439">
        <v>420</v>
      </c>
      <c r="AS439">
        <v>450</v>
      </c>
      <c r="AT439">
        <v>480</v>
      </c>
      <c r="AU439">
        <v>432</v>
      </c>
      <c r="AV439">
        <v>540</v>
      </c>
      <c r="AW439">
        <v>405</v>
      </c>
      <c r="AX439">
        <v>360</v>
      </c>
      <c r="AY439">
        <v>135</v>
      </c>
      <c r="AZ439">
        <v>0</v>
      </c>
      <c r="BA439">
        <v>0</v>
      </c>
      <c r="BB439">
        <v>270</v>
      </c>
      <c r="BC439">
        <v>432</v>
      </c>
      <c r="BD439">
        <v>390</v>
      </c>
      <c r="BE439">
        <v>390</v>
      </c>
      <c r="BF439">
        <v>420</v>
      </c>
      <c r="BG439">
        <v>324</v>
      </c>
      <c r="BH439">
        <v>135</v>
      </c>
      <c r="BI439">
        <v>0</v>
      </c>
      <c r="BJ439">
        <v>0</v>
      </c>
      <c r="BK439">
        <v>270</v>
      </c>
      <c r="BL439">
        <v>360</v>
      </c>
      <c r="BM439">
        <v>396</v>
      </c>
      <c r="BN439">
        <v>420</v>
      </c>
      <c r="BO439">
        <v>270</v>
      </c>
      <c r="BP439">
        <v>135</v>
      </c>
      <c r="BQ439">
        <f>(I439+J439+N439+O439)/4</f>
        <v>5.291666666666667</v>
      </c>
      <c r="BR439">
        <f>(K439+L439+M439)/3</f>
        <v>5.0444444444444443</v>
      </c>
      <c r="BS439">
        <f>BQ439/BR439</f>
        <v>1.0490088105726874</v>
      </c>
      <c r="BT439">
        <f>AQ439/I439</f>
        <v>90</v>
      </c>
      <c r="BU439" t="str">
        <f>IF(OR(A439=2, A439=12), "Central", IF(A439=3, "Semi-Central", "Periférica"))</f>
        <v>Periférica</v>
      </c>
    </row>
    <row r="440" spans="1:73" x14ac:dyDescent="0.3">
      <c r="A440" s="1">
        <v>3</v>
      </c>
      <c r="B440" s="1">
        <v>348</v>
      </c>
      <c r="C440" s="1">
        <v>348</v>
      </c>
      <c r="D440" t="s">
        <v>5</v>
      </c>
      <c r="E440" t="s">
        <v>0</v>
      </c>
      <c r="F440">
        <v>0</v>
      </c>
      <c r="G440">
        <v>0</v>
      </c>
      <c r="H440">
        <v>5</v>
      </c>
      <c r="I440">
        <v>5.333333333333333</v>
      </c>
      <c r="J440">
        <v>5.333333333333333</v>
      </c>
      <c r="K440">
        <v>5</v>
      </c>
      <c r="L440">
        <v>5.333333333333333</v>
      </c>
      <c r="M440">
        <v>4.8</v>
      </c>
      <c r="N440">
        <v>5.5</v>
      </c>
      <c r="O440">
        <v>5</v>
      </c>
      <c r="P440">
        <v>4.666666666666667</v>
      </c>
      <c r="Q440">
        <v>2</v>
      </c>
      <c r="R440">
        <v>0</v>
      </c>
      <c r="S440">
        <v>0</v>
      </c>
      <c r="T440">
        <v>3</v>
      </c>
      <c r="U440">
        <v>4.4000000000000004</v>
      </c>
      <c r="V440">
        <v>4.333333333333333</v>
      </c>
      <c r="W440">
        <v>4.333333333333333</v>
      </c>
      <c r="X440">
        <v>4.4444444444444446</v>
      </c>
      <c r="Y440">
        <v>4</v>
      </c>
      <c r="Z440">
        <v>2</v>
      </c>
      <c r="AA440">
        <v>0</v>
      </c>
      <c r="AB440">
        <v>0</v>
      </c>
      <c r="AC440">
        <v>3.5</v>
      </c>
      <c r="AD440">
        <v>4</v>
      </c>
      <c r="AE440">
        <v>4</v>
      </c>
      <c r="AF440">
        <v>4</v>
      </c>
      <c r="AG440">
        <v>4</v>
      </c>
      <c r="AH440">
        <v>2</v>
      </c>
      <c r="AI440" s="1">
        <v>3</v>
      </c>
      <c r="AJ440" s="1">
        <v>348</v>
      </c>
      <c r="AK440" s="1">
        <v>348</v>
      </c>
      <c r="AL440" t="s">
        <v>5</v>
      </c>
      <c r="AM440" t="s">
        <v>0</v>
      </c>
      <c r="AN440">
        <v>0</v>
      </c>
      <c r="AO440">
        <v>0</v>
      </c>
      <c r="AP440">
        <v>465</v>
      </c>
      <c r="AQ440">
        <v>496</v>
      </c>
      <c r="AR440">
        <v>496</v>
      </c>
      <c r="AS440">
        <v>465</v>
      </c>
      <c r="AT440">
        <v>496</v>
      </c>
      <c r="AU440">
        <v>446.4</v>
      </c>
      <c r="AV440">
        <v>511.5</v>
      </c>
      <c r="AW440">
        <v>465</v>
      </c>
      <c r="AX440">
        <v>434</v>
      </c>
      <c r="AY440">
        <v>186</v>
      </c>
      <c r="AZ440">
        <v>0</v>
      </c>
      <c r="BA440">
        <v>0</v>
      </c>
      <c r="BB440">
        <v>270</v>
      </c>
      <c r="BC440">
        <v>396</v>
      </c>
      <c r="BD440">
        <v>390</v>
      </c>
      <c r="BE440">
        <v>390</v>
      </c>
      <c r="BF440">
        <v>400</v>
      </c>
      <c r="BG440">
        <v>360</v>
      </c>
      <c r="BH440">
        <v>180</v>
      </c>
      <c r="BI440">
        <v>0</v>
      </c>
      <c r="BJ440">
        <v>0</v>
      </c>
      <c r="BK440">
        <v>315</v>
      </c>
      <c r="BL440">
        <v>360</v>
      </c>
      <c r="BM440">
        <v>360</v>
      </c>
      <c r="BN440">
        <v>360</v>
      </c>
      <c r="BO440">
        <v>360</v>
      </c>
      <c r="BP440">
        <v>180</v>
      </c>
      <c r="BQ440">
        <f>(I440+J440+N440+O440)/4</f>
        <v>5.2916666666666661</v>
      </c>
      <c r="BR440">
        <f>(K440+L440+M440)/3</f>
        <v>5.0444444444444443</v>
      </c>
      <c r="BS440">
        <f>BQ440/BR440</f>
        <v>1.0490088105726871</v>
      </c>
      <c r="BT440">
        <f>AQ440/I440</f>
        <v>93</v>
      </c>
      <c r="BU440" t="str">
        <f>IF(OR(A440=2, A440=12), "Central", IF(A440=3, "Semi-Central", "Periférica"))</f>
        <v>Semi-Central</v>
      </c>
    </row>
    <row r="441" spans="1:73" x14ac:dyDescent="0.3">
      <c r="A441" s="1">
        <v>10</v>
      </c>
      <c r="B441" s="1">
        <v>1033</v>
      </c>
      <c r="C441" s="1" t="s">
        <v>295</v>
      </c>
      <c r="D441" t="s">
        <v>5</v>
      </c>
      <c r="E441" t="s">
        <v>0</v>
      </c>
      <c r="F441">
        <v>0</v>
      </c>
      <c r="G441">
        <v>1.555555555555556</v>
      </c>
      <c r="H441">
        <v>5</v>
      </c>
      <c r="I441">
        <v>5.333333333333333</v>
      </c>
      <c r="J441">
        <v>5.333333333333333</v>
      </c>
      <c r="K441">
        <v>5</v>
      </c>
      <c r="L441">
        <v>5.333333333333333</v>
      </c>
      <c r="M441">
        <v>4.8</v>
      </c>
      <c r="N441">
        <v>5</v>
      </c>
      <c r="O441">
        <v>5.5</v>
      </c>
      <c r="P441">
        <v>5.333333333333333</v>
      </c>
      <c r="Q441">
        <v>3.5</v>
      </c>
      <c r="R441">
        <v>0</v>
      </c>
      <c r="S441">
        <v>0.66666666666666663</v>
      </c>
      <c r="T441">
        <v>4</v>
      </c>
      <c r="U441">
        <v>5.2</v>
      </c>
      <c r="V441">
        <v>4.333333333333333</v>
      </c>
      <c r="W441">
        <v>4.333333333333333</v>
      </c>
      <c r="X441">
        <v>4</v>
      </c>
      <c r="Y441">
        <v>3.2</v>
      </c>
      <c r="Z441">
        <v>2.5</v>
      </c>
      <c r="AA441">
        <v>0</v>
      </c>
      <c r="AB441">
        <v>0.44444444444444442</v>
      </c>
      <c r="AC441">
        <v>2.5</v>
      </c>
      <c r="AD441">
        <v>2.9090909090909092</v>
      </c>
      <c r="AE441">
        <v>3.8</v>
      </c>
      <c r="AF441">
        <v>3</v>
      </c>
      <c r="AG441">
        <v>2</v>
      </c>
      <c r="AH441">
        <v>2</v>
      </c>
      <c r="AI441" s="1">
        <v>10</v>
      </c>
      <c r="AJ441" s="1">
        <v>1033</v>
      </c>
      <c r="AK441" s="1" t="s">
        <v>295</v>
      </c>
      <c r="AL441" t="s">
        <v>5</v>
      </c>
      <c r="AM441" t="s">
        <v>0</v>
      </c>
      <c r="AN441">
        <v>0</v>
      </c>
      <c r="AO441">
        <v>140</v>
      </c>
      <c r="AP441">
        <v>450</v>
      </c>
      <c r="AQ441">
        <v>480</v>
      </c>
      <c r="AR441">
        <v>480</v>
      </c>
      <c r="AS441">
        <v>450</v>
      </c>
      <c r="AT441">
        <v>480</v>
      </c>
      <c r="AU441">
        <v>432</v>
      </c>
      <c r="AV441">
        <v>450</v>
      </c>
      <c r="AW441">
        <v>495</v>
      </c>
      <c r="AX441">
        <v>480</v>
      </c>
      <c r="AY441">
        <v>315</v>
      </c>
      <c r="AZ441">
        <v>0</v>
      </c>
      <c r="BA441">
        <v>60</v>
      </c>
      <c r="BB441">
        <v>360</v>
      </c>
      <c r="BC441">
        <v>468</v>
      </c>
      <c r="BD441">
        <v>390</v>
      </c>
      <c r="BE441">
        <v>390</v>
      </c>
      <c r="BF441">
        <v>360</v>
      </c>
      <c r="BG441">
        <v>288</v>
      </c>
      <c r="BH441">
        <v>225</v>
      </c>
      <c r="BI441">
        <v>0</v>
      </c>
      <c r="BJ441">
        <v>40</v>
      </c>
      <c r="BK441">
        <v>225</v>
      </c>
      <c r="BL441">
        <v>261.81818181818181</v>
      </c>
      <c r="BM441">
        <v>342</v>
      </c>
      <c r="BN441">
        <v>270</v>
      </c>
      <c r="BO441">
        <v>180</v>
      </c>
      <c r="BP441">
        <v>180</v>
      </c>
      <c r="BQ441">
        <f>(I441+J441+N441+O441)/4</f>
        <v>5.2916666666666661</v>
      </c>
      <c r="BR441">
        <f>(K441+L441+M441)/3</f>
        <v>5.0444444444444443</v>
      </c>
      <c r="BS441">
        <f>BQ441/BR441</f>
        <v>1.0490088105726871</v>
      </c>
      <c r="BT441">
        <f>AQ441/I441</f>
        <v>90</v>
      </c>
      <c r="BU441" t="str">
        <f>IF(OR(A441=2, A441=12), "Central", IF(A441=3, "Semi-Central", "Periférica"))</f>
        <v>Periférica</v>
      </c>
    </row>
    <row r="442" spans="1:73" x14ac:dyDescent="0.3">
      <c r="A442" s="1">
        <v>3</v>
      </c>
      <c r="B442" s="1">
        <v>304</v>
      </c>
      <c r="C442" s="1" t="s">
        <v>294</v>
      </c>
      <c r="D442" t="s">
        <v>1</v>
      </c>
      <c r="F442">
        <v>0</v>
      </c>
      <c r="G442">
        <v>0</v>
      </c>
      <c r="H442">
        <v>4</v>
      </c>
      <c r="I442">
        <v>6</v>
      </c>
      <c r="J442">
        <v>4.666666666666667</v>
      </c>
      <c r="K442">
        <v>4.666666666666667</v>
      </c>
      <c r="L442">
        <v>5.333333333333333</v>
      </c>
      <c r="M442">
        <v>4.8</v>
      </c>
      <c r="N442">
        <v>5</v>
      </c>
      <c r="O442">
        <v>5</v>
      </c>
      <c r="P442">
        <v>4</v>
      </c>
      <c r="Q442">
        <v>1.5</v>
      </c>
      <c r="R442">
        <v>0</v>
      </c>
      <c r="S442">
        <v>0</v>
      </c>
      <c r="T442">
        <v>4</v>
      </c>
      <c r="U442">
        <v>4</v>
      </c>
      <c r="V442">
        <v>4</v>
      </c>
      <c r="W442">
        <v>4</v>
      </c>
      <c r="X442">
        <v>4</v>
      </c>
      <c r="Y442">
        <v>4.4000000000000004</v>
      </c>
      <c r="Z442">
        <v>1.5</v>
      </c>
      <c r="AA442">
        <v>0</v>
      </c>
      <c r="AB442">
        <v>0</v>
      </c>
      <c r="AC442">
        <v>1</v>
      </c>
      <c r="AD442">
        <v>3.0909090909090908</v>
      </c>
      <c r="AE442">
        <v>3</v>
      </c>
      <c r="AF442">
        <v>3</v>
      </c>
      <c r="AG442">
        <v>4</v>
      </c>
      <c r="AH442">
        <v>1</v>
      </c>
      <c r="AI442" s="1">
        <v>3</v>
      </c>
      <c r="AJ442" s="1">
        <v>304</v>
      </c>
      <c r="AK442" s="1" t="s">
        <v>294</v>
      </c>
      <c r="AL442" t="s">
        <v>1</v>
      </c>
      <c r="AN442">
        <v>0</v>
      </c>
      <c r="AO442">
        <v>0</v>
      </c>
      <c r="AP442">
        <v>357</v>
      </c>
      <c r="AQ442">
        <v>544.66666666666663</v>
      </c>
      <c r="AR442">
        <v>427.33333333333331</v>
      </c>
      <c r="AS442">
        <v>420.66666666666669</v>
      </c>
      <c r="AT442">
        <v>492.66666666666669</v>
      </c>
      <c r="AU442">
        <v>438.4</v>
      </c>
      <c r="AV442">
        <v>455</v>
      </c>
      <c r="AW442">
        <v>450</v>
      </c>
      <c r="AX442">
        <v>362</v>
      </c>
      <c r="AY442">
        <v>132</v>
      </c>
      <c r="AZ442">
        <v>0</v>
      </c>
      <c r="BA442">
        <v>0</v>
      </c>
      <c r="BB442">
        <v>352</v>
      </c>
      <c r="BC442">
        <v>352</v>
      </c>
      <c r="BD442">
        <v>352</v>
      </c>
      <c r="BE442">
        <v>352</v>
      </c>
      <c r="BF442">
        <v>352</v>
      </c>
      <c r="BG442">
        <v>387.2</v>
      </c>
      <c r="BH442">
        <v>132</v>
      </c>
      <c r="BI442">
        <v>0</v>
      </c>
      <c r="BJ442">
        <v>0</v>
      </c>
      <c r="BK442">
        <v>88</v>
      </c>
      <c r="BL442">
        <v>272</v>
      </c>
      <c r="BM442">
        <v>264</v>
      </c>
      <c r="BN442">
        <v>264</v>
      </c>
      <c r="BO442">
        <v>352</v>
      </c>
      <c r="BP442">
        <v>88</v>
      </c>
      <c r="BQ442">
        <f>(I442+J442+N442+O442)/4</f>
        <v>5.166666666666667</v>
      </c>
      <c r="BR442">
        <f>(K442+L442+M442)/3</f>
        <v>4.9333333333333336</v>
      </c>
      <c r="BS442">
        <f>BQ442/BR442</f>
        <v>1.0472972972972974</v>
      </c>
      <c r="BT442">
        <f>AQ442/I442</f>
        <v>90.777777777777771</v>
      </c>
      <c r="BU442" t="str">
        <f>IF(OR(A442=2, A442=12), "Central", IF(A442=3, "Semi-Central", "Periférica"))</f>
        <v>Semi-Central</v>
      </c>
    </row>
    <row r="443" spans="1:73" x14ac:dyDescent="0.3">
      <c r="A443" s="1">
        <v>9</v>
      </c>
      <c r="B443" s="1">
        <v>926</v>
      </c>
      <c r="C443" s="1" t="s">
        <v>283</v>
      </c>
      <c r="D443" t="s">
        <v>5</v>
      </c>
      <c r="F443">
        <v>2</v>
      </c>
      <c r="G443">
        <v>0.44444444444444442</v>
      </c>
      <c r="H443">
        <v>5</v>
      </c>
      <c r="I443">
        <v>6</v>
      </c>
      <c r="J443">
        <v>6.666666666666667</v>
      </c>
      <c r="K443">
        <v>6.666666666666667</v>
      </c>
      <c r="L443">
        <v>6</v>
      </c>
      <c r="M443">
        <v>6.8</v>
      </c>
      <c r="N443">
        <v>7.5</v>
      </c>
      <c r="O443">
        <v>7</v>
      </c>
      <c r="P443">
        <v>7.333333333333333</v>
      </c>
      <c r="Q443">
        <v>5.5</v>
      </c>
      <c r="R443">
        <v>2</v>
      </c>
      <c r="S443">
        <v>0</v>
      </c>
      <c r="T443">
        <v>3</v>
      </c>
      <c r="U443">
        <v>4.8</v>
      </c>
      <c r="V443">
        <v>5</v>
      </c>
      <c r="W443">
        <v>5</v>
      </c>
      <c r="X443">
        <v>5.1111111111111107</v>
      </c>
      <c r="Y443">
        <v>4.4000000000000004</v>
      </c>
      <c r="Z443">
        <v>3</v>
      </c>
      <c r="AA443">
        <v>2</v>
      </c>
      <c r="AB443">
        <v>0</v>
      </c>
      <c r="AC443">
        <v>2.5</v>
      </c>
      <c r="AD443">
        <v>4</v>
      </c>
      <c r="AE443">
        <v>5</v>
      </c>
      <c r="AF443">
        <v>4</v>
      </c>
      <c r="AG443">
        <v>4</v>
      </c>
      <c r="AH443">
        <v>2.5</v>
      </c>
      <c r="AI443" s="1">
        <v>9</v>
      </c>
      <c r="AJ443" s="1">
        <v>926</v>
      </c>
      <c r="AK443" s="1" t="s">
        <v>283</v>
      </c>
      <c r="AL443" t="s">
        <v>5</v>
      </c>
      <c r="AN443">
        <v>180</v>
      </c>
      <c r="AO443">
        <v>40</v>
      </c>
      <c r="AP443">
        <v>450</v>
      </c>
      <c r="AQ443">
        <v>540</v>
      </c>
      <c r="AR443">
        <v>600</v>
      </c>
      <c r="AS443">
        <v>600</v>
      </c>
      <c r="AT443">
        <v>540</v>
      </c>
      <c r="AU443">
        <v>612</v>
      </c>
      <c r="AV443">
        <v>675</v>
      </c>
      <c r="AW443">
        <v>630</v>
      </c>
      <c r="AX443">
        <v>660</v>
      </c>
      <c r="AY443">
        <v>495</v>
      </c>
      <c r="AZ443">
        <v>180</v>
      </c>
      <c r="BA443">
        <v>0</v>
      </c>
      <c r="BB443">
        <v>270</v>
      </c>
      <c r="BC443">
        <v>432</v>
      </c>
      <c r="BD443">
        <v>450</v>
      </c>
      <c r="BE443">
        <v>450</v>
      </c>
      <c r="BF443">
        <v>460</v>
      </c>
      <c r="BG443">
        <v>396</v>
      </c>
      <c r="BH443">
        <v>270</v>
      </c>
      <c r="BI443">
        <v>180</v>
      </c>
      <c r="BJ443">
        <v>0</v>
      </c>
      <c r="BK443">
        <v>225</v>
      </c>
      <c r="BL443">
        <v>360</v>
      </c>
      <c r="BM443">
        <v>450</v>
      </c>
      <c r="BN443">
        <v>360</v>
      </c>
      <c r="BO443">
        <v>360</v>
      </c>
      <c r="BP443">
        <v>225</v>
      </c>
      <c r="BQ443">
        <f>(I443+J443+N443+O443)/4</f>
        <v>6.791666666666667</v>
      </c>
      <c r="BR443">
        <f>(K443+L443+M443)/3</f>
        <v>6.4888888888888898</v>
      </c>
      <c r="BS443">
        <f>BQ443/BR443</f>
        <v>1.0466609589041096</v>
      </c>
      <c r="BT443">
        <f>AQ443/I443</f>
        <v>90</v>
      </c>
      <c r="BU443" t="str">
        <f>IF(OR(A443=2, A443=12), "Central", IF(A443=3, "Semi-Central", "Periférica"))</f>
        <v>Periférica</v>
      </c>
    </row>
    <row r="444" spans="1:73" x14ac:dyDescent="0.3">
      <c r="A444" s="1">
        <v>12</v>
      </c>
      <c r="B444" s="1">
        <v>1229</v>
      </c>
      <c r="C444" s="1">
        <v>409</v>
      </c>
      <c r="D444" t="s">
        <v>5</v>
      </c>
      <c r="E444" t="s">
        <v>0</v>
      </c>
      <c r="F444">
        <v>0</v>
      </c>
      <c r="G444">
        <v>0</v>
      </c>
      <c r="H444">
        <v>5</v>
      </c>
      <c r="I444">
        <v>12</v>
      </c>
      <c r="J444">
        <v>9.3333333333333339</v>
      </c>
      <c r="K444">
        <v>8.3333333333333339</v>
      </c>
      <c r="L444">
        <v>7.333333333333333</v>
      </c>
      <c r="M444">
        <v>6.8</v>
      </c>
      <c r="N444">
        <v>5.5</v>
      </c>
      <c r="O444">
        <v>4.5</v>
      </c>
      <c r="P444">
        <v>4</v>
      </c>
      <c r="Q444">
        <v>2.5</v>
      </c>
      <c r="R444">
        <v>0</v>
      </c>
      <c r="S444">
        <v>0</v>
      </c>
      <c r="T444">
        <v>4</v>
      </c>
      <c r="U444">
        <v>9.6</v>
      </c>
      <c r="V444">
        <v>10.33333333333333</v>
      </c>
      <c r="W444">
        <v>6.333333333333333</v>
      </c>
      <c r="X444">
        <v>5.333333333333333</v>
      </c>
      <c r="Y444">
        <v>3.6</v>
      </c>
      <c r="Z444">
        <v>2</v>
      </c>
      <c r="AA444">
        <v>0</v>
      </c>
      <c r="AB444">
        <v>0</v>
      </c>
      <c r="AC444">
        <v>3.5</v>
      </c>
      <c r="AD444">
        <v>6.9090909090909092</v>
      </c>
      <c r="AE444">
        <v>5.4</v>
      </c>
      <c r="AF444">
        <v>5.666666666666667</v>
      </c>
      <c r="AG444">
        <v>3</v>
      </c>
      <c r="AH444">
        <v>3</v>
      </c>
      <c r="AI444" s="1">
        <v>12</v>
      </c>
      <c r="AJ444" s="1">
        <v>1229</v>
      </c>
      <c r="AK444" s="1">
        <v>409</v>
      </c>
      <c r="AL444" t="s">
        <v>5</v>
      </c>
      <c r="AM444" t="s">
        <v>0</v>
      </c>
      <c r="AN444">
        <v>0</v>
      </c>
      <c r="AO444">
        <v>0</v>
      </c>
      <c r="AP444">
        <v>690</v>
      </c>
      <c r="AQ444">
        <v>1440</v>
      </c>
      <c r="AR444">
        <v>1160</v>
      </c>
      <c r="AS444">
        <v>1050</v>
      </c>
      <c r="AT444">
        <v>900</v>
      </c>
      <c r="AU444">
        <v>732</v>
      </c>
      <c r="AV444">
        <v>645</v>
      </c>
      <c r="AW444">
        <v>615</v>
      </c>
      <c r="AX444">
        <v>520</v>
      </c>
      <c r="AY444">
        <v>375</v>
      </c>
      <c r="AZ444">
        <v>0</v>
      </c>
      <c r="BA444">
        <v>0</v>
      </c>
      <c r="BB444">
        <v>360</v>
      </c>
      <c r="BC444">
        <v>864</v>
      </c>
      <c r="BD444">
        <v>930</v>
      </c>
      <c r="BE444">
        <v>570</v>
      </c>
      <c r="BF444">
        <v>480</v>
      </c>
      <c r="BG444">
        <v>324</v>
      </c>
      <c r="BH444">
        <v>180</v>
      </c>
      <c r="BI444">
        <v>0</v>
      </c>
      <c r="BJ444">
        <v>0</v>
      </c>
      <c r="BK444">
        <v>315</v>
      </c>
      <c r="BL444">
        <v>621.81818181818187</v>
      </c>
      <c r="BM444">
        <v>486</v>
      </c>
      <c r="BN444">
        <v>510</v>
      </c>
      <c r="BO444">
        <v>270</v>
      </c>
      <c r="BP444">
        <v>270</v>
      </c>
      <c r="BQ444">
        <f>(I444+J444+N444+O444)/4</f>
        <v>7.8333333333333339</v>
      </c>
      <c r="BR444">
        <f>(K444+L444+M444)/3</f>
        <v>7.4888888888888898</v>
      </c>
      <c r="BS444">
        <f>BQ444/BR444</f>
        <v>1.0459940652818991</v>
      </c>
      <c r="BT444">
        <f>AQ444/I444</f>
        <v>120</v>
      </c>
      <c r="BU444" t="str">
        <f>IF(OR(A444=2, A444=12), "Central", IF(A444=3, "Semi-Central", "Periférica"))</f>
        <v>Central</v>
      </c>
    </row>
    <row r="445" spans="1:73" x14ac:dyDescent="0.3">
      <c r="A445" s="1">
        <v>3</v>
      </c>
      <c r="B445" s="1">
        <v>384</v>
      </c>
      <c r="C445" s="1" t="s">
        <v>293</v>
      </c>
      <c r="D445" t="s">
        <v>1</v>
      </c>
      <c r="E445" t="s">
        <v>0</v>
      </c>
      <c r="F445">
        <v>0</v>
      </c>
      <c r="G445">
        <v>0</v>
      </c>
      <c r="H445">
        <v>3</v>
      </c>
      <c r="I445">
        <v>6</v>
      </c>
      <c r="J445">
        <v>4.666666666666667</v>
      </c>
      <c r="K445">
        <v>5</v>
      </c>
      <c r="L445">
        <v>6</v>
      </c>
      <c r="M445">
        <v>6.4</v>
      </c>
      <c r="N445">
        <v>7.5</v>
      </c>
      <c r="O445">
        <v>6</v>
      </c>
      <c r="P445">
        <v>4.666666666666667</v>
      </c>
      <c r="Q445">
        <v>4</v>
      </c>
      <c r="R445">
        <v>0</v>
      </c>
      <c r="S445">
        <v>0</v>
      </c>
      <c r="T445">
        <v>3</v>
      </c>
      <c r="U445">
        <v>4</v>
      </c>
      <c r="V445">
        <v>4</v>
      </c>
      <c r="W445">
        <v>4</v>
      </c>
      <c r="X445">
        <v>4</v>
      </c>
      <c r="Y445">
        <v>3.2</v>
      </c>
      <c r="Z445">
        <v>3</v>
      </c>
      <c r="AA445">
        <v>0</v>
      </c>
      <c r="AB445">
        <v>0</v>
      </c>
      <c r="AC445">
        <v>3</v>
      </c>
      <c r="AD445">
        <v>4</v>
      </c>
      <c r="AE445">
        <v>4</v>
      </c>
      <c r="AF445">
        <v>4</v>
      </c>
      <c r="AG445">
        <v>3</v>
      </c>
      <c r="AH445">
        <v>3</v>
      </c>
      <c r="AI445" s="1">
        <v>3</v>
      </c>
      <c r="AJ445" s="1">
        <v>384</v>
      </c>
      <c r="AK445" s="1" t="s">
        <v>293</v>
      </c>
      <c r="AL445" t="s">
        <v>1</v>
      </c>
      <c r="AM445" t="s">
        <v>0</v>
      </c>
      <c r="AN445">
        <v>0</v>
      </c>
      <c r="AO445">
        <v>0</v>
      </c>
      <c r="AP445">
        <v>294</v>
      </c>
      <c r="AQ445">
        <v>588</v>
      </c>
      <c r="AR445">
        <v>457.33333333333331</v>
      </c>
      <c r="AS445">
        <v>490</v>
      </c>
      <c r="AT445">
        <v>588</v>
      </c>
      <c r="AU445">
        <v>627.20000000000005</v>
      </c>
      <c r="AV445">
        <v>735</v>
      </c>
      <c r="AW445">
        <v>588</v>
      </c>
      <c r="AX445">
        <v>457.33333333333331</v>
      </c>
      <c r="AY445">
        <v>392</v>
      </c>
      <c r="AZ445">
        <v>0</v>
      </c>
      <c r="BA445">
        <v>0</v>
      </c>
      <c r="BB445">
        <v>294</v>
      </c>
      <c r="BC445">
        <v>392</v>
      </c>
      <c r="BD445">
        <v>392</v>
      </c>
      <c r="BE445">
        <v>392</v>
      </c>
      <c r="BF445">
        <v>392</v>
      </c>
      <c r="BG445">
        <v>313.60000000000002</v>
      </c>
      <c r="BH445">
        <v>294</v>
      </c>
      <c r="BI445">
        <v>0</v>
      </c>
      <c r="BJ445">
        <v>0</v>
      </c>
      <c r="BK445">
        <v>294</v>
      </c>
      <c r="BL445">
        <v>392</v>
      </c>
      <c r="BM445">
        <v>392</v>
      </c>
      <c r="BN445">
        <v>392</v>
      </c>
      <c r="BO445">
        <v>294</v>
      </c>
      <c r="BP445">
        <v>294</v>
      </c>
      <c r="BQ445">
        <f>(I445+J445+N445+O445)/4</f>
        <v>6.041666666666667</v>
      </c>
      <c r="BR445">
        <f>(K445+L445+M445)/3</f>
        <v>5.8</v>
      </c>
      <c r="BS445">
        <f>BQ445/BR445</f>
        <v>1.0416666666666667</v>
      </c>
      <c r="BT445">
        <f>AQ445/I445</f>
        <v>98</v>
      </c>
      <c r="BU445" t="str">
        <f>IF(OR(A445=2, A445=12), "Central", IF(A445=3, "Semi-Central", "Periférica"))</f>
        <v>Semi-Central</v>
      </c>
    </row>
    <row r="446" spans="1:73" x14ac:dyDescent="0.3">
      <c r="A446" s="1">
        <v>9</v>
      </c>
      <c r="B446" s="1">
        <v>967</v>
      </c>
      <c r="C446" s="1">
        <v>712</v>
      </c>
      <c r="D446" t="s">
        <v>1</v>
      </c>
      <c r="F446">
        <v>2</v>
      </c>
      <c r="G446">
        <v>2.2222222222222219</v>
      </c>
      <c r="H446">
        <v>5</v>
      </c>
      <c r="I446">
        <v>6</v>
      </c>
      <c r="J446">
        <v>6</v>
      </c>
      <c r="K446">
        <v>6</v>
      </c>
      <c r="L446">
        <v>6</v>
      </c>
      <c r="M446">
        <v>6</v>
      </c>
      <c r="N446">
        <v>7</v>
      </c>
      <c r="O446">
        <v>6</v>
      </c>
      <c r="P446">
        <v>6</v>
      </c>
      <c r="Q446">
        <v>4</v>
      </c>
      <c r="R446">
        <v>3</v>
      </c>
      <c r="S446">
        <v>2</v>
      </c>
      <c r="T446">
        <v>4</v>
      </c>
      <c r="U446">
        <v>5.2</v>
      </c>
      <c r="V446">
        <v>6</v>
      </c>
      <c r="W446">
        <v>6.666666666666667</v>
      </c>
      <c r="X446">
        <v>6</v>
      </c>
      <c r="Y446">
        <v>5.2</v>
      </c>
      <c r="Z446">
        <v>3</v>
      </c>
      <c r="AA446">
        <v>3</v>
      </c>
      <c r="AB446">
        <v>2.4444444444444451</v>
      </c>
      <c r="AC446">
        <v>2.5</v>
      </c>
      <c r="AD446">
        <v>5.0909090909090908</v>
      </c>
      <c r="AE446">
        <v>5.4</v>
      </c>
      <c r="AF446">
        <v>5</v>
      </c>
      <c r="AG446">
        <v>4</v>
      </c>
      <c r="AH446">
        <v>3</v>
      </c>
      <c r="AI446" s="1">
        <v>9</v>
      </c>
      <c r="AJ446" s="1">
        <v>967</v>
      </c>
      <c r="AK446" s="1">
        <v>712</v>
      </c>
      <c r="AL446" t="s">
        <v>1</v>
      </c>
      <c r="AN446">
        <v>180</v>
      </c>
      <c r="AO446">
        <v>200</v>
      </c>
      <c r="AP446">
        <v>450</v>
      </c>
      <c r="AQ446">
        <v>540</v>
      </c>
      <c r="AR446">
        <v>540</v>
      </c>
      <c r="AS446">
        <v>540</v>
      </c>
      <c r="AT446">
        <v>540</v>
      </c>
      <c r="AU446">
        <v>540</v>
      </c>
      <c r="AV446">
        <v>630</v>
      </c>
      <c r="AW446">
        <v>540</v>
      </c>
      <c r="AX446">
        <v>540</v>
      </c>
      <c r="AY446">
        <v>360</v>
      </c>
      <c r="AZ446">
        <v>270</v>
      </c>
      <c r="BA446">
        <v>180</v>
      </c>
      <c r="BB446">
        <v>360</v>
      </c>
      <c r="BC446">
        <v>468</v>
      </c>
      <c r="BD446">
        <v>540</v>
      </c>
      <c r="BE446">
        <v>600</v>
      </c>
      <c r="BF446">
        <v>540</v>
      </c>
      <c r="BG446">
        <v>468</v>
      </c>
      <c r="BH446">
        <v>270</v>
      </c>
      <c r="BI446">
        <v>270</v>
      </c>
      <c r="BJ446">
        <v>220</v>
      </c>
      <c r="BK446">
        <v>225</v>
      </c>
      <c r="BL446">
        <v>458.18181818181819</v>
      </c>
      <c r="BM446">
        <v>486</v>
      </c>
      <c r="BN446">
        <v>450</v>
      </c>
      <c r="BO446">
        <v>360</v>
      </c>
      <c r="BP446">
        <v>270</v>
      </c>
      <c r="BQ446">
        <f>(I446+J446+N446+O446)/4</f>
        <v>6.25</v>
      </c>
      <c r="BR446">
        <f>(K446+L446+M446)/3</f>
        <v>6</v>
      </c>
      <c r="BS446">
        <f>BQ446/BR446</f>
        <v>1.0416666666666667</v>
      </c>
      <c r="BT446">
        <f>AQ446/I446</f>
        <v>90</v>
      </c>
      <c r="BU446" t="str">
        <f>IF(OR(A446=2, A446=12), "Central", IF(A446=3, "Semi-Central", "Periférica"))</f>
        <v>Periférica</v>
      </c>
    </row>
    <row r="447" spans="1:73" x14ac:dyDescent="0.3">
      <c r="A447" s="1">
        <v>13</v>
      </c>
      <c r="B447" s="1">
        <v>1329</v>
      </c>
      <c r="C447" s="1">
        <v>429</v>
      </c>
      <c r="D447" t="s">
        <v>5</v>
      </c>
      <c r="F447">
        <v>0</v>
      </c>
      <c r="G447">
        <v>0.66666666666666663</v>
      </c>
      <c r="H447">
        <v>6</v>
      </c>
      <c r="I447">
        <v>8</v>
      </c>
      <c r="J447">
        <v>6</v>
      </c>
      <c r="K447">
        <v>6</v>
      </c>
      <c r="L447">
        <v>6</v>
      </c>
      <c r="M447">
        <v>6</v>
      </c>
      <c r="N447">
        <v>5.5</v>
      </c>
      <c r="O447">
        <v>5.5</v>
      </c>
      <c r="P447">
        <v>4</v>
      </c>
      <c r="Q447">
        <v>3</v>
      </c>
      <c r="R447">
        <v>0</v>
      </c>
      <c r="S447">
        <v>0</v>
      </c>
      <c r="T447">
        <v>4</v>
      </c>
      <c r="U447">
        <v>4.8</v>
      </c>
      <c r="V447">
        <v>5</v>
      </c>
      <c r="W447">
        <v>5</v>
      </c>
      <c r="X447">
        <v>4.4444444444444446</v>
      </c>
      <c r="Y447">
        <v>2.8</v>
      </c>
      <c r="Z447">
        <v>2.5</v>
      </c>
      <c r="AA447">
        <v>0</v>
      </c>
      <c r="AB447">
        <v>0</v>
      </c>
      <c r="AC447">
        <v>3</v>
      </c>
      <c r="AD447">
        <v>4.1818181818181817</v>
      </c>
      <c r="AE447">
        <v>4.4000000000000004</v>
      </c>
      <c r="AF447">
        <v>3.333333333333333</v>
      </c>
      <c r="AG447">
        <v>3</v>
      </c>
      <c r="AH447">
        <v>2.5</v>
      </c>
      <c r="AI447" s="1">
        <v>13</v>
      </c>
      <c r="AJ447" s="1">
        <v>1329</v>
      </c>
      <c r="AK447" s="1">
        <v>429</v>
      </c>
      <c r="AL447" t="s">
        <v>5</v>
      </c>
      <c r="AN447">
        <v>0</v>
      </c>
      <c r="AO447">
        <v>60</v>
      </c>
      <c r="AP447">
        <v>540</v>
      </c>
      <c r="AQ447">
        <v>720</v>
      </c>
      <c r="AR447">
        <v>540</v>
      </c>
      <c r="AS447">
        <v>540</v>
      </c>
      <c r="AT447">
        <v>540</v>
      </c>
      <c r="AU447">
        <v>540</v>
      </c>
      <c r="AV447">
        <v>495</v>
      </c>
      <c r="AW447">
        <v>495</v>
      </c>
      <c r="AX447">
        <v>360</v>
      </c>
      <c r="AY447">
        <v>270</v>
      </c>
      <c r="AZ447">
        <v>0</v>
      </c>
      <c r="BA447">
        <v>0</v>
      </c>
      <c r="BB447">
        <v>360</v>
      </c>
      <c r="BC447">
        <v>432</v>
      </c>
      <c r="BD447">
        <v>450</v>
      </c>
      <c r="BE447">
        <v>450</v>
      </c>
      <c r="BF447">
        <v>400</v>
      </c>
      <c r="BG447">
        <v>252</v>
      </c>
      <c r="BH447">
        <v>225</v>
      </c>
      <c r="BI447">
        <v>0</v>
      </c>
      <c r="BJ447">
        <v>0</v>
      </c>
      <c r="BK447">
        <v>270</v>
      </c>
      <c r="BL447">
        <v>376.36363636363637</v>
      </c>
      <c r="BM447">
        <v>396</v>
      </c>
      <c r="BN447">
        <v>300</v>
      </c>
      <c r="BO447">
        <v>270</v>
      </c>
      <c r="BP447">
        <v>225</v>
      </c>
      <c r="BQ447">
        <f>(I447+J447+N447+O447)/4</f>
        <v>6.25</v>
      </c>
      <c r="BR447">
        <f>(K447+L447+M447)/3</f>
        <v>6</v>
      </c>
      <c r="BS447">
        <f>BQ447/BR447</f>
        <v>1.0416666666666667</v>
      </c>
      <c r="BT447">
        <f>AQ447/I447</f>
        <v>90</v>
      </c>
      <c r="BU447" t="str">
        <f>IF(OR(A447=2, A447=12), "Central", IF(A447=3, "Semi-Central", "Periférica"))</f>
        <v>Periférica</v>
      </c>
    </row>
    <row r="448" spans="1:73" x14ac:dyDescent="0.3">
      <c r="A448" s="1">
        <v>16</v>
      </c>
      <c r="B448" s="1" t="s">
        <v>292</v>
      </c>
      <c r="C448" s="1" t="s">
        <v>291</v>
      </c>
      <c r="D448" t="s">
        <v>5</v>
      </c>
      <c r="E448" t="s">
        <v>0</v>
      </c>
      <c r="F448">
        <v>0</v>
      </c>
      <c r="G448">
        <v>0</v>
      </c>
      <c r="H448">
        <v>8</v>
      </c>
      <c r="I448">
        <v>8</v>
      </c>
      <c r="J448">
        <v>7.333333333333333</v>
      </c>
      <c r="K448">
        <v>6</v>
      </c>
      <c r="L448">
        <v>6.666666666666667</v>
      </c>
      <c r="M448">
        <v>5.6</v>
      </c>
      <c r="N448">
        <v>5</v>
      </c>
      <c r="O448">
        <v>5</v>
      </c>
      <c r="P448">
        <v>3.333333333333333</v>
      </c>
      <c r="Q448">
        <v>1</v>
      </c>
      <c r="R448">
        <v>0</v>
      </c>
      <c r="S448">
        <v>0</v>
      </c>
      <c r="T448">
        <v>0</v>
      </c>
      <c r="U448">
        <v>4</v>
      </c>
      <c r="V448">
        <v>3.666666666666667</v>
      </c>
      <c r="W448">
        <v>3.666666666666667</v>
      </c>
      <c r="X448">
        <v>3.7777777777777781</v>
      </c>
      <c r="Y448">
        <v>3.2</v>
      </c>
      <c r="Z448">
        <v>1.5</v>
      </c>
      <c r="AA448">
        <v>0</v>
      </c>
      <c r="AB448">
        <v>0</v>
      </c>
      <c r="AC448">
        <v>0</v>
      </c>
      <c r="AD448">
        <v>2.545454545454545</v>
      </c>
      <c r="AE448">
        <v>3.6</v>
      </c>
      <c r="AF448">
        <v>4</v>
      </c>
      <c r="AG448">
        <v>3</v>
      </c>
      <c r="AH448">
        <v>1.5</v>
      </c>
      <c r="AI448" s="1">
        <v>16</v>
      </c>
      <c r="AJ448" s="1" t="s">
        <v>292</v>
      </c>
      <c r="AK448" s="1" t="s">
        <v>291</v>
      </c>
      <c r="AL448" t="s">
        <v>5</v>
      </c>
      <c r="AM448" t="s">
        <v>0</v>
      </c>
      <c r="AN448">
        <v>0</v>
      </c>
      <c r="AO448">
        <v>0</v>
      </c>
      <c r="AP448">
        <v>720</v>
      </c>
      <c r="AQ448">
        <v>720</v>
      </c>
      <c r="AR448">
        <v>660</v>
      </c>
      <c r="AS448">
        <v>540</v>
      </c>
      <c r="AT448">
        <v>600</v>
      </c>
      <c r="AU448">
        <v>504</v>
      </c>
      <c r="AV448">
        <v>450</v>
      </c>
      <c r="AW448">
        <v>450</v>
      </c>
      <c r="AX448">
        <v>300</v>
      </c>
      <c r="AY448">
        <v>90</v>
      </c>
      <c r="AZ448">
        <v>0</v>
      </c>
      <c r="BA448">
        <v>0</v>
      </c>
      <c r="BB448">
        <v>0</v>
      </c>
      <c r="BC448">
        <v>360</v>
      </c>
      <c r="BD448">
        <v>330</v>
      </c>
      <c r="BE448">
        <v>330</v>
      </c>
      <c r="BF448">
        <v>340</v>
      </c>
      <c r="BG448">
        <v>288</v>
      </c>
      <c r="BH448">
        <v>135</v>
      </c>
      <c r="BI448">
        <v>0</v>
      </c>
      <c r="BJ448">
        <v>0</v>
      </c>
      <c r="BK448">
        <v>0</v>
      </c>
      <c r="BL448">
        <v>229.09090909090909</v>
      </c>
      <c r="BM448">
        <v>324</v>
      </c>
      <c r="BN448">
        <v>360</v>
      </c>
      <c r="BO448">
        <v>270</v>
      </c>
      <c r="BP448">
        <v>135</v>
      </c>
      <c r="BQ448">
        <f>(I448+J448+N448+O448)/4</f>
        <v>6.333333333333333</v>
      </c>
      <c r="BR448">
        <f>(K448+L448+M448)/3</f>
        <v>6.0888888888888886</v>
      </c>
      <c r="BS448">
        <f>BQ448/BR448</f>
        <v>1.0401459854014599</v>
      </c>
      <c r="BT448">
        <f>AQ448/I448</f>
        <v>90</v>
      </c>
      <c r="BU448" t="str">
        <f>IF(OR(A448=2, A448=12), "Central", IF(A448=3, "Semi-Central", "Periférica"))</f>
        <v>Periférica</v>
      </c>
    </row>
    <row r="449" spans="1:73" x14ac:dyDescent="0.3">
      <c r="A449" s="1">
        <v>19</v>
      </c>
      <c r="B449" s="1">
        <v>1924</v>
      </c>
      <c r="C449" s="1">
        <v>224</v>
      </c>
      <c r="D449" t="s">
        <v>1</v>
      </c>
      <c r="E449" t="s">
        <v>0</v>
      </c>
      <c r="F449">
        <v>0</v>
      </c>
      <c r="G449">
        <v>0</v>
      </c>
      <c r="H449">
        <v>6</v>
      </c>
      <c r="I449">
        <v>6</v>
      </c>
      <c r="J449">
        <v>6</v>
      </c>
      <c r="K449">
        <v>4.333333333333333</v>
      </c>
      <c r="L449">
        <v>7.333333333333333</v>
      </c>
      <c r="M449">
        <v>6</v>
      </c>
      <c r="N449">
        <v>7</v>
      </c>
      <c r="O449">
        <v>5.5</v>
      </c>
      <c r="P449">
        <v>5.333333333333333</v>
      </c>
      <c r="Q449">
        <v>2.5</v>
      </c>
      <c r="R449">
        <v>0</v>
      </c>
      <c r="S449">
        <v>0</v>
      </c>
      <c r="T449">
        <v>4</v>
      </c>
      <c r="U449">
        <v>4.8</v>
      </c>
      <c r="V449">
        <v>4.666666666666667</v>
      </c>
      <c r="W449">
        <v>5</v>
      </c>
      <c r="X449">
        <v>4.8888888888888893</v>
      </c>
      <c r="Y449">
        <v>4.4000000000000004</v>
      </c>
      <c r="Z449">
        <v>2</v>
      </c>
      <c r="AA449">
        <v>0</v>
      </c>
      <c r="AB449">
        <v>0</v>
      </c>
      <c r="AC449">
        <v>4.5</v>
      </c>
      <c r="AD449">
        <v>4.1818181818181817</v>
      </c>
      <c r="AE449">
        <v>4.4000000000000004</v>
      </c>
      <c r="AF449">
        <v>4.333333333333333</v>
      </c>
      <c r="AG449">
        <v>2</v>
      </c>
      <c r="AH449">
        <v>1.5</v>
      </c>
      <c r="AI449" s="1">
        <v>19</v>
      </c>
      <c r="AJ449" s="1">
        <v>1924</v>
      </c>
      <c r="AK449" s="1">
        <v>224</v>
      </c>
      <c r="AL449" t="s">
        <v>1</v>
      </c>
      <c r="AM449" t="s">
        <v>0</v>
      </c>
      <c r="AN449">
        <v>0</v>
      </c>
      <c r="AO449">
        <v>0</v>
      </c>
      <c r="AP449">
        <v>540</v>
      </c>
      <c r="AQ449">
        <v>540</v>
      </c>
      <c r="AR449">
        <v>540</v>
      </c>
      <c r="AS449">
        <v>390</v>
      </c>
      <c r="AT449">
        <v>660</v>
      </c>
      <c r="AU449">
        <v>540</v>
      </c>
      <c r="AV449">
        <v>630</v>
      </c>
      <c r="AW449">
        <v>495</v>
      </c>
      <c r="AX449">
        <v>480</v>
      </c>
      <c r="AY449">
        <v>225</v>
      </c>
      <c r="AZ449">
        <v>0</v>
      </c>
      <c r="BA449">
        <v>0</v>
      </c>
      <c r="BB449">
        <v>360</v>
      </c>
      <c r="BC449">
        <v>432</v>
      </c>
      <c r="BD449">
        <v>420</v>
      </c>
      <c r="BE449">
        <v>450</v>
      </c>
      <c r="BF449">
        <v>440</v>
      </c>
      <c r="BG449">
        <v>396</v>
      </c>
      <c r="BH449">
        <v>180</v>
      </c>
      <c r="BI449">
        <v>0</v>
      </c>
      <c r="BJ449">
        <v>0</v>
      </c>
      <c r="BK449">
        <v>405</v>
      </c>
      <c r="BL449">
        <v>376.36363636363637</v>
      </c>
      <c r="BM449">
        <v>396</v>
      </c>
      <c r="BN449">
        <v>390</v>
      </c>
      <c r="BO449">
        <v>180</v>
      </c>
      <c r="BP449">
        <v>135</v>
      </c>
      <c r="BQ449">
        <f>(I449+J449+N449+O449)/4</f>
        <v>6.125</v>
      </c>
      <c r="BR449">
        <f>(K449+L449+M449)/3</f>
        <v>5.8888888888888884</v>
      </c>
      <c r="BS449">
        <f>BQ449/BR449</f>
        <v>1.0400943396226416</v>
      </c>
      <c r="BT449">
        <f>AQ449/I449</f>
        <v>90</v>
      </c>
      <c r="BU449" t="str">
        <f>IF(OR(A449=2, A449=12), "Central", IF(A449=3, "Semi-Central", "Periférica"))</f>
        <v>Periférica</v>
      </c>
    </row>
    <row r="450" spans="1:73" x14ac:dyDescent="0.3">
      <c r="A450" s="1">
        <v>3</v>
      </c>
      <c r="B450" s="1">
        <v>318</v>
      </c>
      <c r="C450" s="1">
        <v>111</v>
      </c>
      <c r="D450" t="s">
        <v>5</v>
      </c>
      <c r="E450" t="s">
        <v>0</v>
      </c>
      <c r="F450">
        <v>0</v>
      </c>
      <c r="G450">
        <v>0</v>
      </c>
      <c r="H450">
        <v>3</v>
      </c>
      <c r="I450">
        <v>6</v>
      </c>
      <c r="J450">
        <v>6</v>
      </c>
      <c r="K450">
        <v>5.666666666666667</v>
      </c>
      <c r="L450">
        <v>5.333333333333333</v>
      </c>
      <c r="M450">
        <v>5.6</v>
      </c>
      <c r="N450">
        <v>6</v>
      </c>
      <c r="O450">
        <v>5</v>
      </c>
      <c r="P450">
        <v>4.666666666666667</v>
      </c>
      <c r="Q450">
        <v>2</v>
      </c>
      <c r="R450">
        <v>0</v>
      </c>
      <c r="S450">
        <v>0</v>
      </c>
      <c r="T450">
        <v>0</v>
      </c>
      <c r="U450">
        <v>4.4000000000000004</v>
      </c>
      <c r="V450">
        <v>4.333333333333333</v>
      </c>
      <c r="W450">
        <v>5.333333333333333</v>
      </c>
      <c r="X450">
        <v>4.2222222222222223</v>
      </c>
      <c r="Y450">
        <v>4</v>
      </c>
      <c r="Z450">
        <v>2</v>
      </c>
      <c r="AA450">
        <v>0</v>
      </c>
      <c r="AB450">
        <v>0</v>
      </c>
      <c r="AC450">
        <v>1.5</v>
      </c>
      <c r="AD450">
        <v>4</v>
      </c>
      <c r="AE450">
        <v>4</v>
      </c>
      <c r="AF450">
        <v>4</v>
      </c>
      <c r="AG450">
        <v>3</v>
      </c>
      <c r="AH450">
        <v>1.5</v>
      </c>
      <c r="AI450" s="1">
        <v>3</v>
      </c>
      <c r="AJ450" s="1">
        <v>318</v>
      </c>
      <c r="AK450" s="1">
        <v>111</v>
      </c>
      <c r="AL450" t="s">
        <v>5</v>
      </c>
      <c r="AM450" t="s">
        <v>0</v>
      </c>
      <c r="AN450">
        <v>0</v>
      </c>
      <c r="AO450">
        <v>0</v>
      </c>
      <c r="AP450">
        <v>294</v>
      </c>
      <c r="AQ450">
        <v>588</v>
      </c>
      <c r="AR450">
        <v>588</v>
      </c>
      <c r="AS450">
        <v>555.33333333333337</v>
      </c>
      <c r="AT450">
        <v>522.66666666666663</v>
      </c>
      <c r="AU450">
        <v>548.79999999999995</v>
      </c>
      <c r="AV450">
        <v>588</v>
      </c>
      <c r="AW450">
        <v>490</v>
      </c>
      <c r="AX450">
        <v>457.33333333333331</v>
      </c>
      <c r="AY450">
        <v>196</v>
      </c>
      <c r="AZ450">
        <v>0</v>
      </c>
      <c r="BA450">
        <v>0</v>
      </c>
      <c r="BB450">
        <v>0</v>
      </c>
      <c r="BC450">
        <v>431.2</v>
      </c>
      <c r="BD450">
        <v>424.66666666666669</v>
      </c>
      <c r="BE450">
        <v>522.66666666666663</v>
      </c>
      <c r="BF450">
        <v>413.77777777777777</v>
      </c>
      <c r="BG450">
        <v>392</v>
      </c>
      <c r="BH450">
        <v>196</v>
      </c>
      <c r="BI450">
        <v>0</v>
      </c>
      <c r="BJ450">
        <v>0</v>
      </c>
      <c r="BK450">
        <v>147</v>
      </c>
      <c r="BL450">
        <v>392</v>
      </c>
      <c r="BM450">
        <v>392</v>
      </c>
      <c r="BN450">
        <v>392</v>
      </c>
      <c r="BO450">
        <v>294</v>
      </c>
      <c r="BP450">
        <v>147</v>
      </c>
      <c r="BQ450">
        <f>(I450+J450+N450+O450)/4</f>
        <v>5.75</v>
      </c>
      <c r="BR450">
        <f>(K450+L450+M450)/3</f>
        <v>5.5333333333333341</v>
      </c>
      <c r="BS450">
        <f>BQ450/BR450</f>
        <v>1.0391566265060239</v>
      </c>
      <c r="BT450">
        <f>AQ450/I450</f>
        <v>98</v>
      </c>
      <c r="BU450" t="str">
        <f>IF(OR(A450=2, A450=12), "Central", IF(A450=3, "Semi-Central", "Periférica"))</f>
        <v>Semi-Central</v>
      </c>
    </row>
    <row r="451" spans="1:73" x14ac:dyDescent="0.3">
      <c r="A451" s="1">
        <v>13</v>
      </c>
      <c r="B451" s="1">
        <v>1312</v>
      </c>
      <c r="C451" s="1">
        <v>412</v>
      </c>
      <c r="D451" t="s">
        <v>1</v>
      </c>
      <c r="F451">
        <v>2</v>
      </c>
      <c r="G451">
        <v>0.66666666666666663</v>
      </c>
      <c r="H451">
        <v>4</v>
      </c>
      <c r="I451">
        <v>6</v>
      </c>
      <c r="J451">
        <v>6</v>
      </c>
      <c r="K451">
        <v>5.666666666666667</v>
      </c>
      <c r="L451">
        <v>5.333333333333333</v>
      </c>
      <c r="M451">
        <v>5.6</v>
      </c>
      <c r="N451">
        <v>6</v>
      </c>
      <c r="O451">
        <v>5</v>
      </c>
      <c r="P451">
        <v>5.333333333333333</v>
      </c>
      <c r="Q451">
        <v>3.5</v>
      </c>
      <c r="R451">
        <v>2</v>
      </c>
      <c r="S451">
        <v>0.44444444444444442</v>
      </c>
      <c r="T451">
        <v>3</v>
      </c>
      <c r="U451">
        <v>4.8</v>
      </c>
      <c r="V451">
        <v>5</v>
      </c>
      <c r="W451">
        <v>5</v>
      </c>
      <c r="X451">
        <v>4.8888888888888893</v>
      </c>
      <c r="Y451">
        <v>2.8</v>
      </c>
      <c r="Z451">
        <v>3</v>
      </c>
      <c r="AA451">
        <v>2</v>
      </c>
      <c r="AB451">
        <v>0.44444444444444442</v>
      </c>
      <c r="AC451">
        <v>3</v>
      </c>
      <c r="AD451">
        <v>4.5454545454545459</v>
      </c>
      <c r="AE451">
        <v>4.4000000000000004</v>
      </c>
      <c r="AF451">
        <v>3.666666666666667</v>
      </c>
      <c r="AG451">
        <v>2</v>
      </c>
      <c r="AH451">
        <v>2</v>
      </c>
      <c r="AI451" s="1">
        <v>13</v>
      </c>
      <c r="AJ451" s="1">
        <v>1312</v>
      </c>
      <c r="AK451" s="1">
        <v>412</v>
      </c>
      <c r="AL451" t="s">
        <v>1</v>
      </c>
      <c r="AN451">
        <v>300</v>
      </c>
      <c r="AO451">
        <v>100</v>
      </c>
      <c r="AP451">
        <v>600</v>
      </c>
      <c r="AQ451">
        <v>900</v>
      </c>
      <c r="AR451">
        <v>900</v>
      </c>
      <c r="AS451">
        <v>850</v>
      </c>
      <c r="AT451">
        <v>800</v>
      </c>
      <c r="AU451">
        <v>840</v>
      </c>
      <c r="AV451">
        <v>900</v>
      </c>
      <c r="AW451">
        <v>750</v>
      </c>
      <c r="AX451">
        <v>800</v>
      </c>
      <c r="AY451">
        <v>525</v>
      </c>
      <c r="AZ451">
        <v>180</v>
      </c>
      <c r="BA451">
        <v>40</v>
      </c>
      <c r="BB451">
        <v>270</v>
      </c>
      <c r="BC451">
        <v>432</v>
      </c>
      <c r="BD451">
        <v>450</v>
      </c>
      <c r="BE451">
        <v>450</v>
      </c>
      <c r="BF451">
        <v>440</v>
      </c>
      <c r="BG451">
        <v>252</v>
      </c>
      <c r="BH451">
        <v>270</v>
      </c>
      <c r="BI451">
        <v>180</v>
      </c>
      <c r="BJ451">
        <v>40</v>
      </c>
      <c r="BK451">
        <v>270</v>
      </c>
      <c r="BL451">
        <v>409.09090909090912</v>
      </c>
      <c r="BM451">
        <v>396</v>
      </c>
      <c r="BN451">
        <v>330</v>
      </c>
      <c r="BO451">
        <v>180</v>
      </c>
      <c r="BP451">
        <v>180</v>
      </c>
      <c r="BQ451">
        <f>(I451+J451+N451+O451)/4</f>
        <v>5.75</v>
      </c>
      <c r="BR451">
        <f>(K451+L451+M451)/3</f>
        <v>5.5333333333333341</v>
      </c>
      <c r="BS451">
        <f>BQ451/BR451</f>
        <v>1.0391566265060239</v>
      </c>
      <c r="BT451">
        <f>AQ451/I451</f>
        <v>150</v>
      </c>
      <c r="BU451" t="str">
        <f>IF(OR(A451=2, A451=12), "Central", IF(A451=3, "Semi-Central", "Periférica"))</f>
        <v>Periférica</v>
      </c>
    </row>
    <row r="452" spans="1:73" x14ac:dyDescent="0.3">
      <c r="A452" s="1">
        <v>10</v>
      </c>
      <c r="B452" s="1">
        <v>1037</v>
      </c>
      <c r="C452" s="1" t="s">
        <v>131</v>
      </c>
      <c r="D452" t="s">
        <v>1</v>
      </c>
      <c r="E452" t="s">
        <v>0</v>
      </c>
      <c r="F452">
        <v>0</v>
      </c>
      <c r="G452">
        <v>0.22222222222222221</v>
      </c>
      <c r="H452">
        <v>5</v>
      </c>
      <c r="I452">
        <v>5.333333333333333</v>
      </c>
      <c r="J452">
        <v>4.666666666666667</v>
      </c>
      <c r="K452">
        <v>5</v>
      </c>
      <c r="L452">
        <v>4.666666666666667</v>
      </c>
      <c r="M452">
        <v>4.8</v>
      </c>
      <c r="N452">
        <v>5</v>
      </c>
      <c r="O452">
        <v>5</v>
      </c>
      <c r="P452">
        <v>5.333333333333333</v>
      </c>
      <c r="Q452">
        <v>2</v>
      </c>
      <c r="R452">
        <v>0</v>
      </c>
      <c r="S452">
        <v>0</v>
      </c>
      <c r="T452">
        <v>2</v>
      </c>
      <c r="U452">
        <v>3.2</v>
      </c>
      <c r="V452">
        <v>4</v>
      </c>
      <c r="W452">
        <v>4</v>
      </c>
      <c r="X452">
        <v>4</v>
      </c>
      <c r="Y452">
        <v>2.8</v>
      </c>
      <c r="Z452">
        <v>2</v>
      </c>
      <c r="AA452">
        <v>0</v>
      </c>
      <c r="AB452">
        <v>0</v>
      </c>
      <c r="AC452">
        <v>2</v>
      </c>
      <c r="AD452">
        <v>2.545454545454545</v>
      </c>
      <c r="AE452">
        <v>4</v>
      </c>
      <c r="AF452">
        <v>3.666666666666667</v>
      </c>
      <c r="AG452">
        <v>2</v>
      </c>
      <c r="AH452">
        <v>2</v>
      </c>
      <c r="AI452" s="1">
        <v>10</v>
      </c>
      <c r="AJ452" s="1">
        <v>1037</v>
      </c>
      <c r="AK452" s="1" t="s">
        <v>131</v>
      </c>
      <c r="AL452" t="s">
        <v>1</v>
      </c>
      <c r="AM452" t="s">
        <v>0</v>
      </c>
      <c r="AN452">
        <v>0</v>
      </c>
      <c r="AO452">
        <v>13.33333333333333</v>
      </c>
      <c r="AP452">
        <v>300</v>
      </c>
      <c r="AQ452">
        <v>320</v>
      </c>
      <c r="AR452">
        <v>280</v>
      </c>
      <c r="AS452">
        <v>300</v>
      </c>
      <c r="AT452">
        <v>280</v>
      </c>
      <c r="AU452">
        <v>288</v>
      </c>
      <c r="AV452">
        <v>300</v>
      </c>
      <c r="AW452">
        <v>300</v>
      </c>
      <c r="AX452">
        <v>320</v>
      </c>
      <c r="AY452">
        <v>120</v>
      </c>
      <c r="AZ452">
        <v>0</v>
      </c>
      <c r="BA452">
        <v>0</v>
      </c>
      <c r="BB452">
        <v>120</v>
      </c>
      <c r="BC452">
        <v>192</v>
      </c>
      <c r="BD452">
        <v>240</v>
      </c>
      <c r="BE452">
        <v>240</v>
      </c>
      <c r="BF452">
        <v>240</v>
      </c>
      <c r="BG452">
        <v>168</v>
      </c>
      <c r="BH452">
        <v>120</v>
      </c>
      <c r="BI452">
        <v>0</v>
      </c>
      <c r="BJ452">
        <v>0</v>
      </c>
      <c r="BK452">
        <v>120</v>
      </c>
      <c r="BL452">
        <v>152.72727272727269</v>
      </c>
      <c r="BM452">
        <v>240</v>
      </c>
      <c r="BN452">
        <v>220</v>
      </c>
      <c r="BO452">
        <v>120</v>
      </c>
      <c r="BP452">
        <v>120</v>
      </c>
      <c r="BQ452">
        <f>(I452+J452+N452+O452)/4</f>
        <v>5</v>
      </c>
      <c r="BR452">
        <f>(K452+L452+M452)/3</f>
        <v>4.8222222222222229</v>
      </c>
      <c r="BS452">
        <f>BQ452/BR452</f>
        <v>1.0368663594470044</v>
      </c>
      <c r="BT452">
        <f>AQ452/I452</f>
        <v>60</v>
      </c>
      <c r="BU452" t="str">
        <f>IF(OR(A452=2, A452=12), "Central", IF(A452=3, "Semi-Central", "Periférica"))</f>
        <v>Periférica</v>
      </c>
    </row>
    <row r="453" spans="1:73" x14ac:dyDescent="0.3">
      <c r="A453" s="1">
        <v>9</v>
      </c>
      <c r="B453" s="1">
        <v>964</v>
      </c>
      <c r="C453" s="1">
        <v>124</v>
      </c>
      <c r="D453" t="s">
        <v>5</v>
      </c>
      <c r="F453">
        <v>0</v>
      </c>
      <c r="G453">
        <v>0.22222222222222221</v>
      </c>
      <c r="H453">
        <v>4</v>
      </c>
      <c r="I453">
        <v>5.333333333333333</v>
      </c>
      <c r="J453">
        <v>4.666666666666667</v>
      </c>
      <c r="K453">
        <v>5.333333333333333</v>
      </c>
      <c r="L453">
        <v>5.333333333333333</v>
      </c>
      <c r="M453">
        <v>6</v>
      </c>
      <c r="N453">
        <v>6</v>
      </c>
      <c r="O453">
        <v>7</v>
      </c>
      <c r="P453">
        <v>6</v>
      </c>
      <c r="Q453">
        <v>3.5</v>
      </c>
      <c r="R453">
        <v>1</v>
      </c>
      <c r="S453">
        <v>0</v>
      </c>
      <c r="T453">
        <v>3</v>
      </c>
      <c r="U453">
        <v>3.6</v>
      </c>
      <c r="V453">
        <v>5</v>
      </c>
      <c r="W453">
        <v>4.666666666666667</v>
      </c>
      <c r="X453">
        <v>4</v>
      </c>
      <c r="Y453">
        <v>3.2</v>
      </c>
      <c r="Z453">
        <v>3</v>
      </c>
      <c r="AA453">
        <v>1</v>
      </c>
      <c r="AB453">
        <v>0</v>
      </c>
      <c r="AC453">
        <v>2.5</v>
      </c>
      <c r="AD453">
        <v>4.1818181818181817</v>
      </c>
      <c r="AE453">
        <v>3.8</v>
      </c>
      <c r="AF453">
        <v>4</v>
      </c>
      <c r="AG453">
        <v>3</v>
      </c>
      <c r="AH453">
        <v>3</v>
      </c>
      <c r="AI453" s="1">
        <v>9</v>
      </c>
      <c r="AJ453" s="1">
        <v>964</v>
      </c>
      <c r="AK453" s="1">
        <v>124</v>
      </c>
      <c r="AL453" t="s">
        <v>5</v>
      </c>
      <c r="AN453">
        <v>0</v>
      </c>
      <c r="AO453">
        <v>20</v>
      </c>
      <c r="AP453">
        <v>360</v>
      </c>
      <c r="AQ453">
        <v>480</v>
      </c>
      <c r="AR453">
        <v>420</v>
      </c>
      <c r="AS453">
        <v>480</v>
      </c>
      <c r="AT453">
        <v>480</v>
      </c>
      <c r="AU453">
        <v>540</v>
      </c>
      <c r="AV453">
        <v>540</v>
      </c>
      <c r="AW453">
        <v>630</v>
      </c>
      <c r="AX453">
        <v>540</v>
      </c>
      <c r="AY453">
        <v>315</v>
      </c>
      <c r="AZ453">
        <v>90</v>
      </c>
      <c r="BA453">
        <v>0</v>
      </c>
      <c r="BB453">
        <v>270</v>
      </c>
      <c r="BC453">
        <v>324</v>
      </c>
      <c r="BD453">
        <v>450</v>
      </c>
      <c r="BE453">
        <v>420</v>
      </c>
      <c r="BF453">
        <v>360</v>
      </c>
      <c r="BG453">
        <v>288</v>
      </c>
      <c r="BH453">
        <v>270</v>
      </c>
      <c r="BI453">
        <v>90</v>
      </c>
      <c r="BJ453">
        <v>0</v>
      </c>
      <c r="BK453">
        <v>225</v>
      </c>
      <c r="BL453">
        <v>376.36363636363637</v>
      </c>
      <c r="BM453">
        <v>342</v>
      </c>
      <c r="BN453">
        <v>360</v>
      </c>
      <c r="BO453">
        <v>270</v>
      </c>
      <c r="BP453">
        <v>270</v>
      </c>
      <c r="BQ453">
        <f>(I453+J453+N453+O453)/4</f>
        <v>5.75</v>
      </c>
      <c r="BR453">
        <f>(K453+L453+M453)/3</f>
        <v>5.5555555555555545</v>
      </c>
      <c r="BS453">
        <f>BQ453/BR453</f>
        <v>1.0350000000000001</v>
      </c>
      <c r="BT453">
        <f>AQ453/I453</f>
        <v>90</v>
      </c>
      <c r="BU453" t="str">
        <f>IF(OR(A453=2, A453=12), "Central", IF(A453=3, "Semi-Central", "Periférica"))</f>
        <v>Periférica</v>
      </c>
    </row>
    <row r="454" spans="1:73" x14ac:dyDescent="0.3">
      <c r="A454" s="1">
        <v>3</v>
      </c>
      <c r="B454" s="1">
        <v>386</v>
      </c>
      <c r="C454" s="1" t="s">
        <v>288</v>
      </c>
      <c r="D454" t="s">
        <v>5</v>
      </c>
      <c r="E454" t="s">
        <v>0</v>
      </c>
      <c r="F454">
        <v>0</v>
      </c>
      <c r="G454">
        <v>0.44444444444444442</v>
      </c>
      <c r="H454">
        <v>5</v>
      </c>
      <c r="I454">
        <v>4.666666666666667</v>
      </c>
      <c r="J454">
        <v>4.666666666666667</v>
      </c>
      <c r="K454">
        <v>5</v>
      </c>
      <c r="L454">
        <v>4.666666666666667</v>
      </c>
      <c r="M454">
        <v>4</v>
      </c>
      <c r="N454">
        <v>4.5</v>
      </c>
      <c r="O454">
        <v>5</v>
      </c>
      <c r="P454">
        <v>4.666666666666667</v>
      </c>
      <c r="Q454">
        <v>3</v>
      </c>
      <c r="R454">
        <v>0</v>
      </c>
      <c r="S454">
        <v>0</v>
      </c>
      <c r="T454">
        <v>3</v>
      </c>
      <c r="U454">
        <v>4</v>
      </c>
      <c r="V454">
        <v>4</v>
      </c>
      <c r="W454">
        <v>4</v>
      </c>
      <c r="X454">
        <v>4</v>
      </c>
      <c r="Y454">
        <v>3.2</v>
      </c>
      <c r="Z454">
        <v>2.5</v>
      </c>
      <c r="AA454">
        <v>0</v>
      </c>
      <c r="AB454">
        <v>0</v>
      </c>
      <c r="AC454">
        <v>3</v>
      </c>
      <c r="AD454">
        <v>3.0909090909090908</v>
      </c>
      <c r="AE454">
        <v>3</v>
      </c>
      <c r="AF454">
        <v>3</v>
      </c>
      <c r="AG454">
        <v>3</v>
      </c>
      <c r="AH454">
        <v>2.5</v>
      </c>
      <c r="AI454" s="1">
        <v>3</v>
      </c>
      <c r="AJ454" s="1">
        <v>386</v>
      </c>
      <c r="AK454" s="1" t="s">
        <v>288</v>
      </c>
      <c r="AL454" t="s">
        <v>5</v>
      </c>
      <c r="AM454" t="s">
        <v>0</v>
      </c>
      <c r="AN454">
        <v>0</v>
      </c>
      <c r="AO454">
        <v>20.444444444444443</v>
      </c>
      <c r="AP454">
        <v>465</v>
      </c>
      <c r="AQ454">
        <v>434</v>
      </c>
      <c r="AR454">
        <v>434</v>
      </c>
      <c r="AS454">
        <v>465</v>
      </c>
      <c r="AT454">
        <v>434</v>
      </c>
      <c r="AU454">
        <v>372</v>
      </c>
      <c r="AV454">
        <v>418.5</v>
      </c>
      <c r="AW454">
        <v>465</v>
      </c>
      <c r="AX454">
        <v>434</v>
      </c>
      <c r="AY454">
        <v>279</v>
      </c>
      <c r="AZ454">
        <v>0</v>
      </c>
      <c r="BA454">
        <v>0</v>
      </c>
      <c r="BB454">
        <v>279</v>
      </c>
      <c r="BC454">
        <v>372</v>
      </c>
      <c r="BD454">
        <v>372</v>
      </c>
      <c r="BE454">
        <v>372</v>
      </c>
      <c r="BF454">
        <v>372</v>
      </c>
      <c r="BG454">
        <v>297.60000000000002</v>
      </c>
      <c r="BH454">
        <v>232.5</v>
      </c>
      <c r="BI454">
        <v>0</v>
      </c>
      <c r="BJ454">
        <v>0</v>
      </c>
      <c r="BK454">
        <v>279</v>
      </c>
      <c r="BL454">
        <v>287.45454545454544</v>
      </c>
      <c r="BM454">
        <v>279</v>
      </c>
      <c r="BN454">
        <v>279</v>
      </c>
      <c r="BO454">
        <v>279</v>
      </c>
      <c r="BP454">
        <v>232.5</v>
      </c>
      <c r="BQ454">
        <f>(I454+J454+N454+O454)/4</f>
        <v>4.7083333333333339</v>
      </c>
      <c r="BR454">
        <f>(K454+L454+M454)/3</f>
        <v>4.5555555555555562</v>
      </c>
      <c r="BS454">
        <f>BQ454/BR454</f>
        <v>1.0335365853658536</v>
      </c>
      <c r="BT454">
        <f>AQ454/I454</f>
        <v>93</v>
      </c>
      <c r="BU454" t="str">
        <f>IF(OR(A454=2, A454=12), "Central", IF(A454=3, "Semi-Central", "Periférica"))</f>
        <v>Semi-Central</v>
      </c>
    </row>
    <row r="455" spans="1:73" x14ac:dyDescent="0.3">
      <c r="A455" s="1">
        <v>14</v>
      </c>
      <c r="B455" s="1">
        <v>1453</v>
      </c>
      <c r="C455" s="1" t="s">
        <v>290</v>
      </c>
      <c r="D455" t="s">
        <v>5</v>
      </c>
      <c r="E455" t="s">
        <v>0</v>
      </c>
      <c r="F455">
        <v>0</v>
      </c>
      <c r="G455">
        <v>0</v>
      </c>
      <c r="H455">
        <v>4</v>
      </c>
      <c r="I455">
        <v>4.666666666666667</v>
      </c>
      <c r="J455">
        <v>4.666666666666667</v>
      </c>
      <c r="K455">
        <v>5</v>
      </c>
      <c r="L455">
        <v>4.666666666666667</v>
      </c>
      <c r="M455">
        <v>4</v>
      </c>
      <c r="N455">
        <v>5</v>
      </c>
      <c r="O455">
        <v>4.5</v>
      </c>
      <c r="P455">
        <v>4.666666666666667</v>
      </c>
      <c r="Q455">
        <v>2</v>
      </c>
      <c r="R455">
        <v>0</v>
      </c>
      <c r="S455">
        <v>0</v>
      </c>
      <c r="T455">
        <v>2</v>
      </c>
      <c r="U455">
        <v>4</v>
      </c>
      <c r="V455">
        <v>3.666666666666667</v>
      </c>
      <c r="W455">
        <v>4</v>
      </c>
      <c r="X455">
        <v>3.7777777777777781</v>
      </c>
      <c r="Y455">
        <v>3.2</v>
      </c>
      <c r="Z455">
        <v>1.5</v>
      </c>
      <c r="AA455">
        <v>0</v>
      </c>
      <c r="AB455">
        <v>0</v>
      </c>
      <c r="AC455">
        <v>2</v>
      </c>
      <c r="AD455">
        <v>3.0909090909090908</v>
      </c>
      <c r="AE455">
        <v>3</v>
      </c>
      <c r="AF455">
        <v>3</v>
      </c>
      <c r="AG455">
        <v>3</v>
      </c>
      <c r="AH455">
        <v>1.5</v>
      </c>
      <c r="AI455" s="1">
        <v>14</v>
      </c>
      <c r="AJ455" s="1">
        <v>1453</v>
      </c>
      <c r="AK455" s="1" t="s">
        <v>290</v>
      </c>
      <c r="AL455" t="s">
        <v>5</v>
      </c>
      <c r="AM455" t="s">
        <v>0</v>
      </c>
      <c r="AN455">
        <v>0</v>
      </c>
      <c r="AO455">
        <v>0</v>
      </c>
      <c r="AP455">
        <v>240</v>
      </c>
      <c r="AQ455">
        <v>280</v>
      </c>
      <c r="AR455">
        <v>280</v>
      </c>
      <c r="AS455">
        <v>300</v>
      </c>
      <c r="AT455">
        <v>280</v>
      </c>
      <c r="AU455">
        <v>240</v>
      </c>
      <c r="AV455">
        <v>300</v>
      </c>
      <c r="AW455">
        <v>270</v>
      </c>
      <c r="AX455">
        <v>280</v>
      </c>
      <c r="AY455">
        <v>120</v>
      </c>
      <c r="AZ455">
        <v>0</v>
      </c>
      <c r="BA455">
        <v>0</v>
      </c>
      <c r="BB455">
        <v>120</v>
      </c>
      <c r="BC455">
        <v>240</v>
      </c>
      <c r="BD455">
        <v>220</v>
      </c>
      <c r="BE455">
        <v>240</v>
      </c>
      <c r="BF455">
        <v>226.66666666666671</v>
      </c>
      <c r="BG455">
        <v>192</v>
      </c>
      <c r="BH455">
        <v>90</v>
      </c>
      <c r="BI455">
        <v>0</v>
      </c>
      <c r="BJ455">
        <v>0</v>
      </c>
      <c r="BK455">
        <v>120</v>
      </c>
      <c r="BL455">
        <v>185.4545454545455</v>
      </c>
      <c r="BM455">
        <v>180</v>
      </c>
      <c r="BN455">
        <v>180</v>
      </c>
      <c r="BO455">
        <v>180</v>
      </c>
      <c r="BP455">
        <v>90</v>
      </c>
      <c r="BQ455">
        <f>(I455+J455+N455+O455)/4</f>
        <v>4.7083333333333339</v>
      </c>
      <c r="BR455">
        <f>(K455+L455+M455)/3</f>
        <v>4.5555555555555562</v>
      </c>
      <c r="BS455">
        <f>BQ455/BR455</f>
        <v>1.0335365853658536</v>
      </c>
      <c r="BT455">
        <f>AQ455/I455</f>
        <v>59.999999999999993</v>
      </c>
      <c r="BU455" t="str">
        <f>IF(OR(A455=2, A455=12), "Central", IF(A455=3, "Semi-Central", "Periférica"))</f>
        <v>Periférica</v>
      </c>
    </row>
    <row r="456" spans="1:73" x14ac:dyDescent="0.3">
      <c r="A456" s="1">
        <v>14</v>
      </c>
      <c r="B456" s="1">
        <v>1453</v>
      </c>
      <c r="C456" s="1" t="s">
        <v>290</v>
      </c>
      <c r="D456" t="s">
        <v>1</v>
      </c>
      <c r="E456" t="s">
        <v>0</v>
      </c>
      <c r="F456">
        <v>0</v>
      </c>
      <c r="G456">
        <v>0</v>
      </c>
      <c r="H456">
        <v>4</v>
      </c>
      <c r="I456">
        <v>4.666666666666667</v>
      </c>
      <c r="J456">
        <v>4.666666666666667</v>
      </c>
      <c r="K456">
        <v>5</v>
      </c>
      <c r="L456">
        <v>4.666666666666667</v>
      </c>
      <c r="M456">
        <v>4</v>
      </c>
      <c r="N456">
        <v>5</v>
      </c>
      <c r="O456">
        <v>4.5</v>
      </c>
      <c r="P456">
        <v>4.666666666666667</v>
      </c>
      <c r="Q456">
        <v>2</v>
      </c>
      <c r="R456">
        <v>0</v>
      </c>
      <c r="S456">
        <v>0</v>
      </c>
      <c r="T456">
        <v>2</v>
      </c>
      <c r="U456">
        <v>4</v>
      </c>
      <c r="V456">
        <v>3.333333333333333</v>
      </c>
      <c r="W456">
        <v>4</v>
      </c>
      <c r="X456">
        <v>3.7777777777777781</v>
      </c>
      <c r="Y456">
        <v>3.2</v>
      </c>
      <c r="Z456">
        <v>1.5</v>
      </c>
      <c r="AA456">
        <v>0</v>
      </c>
      <c r="AB456">
        <v>0</v>
      </c>
      <c r="AC456">
        <v>2</v>
      </c>
      <c r="AD456">
        <v>2.9090909090909092</v>
      </c>
      <c r="AE456">
        <v>3</v>
      </c>
      <c r="AF456">
        <v>3</v>
      </c>
      <c r="AG456">
        <v>3</v>
      </c>
      <c r="AH456">
        <v>1.5</v>
      </c>
      <c r="AI456" s="1">
        <v>14</v>
      </c>
      <c r="AJ456" s="1">
        <v>1453</v>
      </c>
      <c r="AK456" s="1" t="s">
        <v>290</v>
      </c>
      <c r="AL456" t="s">
        <v>1</v>
      </c>
      <c r="AM456" t="s">
        <v>0</v>
      </c>
      <c r="AN456">
        <v>0</v>
      </c>
      <c r="AO456">
        <v>0</v>
      </c>
      <c r="AP456">
        <v>240</v>
      </c>
      <c r="AQ456">
        <v>280</v>
      </c>
      <c r="AR456">
        <v>280</v>
      </c>
      <c r="AS456">
        <v>300</v>
      </c>
      <c r="AT456">
        <v>280</v>
      </c>
      <c r="AU456">
        <v>240</v>
      </c>
      <c r="AV456">
        <v>300</v>
      </c>
      <c r="AW456">
        <v>270</v>
      </c>
      <c r="AX456">
        <v>280</v>
      </c>
      <c r="AY456">
        <v>120</v>
      </c>
      <c r="AZ456">
        <v>0</v>
      </c>
      <c r="BA456">
        <v>0</v>
      </c>
      <c r="BB456">
        <v>120</v>
      </c>
      <c r="BC456">
        <v>240</v>
      </c>
      <c r="BD456">
        <v>200</v>
      </c>
      <c r="BE456">
        <v>240</v>
      </c>
      <c r="BF456">
        <v>226.66666666666671</v>
      </c>
      <c r="BG456">
        <v>192</v>
      </c>
      <c r="BH456">
        <v>90</v>
      </c>
      <c r="BI456">
        <v>0</v>
      </c>
      <c r="BJ456">
        <v>0</v>
      </c>
      <c r="BK456">
        <v>120</v>
      </c>
      <c r="BL456">
        <v>174.5454545454545</v>
      </c>
      <c r="BM456">
        <v>180</v>
      </c>
      <c r="BN456">
        <v>180</v>
      </c>
      <c r="BO456">
        <v>180</v>
      </c>
      <c r="BP456">
        <v>90</v>
      </c>
      <c r="BQ456">
        <f>(I456+J456+N456+O456)/4</f>
        <v>4.7083333333333339</v>
      </c>
      <c r="BR456">
        <f>(K456+L456+M456)/3</f>
        <v>4.5555555555555562</v>
      </c>
      <c r="BS456">
        <f>BQ456/BR456</f>
        <v>1.0335365853658536</v>
      </c>
      <c r="BT456">
        <f>AQ456/I456</f>
        <v>59.999999999999993</v>
      </c>
      <c r="BU456" t="str">
        <f>IF(OR(A456=2, A456=12), "Central", IF(A456=3, "Semi-Central", "Periférica"))</f>
        <v>Periférica</v>
      </c>
    </row>
    <row r="457" spans="1:73" x14ac:dyDescent="0.3">
      <c r="A457" s="1">
        <v>11</v>
      </c>
      <c r="B457" s="1">
        <v>1114</v>
      </c>
      <c r="C457" s="1" t="s">
        <v>289</v>
      </c>
      <c r="D457" t="s">
        <v>1</v>
      </c>
      <c r="F457">
        <v>2</v>
      </c>
      <c r="G457">
        <v>0</v>
      </c>
      <c r="H457">
        <v>6</v>
      </c>
      <c r="I457">
        <v>10</v>
      </c>
      <c r="J457">
        <v>9.3333333333333339</v>
      </c>
      <c r="K457">
        <v>9.3333333333333339</v>
      </c>
      <c r="L457">
        <v>9.3333333333333339</v>
      </c>
      <c r="M457">
        <v>8.8000000000000007</v>
      </c>
      <c r="N457">
        <v>10.5</v>
      </c>
      <c r="O457">
        <v>8</v>
      </c>
      <c r="P457">
        <v>6</v>
      </c>
      <c r="Q457">
        <v>2.5</v>
      </c>
      <c r="R457">
        <v>2</v>
      </c>
      <c r="S457">
        <v>0</v>
      </c>
      <c r="T457">
        <v>4</v>
      </c>
      <c r="U457">
        <v>10</v>
      </c>
      <c r="V457">
        <v>9.3333333333333339</v>
      </c>
      <c r="W457">
        <v>8</v>
      </c>
      <c r="X457">
        <v>7.7777777777777777</v>
      </c>
      <c r="Y457">
        <v>4.8</v>
      </c>
      <c r="Z457">
        <v>2.5</v>
      </c>
      <c r="AA457">
        <v>2</v>
      </c>
      <c r="AB457">
        <v>0</v>
      </c>
      <c r="AC457">
        <v>4</v>
      </c>
      <c r="AD457">
        <v>6</v>
      </c>
      <c r="AE457">
        <v>5</v>
      </c>
      <c r="AF457">
        <v>6.666666666666667</v>
      </c>
      <c r="AG457">
        <v>6</v>
      </c>
      <c r="AH457">
        <v>3.5</v>
      </c>
      <c r="AI457" s="1">
        <v>11</v>
      </c>
      <c r="AJ457" s="1">
        <v>1114</v>
      </c>
      <c r="AK457" s="1" t="s">
        <v>289</v>
      </c>
      <c r="AL457" t="s">
        <v>1</v>
      </c>
      <c r="AN457">
        <v>300</v>
      </c>
      <c r="AO457">
        <v>0</v>
      </c>
      <c r="AP457">
        <v>900</v>
      </c>
      <c r="AQ457">
        <v>1500</v>
      </c>
      <c r="AR457">
        <v>1400</v>
      </c>
      <c r="AS457">
        <v>1400</v>
      </c>
      <c r="AT457">
        <v>1400</v>
      </c>
      <c r="AU457">
        <v>1320</v>
      </c>
      <c r="AV457">
        <v>1575</v>
      </c>
      <c r="AW457">
        <v>1200</v>
      </c>
      <c r="AX457">
        <v>900</v>
      </c>
      <c r="AY457">
        <v>375</v>
      </c>
      <c r="AZ457">
        <v>180</v>
      </c>
      <c r="BA457">
        <v>0</v>
      </c>
      <c r="BB457">
        <v>360</v>
      </c>
      <c r="BC457">
        <v>900</v>
      </c>
      <c r="BD457">
        <v>840</v>
      </c>
      <c r="BE457">
        <v>720</v>
      </c>
      <c r="BF457">
        <v>700</v>
      </c>
      <c r="BG457">
        <v>432</v>
      </c>
      <c r="BH457">
        <v>225</v>
      </c>
      <c r="BI457">
        <v>180</v>
      </c>
      <c r="BJ457">
        <v>0</v>
      </c>
      <c r="BK457">
        <v>360</v>
      </c>
      <c r="BL457">
        <v>540</v>
      </c>
      <c r="BM457">
        <v>450</v>
      </c>
      <c r="BN457">
        <v>600</v>
      </c>
      <c r="BO457">
        <v>540</v>
      </c>
      <c r="BP457">
        <v>315</v>
      </c>
      <c r="BQ457">
        <f>(I457+J457+N457+O457)/4</f>
        <v>9.4583333333333339</v>
      </c>
      <c r="BR457">
        <f>(K457+L457+M457)/3</f>
        <v>9.1555555555555568</v>
      </c>
      <c r="BS457">
        <f>BQ457/BR457</f>
        <v>1.0330703883495145</v>
      </c>
      <c r="BT457">
        <f>AQ457/I457</f>
        <v>150</v>
      </c>
      <c r="BU457" t="str">
        <f>IF(OR(A457=2, A457=12), "Central", IF(A457=3, "Semi-Central", "Periférica"))</f>
        <v>Periférica</v>
      </c>
    </row>
    <row r="458" spans="1:73" x14ac:dyDescent="0.3">
      <c r="A458" s="1">
        <v>3</v>
      </c>
      <c r="B458" s="1">
        <v>379</v>
      </c>
      <c r="C458" s="1" t="s">
        <v>262</v>
      </c>
      <c r="D458" t="s">
        <v>5</v>
      </c>
      <c r="E458" t="s">
        <v>0</v>
      </c>
      <c r="F458">
        <v>0</v>
      </c>
      <c r="G458">
        <v>1.5555555555555556</v>
      </c>
      <c r="H458">
        <v>17</v>
      </c>
      <c r="I458">
        <v>16</v>
      </c>
      <c r="J458">
        <v>16</v>
      </c>
      <c r="K458">
        <v>13.333333333333334</v>
      </c>
      <c r="L458">
        <v>12.666666666666666</v>
      </c>
      <c r="M458">
        <v>14</v>
      </c>
      <c r="N458">
        <v>12</v>
      </c>
      <c r="O458">
        <v>11</v>
      </c>
      <c r="P458">
        <v>8.6666666666666661</v>
      </c>
      <c r="Q458">
        <v>6.5</v>
      </c>
      <c r="R458">
        <v>0</v>
      </c>
      <c r="S458">
        <v>0.66666666666666663</v>
      </c>
      <c r="T458">
        <v>6</v>
      </c>
      <c r="U458">
        <v>6.8</v>
      </c>
      <c r="V458">
        <v>6.666666666666667</v>
      </c>
      <c r="W458">
        <v>6</v>
      </c>
      <c r="X458">
        <v>6</v>
      </c>
      <c r="Y458">
        <v>4.8</v>
      </c>
      <c r="Z458">
        <v>4</v>
      </c>
      <c r="AA458">
        <v>0</v>
      </c>
      <c r="AB458">
        <v>0.66666666666666663</v>
      </c>
      <c r="AC458">
        <v>5</v>
      </c>
      <c r="AD458">
        <v>5.2727272727272725</v>
      </c>
      <c r="AE458">
        <v>5</v>
      </c>
      <c r="AF458">
        <v>5</v>
      </c>
      <c r="AG458">
        <v>5</v>
      </c>
      <c r="AH458">
        <v>4</v>
      </c>
      <c r="AI458" s="1">
        <v>3</v>
      </c>
      <c r="AJ458" s="1">
        <v>379</v>
      </c>
      <c r="AK458" s="1" t="s">
        <v>262</v>
      </c>
      <c r="AL458" t="s">
        <v>5</v>
      </c>
      <c r="AM458" t="s">
        <v>0</v>
      </c>
      <c r="AN458">
        <v>0</v>
      </c>
      <c r="AO458">
        <v>140</v>
      </c>
      <c r="AP458">
        <v>1530</v>
      </c>
      <c r="AQ458">
        <v>1440</v>
      </c>
      <c r="AR458">
        <v>1440</v>
      </c>
      <c r="AS458">
        <v>1200</v>
      </c>
      <c r="AT458">
        <v>1140</v>
      </c>
      <c r="AU458">
        <v>1260</v>
      </c>
      <c r="AV458">
        <v>1080</v>
      </c>
      <c r="AW458">
        <v>990</v>
      </c>
      <c r="AX458">
        <v>780</v>
      </c>
      <c r="AY458">
        <v>585</v>
      </c>
      <c r="AZ458">
        <v>0</v>
      </c>
      <c r="BA458">
        <v>60</v>
      </c>
      <c r="BB458">
        <v>540</v>
      </c>
      <c r="BC458">
        <v>612</v>
      </c>
      <c r="BD458">
        <v>600</v>
      </c>
      <c r="BE458">
        <v>540</v>
      </c>
      <c r="BF458">
        <v>540</v>
      </c>
      <c r="BG458">
        <v>432</v>
      </c>
      <c r="BH458">
        <v>360</v>
      </c>
      <c r="BI458">
        <v>0</v>
      </c>
      <c r="BJ458">
        <v>60</v>
      </c>
      <c r="BK458">
        <v>450</v>
      </c>
      <c r="BL458">
        <v>474.54545454545456</v>
      </c>
      <c r="BM458">
        <v>450</v>
      </c>
      <c r="BN458">
        <v>450</v>
      </c>
      <c r="BO458">
        <v>450</v>
      </c>
      <c r="BP458">
        <v>360</v>
      </c>
      <c r="BQ458">
        <f>(I458+J458+N458+O458)/4</f>
        <v>13.75</v>
      </c>
      <c r="BR458">
        <f>(K458+L458+M458)/3</f>
        <v>13.333333333333334</v>
      </c>
      <c r="BS458">
        <f>BQ458/BR458</f>
        <v>1.03125</v>
      </c>
      <c r="BT458">
        <f>AQ458/I458</f>
        <v>90</v>
      </c>
      <c r="BU458" t="str">
        <f>IF(OR(A458=2, A458=12), "Central", IF(A458=3, "Semi-Central", "Periférica"))</f>
        <v>Semi-Central</v>
      </c>
    </row>
    <row r="459" spans="1:73" x14ac:dyDescent="0.3">
      <c r="A459" s="1">
        <v>3</v>
      </c>
      <c r="B459" s="1">
        <v>386</v>
      </c>
      <c r="C459" s="1" t="s">
        <v>288</v>
      </c>
      <c r="D459" t="s">
        <v>1</v>
      </c>
      <c r="E459" t="s">
        <v>0</v>
      </c>
      <c r="F459">
        <v>0</v>
      </c>
      <c r="G459">
        <v>0.44444444444444442</v>
      </c>
      <c r="H459">
        <v>3</v>
      </c>
      <c r="I459">
        <v>4.666666666666667</v>
      </c>
      <c r="J459">
        <v>4.666666666666667</v>
      </c>
      <c r="K459">
        <v>5</v>
      </c>
      <c r="L459">
        <v>4.666666666666667</v>
      </c>
      <c r="M459">
        <v>4.8</v>
      </c>
      <c r="N459">
        <v>5</v>
      </c>
      <c r="O459">
        <v>5.5</v>
      </c>
      <c r="P459">
        <v>4.666666666666667</v>
      </c>
      <c r="Q459">
        <v>3</v>
      </c>
      <c r="R459">
        <v>0</v>
      </c>
      <c r="S459">
        <v>0</v>
      </c>
      <c r="T459">
        <v>3</v>
      </c>
      <c r="U459">
        <v>4</v>
      </c>
      <c r="V459">
        <v>4</v>
      </c>
      <c r="W459">
        <v>4</v>
      </c>
      <c r="X459">
        <v>4</v>
      </c>
      <c r="Y459">
        <v>3.2</v>
      </c>
      <c r="Z459">
        <v>2.5</v>
      </c>
      <c r="AA459">
        <v>0</v>
      </c>
      <c r="AB459">
        <v>0</v>
      </c>
      <c r="AC459">
        <v>2.5</v>
      </c>
      <c r="AD459">
        <v>3.0909090909090908</v>
      </c>
      <c r="AE459">
        <v>3</v>
      </c>
      <c r="AF459">
        <v>3</v>
      </c>
      <c r="AG459">
        <v>3</v>
      </c>
      <c r="AH459">
        <v>2.5</v>
      </c>
      <c r="AI459" s="1">
        <v>3</v>
      </c>
      <c r="AJ459" s="1">
        <v>386</v>
      </c>
      <c r="AK459" s="1" t="s">
        <v>288</v>
      </c>
      <c r="AL459" t="s">
        <v>1</v>
      </c>
      <c r="AM459" t="s">
        <v>0</v>
      </c>
      <c r="AN459">
        <v>0</v>
      </c>
      <c r="AO459">
        <v>20.444444444444443</v>
      </c>
      <c r="AP459">
        <v>279</v>
      </c>
      <c r="AQ459">
        <v>434</v>
      </c>
      <c r="AR459">
        <v>434</v>
      </c>
      <c r="AS459">
        <v>465</v>
      </c>
      <c r="AT459">
        <v>434</v>
      </c>
      <c r="AU459">
        <v>446.4</v>
      </c>
      <c r="AV459">
        <v>465</v>
      </c>
      <c r="AW459">
        <v>511.5</v>
      </c>
      <c r="AX459">
        <v>434</v>
      </c>
      <c r="AY459">
        <v>279</v>
      </c>
      <c r="AZ459">
        <v>0</v>
      </c>
      <c r="BA459">
        <v>0</v>
      </c>
      <c r="BB459">
        <v>279</v>
      </c>
      <c r="BC459">
        <v>372</v>
      </c>
      <c r="BD459">
        <v>372</v>
      </c>
      <c r="BE459">
        <v>372</v>
      </c>
      <c r="BF459">
        <v>372</v>
      </c>
      <c r="BG459">
        <v>297.60000000000002</v>
      </c>
      <c r="BH459">
        <v>232.5</v>
      </c>
      <c r="BI459">
        <v>0</v>
      </c>
      <c r="BJ459">
        <v>0</v>
      </c>
      <c r="BK459">
        <v>232.5</v>
      </c>
      <c r="BL459">
        <v>287.45454545454544</v>
      </c>
      <c r="BM459">
        <v>279</v>
      </c>
      <c r="BN459">
        <v>279</v>
      </c>
      <c r="BO459">
        <v>279</v>
      </c>
      <c r="BP459">
        <v>232.5</v>
      </c>
      <c r="BQ459">
        <f>(I459+J459+N459+O459)/4</f>
        <v>4.9583333333333339</v>
      </c>
      <c r="BR459">
        <f>(K459+L459+M459)/3</f>
        <v>4.8222222222222229</v>
      </c>
      <c r="BS459">
        <f>BQ459/BR459</f>
        <v>1.028225806451613</v>
      </c>
      <c r="BT459">
        <f>AQ459/I459</f>
        <v>93</v>
      </c>
      <c r="BU459" t="str">
        <f>IF(OR(A459=2, A459=12), "Central", IF(A459=3, "Semi-Central", "Periférica"))</f>
        <v>Semi-Central</v>
      </c>
    </row>
    <row r="460" spans="1:73" x14ac:dyDescent="0.3">
      <c r="A460" s="1">
        <v>15</v>
      </c>
      <c r="B460" s="1" t="s">
        <v>50</v>
      </c>
      <c r="C460" s="1" t="s">
        <v>48</v>
      </c>
      <c r="D460" t="s">
        <v>5</v>
      </c>
      <c r="E460" t="s">
        <v>0</v>
      </c>
      <c r="F460">
        <v>0</v>
      </c>
      <c r="G460">
        <v>0.44444444444444442</v>
      </c>
      <c r="H460">
        <v>5</v>
      </c>
      <c r="I460">
        <v>4</v>
      </c>
      <c r="J460">
        <v>2.666666666666667</v>
      </c>
      <c r="K460">
        <v>2.333333333333333</v>
      </c>
      <c r="L460">
        <v>4</v>
      </c>
      <c r="M460">
        <v>4</v>
      </c>
      <c r="N460">
        <v>4</v>
      </c>
      <c r="O460">
        <v>3.5</v>
      </c>
      <c r="P460">
        <v>2.666666666666667</v>
      </c>
      <c r="Q460">
        <v>2</v>
      </c>
      <c r="R460">
        <v>0</v>
      </c>
      <c r="S460">
        <v>0.22222222222222221</v>
      </c>
      <c r="T460">
        <v>2</v>
      </c>
      <c r="U460">
        <v>2</v>
      </c>
      <c r="V460">
        <v>2.666666666666667</v>
      </c>
      <c r="W460">
        <v>3</v>
      </c>
      <c r="X460">
        <v>2.8888888888888888</v>
      </c>
      <c r="Y460">
        <v>2.8</v>
      </c>
      <c r="Z460">
        <v>2</v>
      </c>
      <c r="AA460">
        <v>0</v>
      </c>
      <c r="AB460">
        <v>0.22222222222222221</v>
      </c>
      <c r="AC460">
        <v>2</v>
      </c>
      <c r="AD460">
        <v>2</v>
      </c>
      <c r="AE460">
        <v>2.2000000000000002</v>
      </c>
      <c r="AF460">
        <v>3</v>
      </c>
      <c r="AG460">
        <v>2</v>
      </c>
      <c r="AH460">
        <v>2</v>
      </c>
      <c r="AI460" s="1">
        <v>15</v>
      </c>
      <c r="AJ460" s="1" t="s">
        <v>50</v>
      </c>
      <c r="AK460" s="1" t="s">
        <v>48</v>
      </c>
      <c r="AL460" t="s">
        <v>5</v>
      </c>
      <c r="AM460" t="s">
        <v>0</v>
      </c>
      <c r="AN460">
        <v>0</v>
      </c>
      <c r="AO460">
        <v>40</v>
      </c>
      <c r="AP460">
        <v>450</v>
      </c>
      <c r="AQ460">
        <v>360</v>
      </c>
      <c r="AR460">
        <v>240</v>
      </c>
      <c r="AS460">
        <v>210</v>
      </c>
      <c r="AT460">
        <v>360</v>
      </c>
      <c r="AU460">
        <v>360</v>
      </c>
      <c r="AV460">
        <v>360</v>
      </c>
      <c r="AW460">
        <v>315</v>
      </c>
      <c r="AX460">
        <v>240</v>
      </c>
      <c r="AY460">
        <v>180</v>
      </c>
      <c r="AZ460">
        <v>0</v>
      </c>
      <c r="BA460">
        <v>20</v>
      </c>
      <c r="BB460">
        <v>180</v>
      </c>
      <c r="BC460">
        <v>180</v>
      </c>
      <c r="BD460">
        <v>240</v>
      </c>
      <c r="BE460">
        <v>270</v>
      </c>
      <c r="BF460">
        <v>260</v>
      </c>
      <c r="BG460">
        <v>252</v>
      </c>
      <c r="BH460">
        <v>180</v>
      </c>
      <c r="BI460">
        <v>0</v>
      </c>
      <c r="BJ460">
        <v>20</v>
      </c>
      <c r="BK460">
        <v>180</v>
      </c>
      <c r="BL460">
        <v>180</v>
      </c>
      <c r="BM460">
        <v>198</v>
      </c>
      <c r="BN460">
        <v>270</v>
      </c>
      <c r="BO460">
        <v>180</v>
      </c>
      <c r="BP460">
        <v>180</v>
      </c>
      <c r="BQ460">
        <f>(I460+J460+N460+O460)/4</f>
        <v>3.541666666666667</v>
      </c>
      <c r="BR460">
        <f>(K460+L460+M460)/3</f>
        <v>3.4444444444444442</v>
      </c>
      <c r="BS460">
        <f>BQ460/BR460</f>
        <v>1.028225806451613</v>
      </c>
      <c r="BT460">
        <f>AQ460/I460</f>
        <v>90</v>
      </c>
      <c r="BU460" t="str">
        <f>IF(OR(A460=2, A460=12), "Central", IF(A460=3, "Semi-Central", "Periférica"))</f>
        <v>Periférica</v>
      </c>
    </row>
    <row r="461" spans="1:73" x14ac:dyDescent="0.3">
      <c r="A461" s="1">
        <v>4</v>
      </c>
      <c r="B461" s="1">
        <v>474</v>
      </c>
      <c r="C461" s="1" t="s">
        <v>287</v>
      </c>
      <c r="D461" t="s">
        <v>5</v>
      </c>
      <c r="E461" t="s">
        <v>0</v>
      </c>
      <c r="F461">
        <v>2</v>
      </c>
      <c r="G461">
        <v>0</v>
      </c>
      <c r="H461">
        <v>6</v>
      </c>
      <c r="I461">
        <v>6.666666666666667</v>
      </c>
      <c r="J461">
        <v>6</v>
      </c>
      <c r="K461">
        <v>6</v>
      </c>
      <c r="L461">
        <v>6</v>
      </c>
      <c r="M461">
        <v>6</v>
      </c>
      <c r="N461">
        <v>6</v>
      </c>
      <c r="O461">
        <v>6</v>
      </c>
      <c r="P461">
        <v>5.333333333333333</v>
      </c>
      <c r="Q461">
        <v>4</v>
      </c>
      <c r="R461">
        <v>2</v>
      </c>
      <c r="S461">
        <v>0</v>
      </c>
      <c r="T461">
        <v>3</v>
      </c>
      <c r="U461">
        <v>5.2</v>
      </c>
      <c r="V461">
        <v>5.333333333333333</v>
      </c>
      <c r="W461">
        <v>5</v>
      </c>
      <c r="X461">
        <v>4.8888888888888893</v>
      </c>
      <c r="Y461">
        <v>4.4000000000000004</v>
      </c>
      <c r="Z461">
        <v>3.5</v>
      </c>
      <c r="AA461">
        <v>2</v>
      </c>
      <c r="AB461">
        <v>0</v>
      </c>
      <c r="AC461">
        <v>4</v>
      </c>
      <c r="AD461">
        <v>5.0909090909090908</v>
      </c>
      <c r="AE461">
        <v>5</v>
      </c>
      <c r="AF461">
        <v>4.666666666666667</v>
      </c>
      <c r="AG461">
        <v>4</v>
      </c>
      <c r="AH461">
        <v>3.5</v>
      </c>
      <c r="AI461" s="1">
        <v>4</v>
      </c>
      <c r="AJ461" s="1">
        <v>474</v>
      </c>
      <c r="AK461" s="1" t="s">
        <v>287</v>
      </c>
      <c r="AL461" t="s">
        <v>5</v>
      </c>
      <c r="AM461" t="s">
        <v>0</v>
      </c>
      <c r="AN461">
        <v>182</v>
      </c>
      <c r="AO461">
        <v>0</v>
      </c>
      <c r="AP461">
        <v>546</v>
      </c>
      <c r="AQ461">
        <v>606.66666666666663</v>
      </c>
      <c r="AR461">
        <v>546</v>
      </c>
      <c r="AS461">
        <v>546</v>
      </c>
      <c r="AT461">
        <v>546</v>
      </c>
      <c r="AU461">
        <v>546</v>
      </c>
      <c r="AV461">
        <v>546</v>
      </c>
      <c r="AW461">
        <v>546</v>
      </c>
      <c r="AX461">
        <v>485.33333333333331</v>
      </c>
      <c r="AY461">
        <v>364</v>
      </c>
      <c r="AZ461">
        <v>182</v>
      </c>
      <c r="BA461">
        <v>0</v>
      </c>
      <c r="BB461">
        <v>273</v>
      </c>
      <c r="BC461">
        <v>473.2</v>
      </c>
      <c r="BD461">
        <v>485.33333333333331</v>
      </c>
      <c r="BE461">
        <v>455</v>
      </c>
      <c r="BF461">
        <v>444.88888888888891</v>
      </c>
      <c r="BG461">
        <v>400.4</v>
      </c>
      <c r="BH461">
        <v>318.5</v>
      </c>
      <c r="BI461">
        <v>182</v>
      </c>
      <c r="BJ461">
        <v>0</v>
      </c>
      <c r="BK461">
        <v>364</v>
      </c>
      <c r="BL461">
        <v>463.27272727272725</v>
      </c>
      <c r="BM461">
        <v>455</v>
      </c>
      <c r="BN461">
        <v>424.66666666666669</v>
      </c>
      <c r="BO461">
        <v>364</v>
      </c>
      <c r="BP461">
        <v>318.5</v>
      </c>
      <c r="BQ461">
        <f>(I461+J461+N461+O461)/4</f>
        <v>6.166666666666667</v>
      </c>
      <c r="BR461">
        <f>(K461+L461+M461)/3</f>
        <v>6</v>
      </c>
      <c r="BS461">
        <f>BQ461/BR461</f>
        <v>1.0277777777777779</v>
      </c>
      <c r="BT461">
        <f>AQ461/I461</f>
        <v>90.999999999999986</v>
      </c>
      <c r="BU461" t="str">
        <f>IF(OR(A461=2, A461=12), "Central", IF(A461=3, "Semi-Central", "Periférica"))</f>
        <v>Periférica</v>
      </c>
    </row>
    <row r="462" spans="1:73" x14ac:dyDescent="0.3">
      <c r="A462" s="1">
        <v>4</v>
      </c>
      <c r="B462" s="1">
        <v>474</v>
      </c>
      <c r="C462" s="1" t="s">
        <v>287</v>
      </c>
      <c r="D462" t="s">
        <v>1</v>
      </c>
      <c r="E462" t="s">
        <v>0</v>
      </c>
      <c r="F462">
        <v>2</v>
      </c>
      <c r="G462">
        <v>0</v>
      </c>
      <c r="H462">
        <v>6</v>
      </c>
      <c r="I462">
        <v>6.666666666666667</v>
      </c>
      <c r="J462">
        <v>6</v>
      </c>
      <c r="K462">
        <v>6</v>
      </c>
      <c r="L462">
        <v>6</v>
      </c>
      <c r="M462">
        <v>6</v>
      </c>
      <c r="N462">
        <v>6</v>
      </c>
      <c r="O462">
        <v>6</v>
      </c>
      <c r="P462">
        <v>5.333333333333333</v>
      </c>
      <c r="Q462">
        <v>4</v>
      </c>
      <c r="R462">
        <v>2</v>
      </c>
      <c r="S462">
        <v>0</v>
      </c>
      <c r="T462">
        <v>3</v>
      </c>
      <c r="U462">
        <v>5.2</v>
      </c>
      <c r="V462">
        <v>5.333333333333333</v>
      </c>
      <c r="W462">
        <v>5</v>
      </c>
      <c r="X462">
        <v>4.8888888888888893</v>
      </c>
      <c r="Y462">
        <v>4.4000000000000004</v>
      </c>
      <c r="Z462">
        <v>3.5</v>
      </c>
      <c r="AA462">
        <v>2</v>
      </c>
      <c r="AB462">
        <v>0</v>
      </c>
      <c r="AC462">
        <v>4</v>
      </c>
      <c r="AD462">
        <v>5.0909090909090908</v>
      </c>
      <c r="AE462">
        <v>5</v>
      </c>
      <c r="AF462">
        <v>4.666666666666667</v>
      </c>
      <c r="AG462">
        <v>4</v>
      </c>
      <c r="AH462">
        <v>3</v>
      </c>
      <c r="AI462" s="1">
        <v>4</v>
      </c>
      <c r="AJ462" s="1">
        <v>474</v>
      </c>
      <c r="AK462" s="1" t="s">
        <v>287</v>
      </c>
      <c r="AL462" t="s">
        <v>1</v>
      </c>
      <c r="AM462" t="s">
        <v>0</v>
      </c>
      <c r="AN462">
        <v>182</v>
      </c>
      <c r="AO462">
        <v>0</v>
      </c>
      <c r="AP462">
        <v>546</v>
      </c>
      <c r="AQ462">
        <v>606.66666666666663</v>
      </c>
      <c r="AR462">
        <v>546</v>
      </c>
      <c r="AS462">
        <v>546</v>
      </c>
      <c r="AT462">
        <v>546</v>
      </c>
      <c r="AU462">
        <v>546</v>
      </c>
      <c r="AV462">
        <v>546</v>
      </c>
      <c r="AW462">
        <v>546</v>
      </c>
      <c r="AX462">
        <v>485.33333333333331</v>
      </c>
      <c r="AY462">
        <v>364</v>
      </c>
      <c r="AZ462">
        <v>182</v>
      </c>
      <c r="BA462">
        <v>0</v>
      </c>
      <c r="BB462">
        <v>273</v>
      </c>
      <c r="BC462">
        <v>473.2</v>
      </c>
      <c r="BD462">
        <v>485.33333333333331</v>
      </c>
      <c r="BE462">
        <v>455</v>
      </c>
      <c r="BF462">
        <v>444.88888888888891</v>
      </c>
      <c r="BG462">
        <v>400.4</v>
      </c>
      <c r="BH462">
        <v>318.5</v>
      </c>
      <c r="BI462">
        <v>182</v>
      </c>
      <c r="BJ462">
        <v>0</v>
      </c>
      <c r="BK462">
        <v>364</v>
      </c>
      <c r="BL462">
        <v>463.27272727272725</v>
      </c>
      <c r="BM462">
        <v>455</v>
      </c>
      <c r="BN462">
        <v>424.66666666666669</v>
      </c>
      <c r="BO462">
        <v>364</v>
      </c>
      <c r="BP462">
        <v>273</v>
      </c>
      <c r="BQ462">
        <f>(I462+J462+N462+O462)/4</f>
        <v>6.166666666666667</v>
      </c>
      <c r="BR462">
        <f>(K462+L462+M462)/3</f>
        <v>6</v>
      </c>
      <c r="BS462">
        <f>BQ462/BR462</f>
        <v>1.0277777777777779</v>
      </c>
      <c r="BT462">
        <f>AQ462/I462</f>
        <v>90.999999999999986</v>
      </c>
      <c r="BU462" t="str">
        <f>IF(OR(A462=2, A462=12), "Central", IF(A462=3, "Semi-Central", "Periférica"))</f>
        <v>Periférica</v>
      </c>
    </row>
    <row r="463" spans="1:73" x14ac:dyDescent="0.3">
      <c r="A463" s="1">
        <v>4</v>
      </c>
      <c r="B463" s="1">
        <v>482</v>
      </c>
      <c r="C463" s="1" t="s">
        <v>208</v>
      </c>
      <c r="D463" t="s">
        <v>5</v>
      </c>
      <c r="F463">
        <v>0</v>
      </c>
      <c r="G463">
        <v>0</v>
      </c>
      <c r="H463">
        <v>5</v>
      </c>
      <c r="I463">
        <v>6.666666666666667</v>
      </c>
      <c r="J463">
        <v>6</v>
      </c>
      <c r="K463">
        <v>6</v>
      </c>
      <c r="L463">
        <v>6</v>
      </c>
      <c r="M463">
        <v>6</v>
      </c>
      <c r="N463">
        <v>6</v>
      </c>
      <c r="O463">
        <v>6</v>
      </c>
      <c r="P463">
        <v>4.666666666666667</v>
      </c>
      <c r="Q463">
        <v>2</v>
      </c>
      <c r="R463">
        <v>0</v>
      </c>
      <c r="S463">
        <v>0</v>
      </c>
      <c r="T463">
        <v>3</v>
      </c>
      <c r="U463">
        <v>4.8</v>
      </c>
      <c r="V463">
        <v>5</v>
      </c>
      <c r="W463">
        <v>4.333333333333333</v>
      </c>
      <c r="X463">
        <v>4</v>
      </c>
      <c r="Y463">
        <v>4</v>
      </c>
      <c r="Z463">
        <v>1.5</v>
      </c>
      <c r="AA463">
        <v>0</v>
      </c>
      <c r="AB463">
        <v>0</v>
      </c>
      <c r="AC463">
        <v>3</v>
      </c>
      <c r="AD463">
        <v>4</v>
      </c>
      <c r="AE463">
        <v>4</v>
      </c>
      <c r="AF463">
        <v>3</v>
      </c>
      <c r="AG463">
        <v>3</v>
      </c>
      <c r="AH463">
        <v>1.5</v>
      </c>
      <c r="AI463" s="1">
        <v>4</v>
      </c>
      <c r="AJ463" s="1">
        <v>482</v>
      </c>
      <c r="AK463" s="1" t="s">
        <v>208</v>
      </c>
      <c r="AL463" t="s">
        <v>5</v>
      </c>
      <c r="AN463">
        <v>0</v>
      </c>
      <c r="AO463">
        <v>0</v>
      </c>
      <c r="AP463">
        <v>300</v>
      </c>
      <c r="AQ463">
        <v>400</v>
      </c>
      <c r="AR463">
        <v>360</v>
      </c>
      <c r="AS463">
        <v>360</v>
      </c>
      <c r="AT463">
        <v>360</v>
      </c>
      <c r="AU463">
        <v>360</v>
      </c>
      <c r="AV463">
        <v>360</v>
      </c>
      <c r="AW463">
        <v>360</v>
      </c>
      <c r="AX463">
        <v>280</v>
      </c>
      <c r="AY463">
        <v>120</v>
      </c>
      <c r="AZ463">
        <v>0</v>
      </c>
      <c r="BA463">
        <v>0</v>
      </c>
      <c r="BB463">
        <v>180</v>
      </c>
      <c r="BC463">
        <v>288</v>
      </c>
      <c r="BD463">
        <v>300</v>
      </c>
      <c r="BE463">
        <v>260</v>
      </c>
      <c r="BF463">
        <v>240</v>
      </c>
      <c r="BG463">
        <v>240</v>
      </c>
      <c r="BH463">
        <v>90</v>
      </c>
      <c r="BI463">
        <v>0</v>
      </c>
      <c r="BJ463">
        <v>0</v>
      </c>
      <c r="BK463">
        <v>180</v>
      </c>
      <c r="BL463">
        <v>240</v>
      </c>
      <c r="BM463">
        <v>240</v>
      </c>
      <c r="BN463">
        <v>180</v>
      </c>
      <c r="BO463">
        <v>180</v>
      </c>
      <c r="BP463">
        <v>90</v>
      </c>
      <c r="BQ463">
        <f>(I463+J463+N463+O463)/4</f>
        <v>6.166666666666667</v>
      </c>
      <c r="BR463">
        <f>(K463+L463+M463)/3</f>
        <v>6</v>
      </c>
      <c r="BS463">
        <f>BQ463/BR463</f>
        <v>1.0277777777777779</v>
      </c>
      <c r="BT463">
        <f>AQ463/I463</f>
        <v>60</v>
      </c>
      <c r="BU463" t="str">
        <f>IF(OR(A463=2, A463=12), "Central", IF(A463=3, "Semi-Central", "Periférica"))</f>
        <v>Periférica</v>
      </c>
    </row>
    <row r="464" spans="1:73" x14ac:dyDescent="0.3">
      <c r="A464" s="1">
        <v>12</v>
      </c>
      <c r="B464" s="1">
        <v>1223</v>
      </c>
      <c r="C464" s="1">
        <v>103</v>
      </c>
      <c r="D464" t="s">
        <v>1</v>
      </c>
      <c r="E464" t="s">
        <v>0</v>
      </c>
      <c r="F464">
        <v>2</v>
      </c>
      <c r="G464">
        <v>0.66666666666666663</v>
      </c>
      <c r="H464">
        <v>6</v>
      </c>
      <c r="I464">
        <v>6.666666666666667</v>
      </c>
      <c r="J464">
        <v>6</v>
      </c>
      <c r="K464">
        <v>5.666666666666667</v>
      </c>
      <c r="L464">
        <v>6</v>
      </c>
      <c r="M464">
        <v>6</v>
      </c>
      <c r="N464">
        <v>6</v>
      </c>
      <c r="O464">
        <v>5.5</v>
      </c>
      <c r="P464">
        <v>4.666666666666667</v>
      </c>
      <c r="Q464">
        <v>3</v>
      </c>
      <c r="R464">
        <v>2</v>
      </c>
      <c r="S464">
        <v>0.44444444444444442</v>
      </c>
      <c r="T464">
        <v>4</v>
      </c>
      <c r="U464">
        <v>5.2</v>
      </c>
      <c r="V464">
        <v>5</v>
      </c>
      <c r="W464">
        <v>5</v>
      </c>
      <c r="X464">
        <v>4.8888888888888893</v>
      </c>
      <c r="Y464">
        <v>3.6</v>
      </c>
      <c r="Z464">
        <v>2.5</v>
      </c>
      <c r="AA464">
        <v>2</v>
      </c>
      <c r="AB464">
        <v>0.44444444444444442</v>
      </c>
      <c r="AC464">
        <v>3</v>
      </c>
      <c r="AD464">
        <v>3.6363636363636358</v>
      </c>
      <c r="AE464">
        <v>4.8</v>
      </c>
      <c r="AF464">
        <v>4</v>
      </c>
      <c r="AG464">
        <v>2</v>
      </c>
      <c r="AH464">
        <v>2</v>
      </c>
      <c r="AI464" s="1">
        <v>12</v>
      </c>
      <c r="AJ464" s="1">
        <v>1223</v>
      </c>
      <c r="AK464" s="1">
        <v>103</v>
      </c>
      <c r="AL464" t="s">
        <v>1</v>
      </c>
      <c r="AM464" t="s">
        <v>0</v>
      </c>
      <c r="AN464">
        <v>180</v>
      </c>
      <c r="AO464">
        <v>60</v>
      </c>
      <c r="AP464">
        <v>540</v>
      </c>
      <c r="AQ464">
        <v>600</v>
      </c>
      <c r="AR464">
        <v>540</v>
      </c>
      <c r="AS464">
        <v>510</v>
      </c>
      <c r="AT464">
        <v>540</v>
      </c>
      <c r="AU464">
        <v>540</v>
      </c>
      <c r="AV464">
        <v>540</v>
      </c>
      <c r="AW464">
        <v>495</v>
      </c>
      <c r="AX464">
        <v>420</v>
      </c>
      <c r="AY464">
        <v>270</v>
      </c>
      <c r="AZ464">
        <v>180</v>
      </c>
      <c r="BA464">
        <v>40</v>
      </c>
      <c r="BB464">
        <v>360</v>
      </c>
      <c r="BC464">
        <v>468</v>
      </c>
      <c r="BD464">
        <v>450</v>
      </c>
      <c r="BE464">
        <v>450</v>
      </c>
      <c r="BF464">
        <v>440</v>
      </c>
      <c r="BG464">
        <v>324</v>
      </c>
      <c r="BH464">
        <v>225</v>
      </c>
      <c r="BI464">
        <v>180</v>
      </c>
      <c r="BJ464">
        <v>40</v>
      </c>
      <c r="BK464">
        <v>270</v>
      </c>
      <c r="BL464">
        <v>327.27272727272731</v>
      </c>
      <c r="BM464">
        <v>432</v>
      </c>
      <c r="BN464">
        <v>360</v>
      </c>
      <c r="BO464">
        <v>180</v>
      </c>
      <c r="BP464">
        <v>180</v>
      </c>
      <c r="BQ464">
        <f>(I464+J464+N464+O464)/4</f>
        <v>6.041666666666667</v>
      </c>
      <c r="BR464">
        <f>(K464+L464+M464)/3</f>
        <v>5.8888888888888893</v>
      </c>
      <c r="BS464">
        <f>BQ464/BR464</f>
        <v>1.0259433962264151</v>
      </c>
      <c r="BT464">
        <f>AQ464/I464</f>
        <v>90</v>
      </c>
      <c r="BU464" t="str">
        <f>IF(OR(A464=2, A464=12), "Central", IF(A464=3, "Semi-Central", "Periférica"))</f>
        <v>Central</v>
      </c>
    </row>
    <row r="465" spans="1:73" x14ac:dyDescent="0.3">
      <c r="A465" s="1">
        <v>5</v>
      </c>
      <c r="B465" s="1">
        <v>509</v>
      </c>
      <c r="C465" s="1">
        <v>509</v>
      </c>
      <c r="D465" t="s">
        <v>5</v>
      </c>
      <c r="E465" t="s">
        <v>0</v>
      </c>
      <c r="F465">
        <v>0</v>
      </c>
      <c r="G465">
        <v>0.66666666666666663</v>
      </c>
      <c r="H465">
        <v>7</v>
      </c>
      <c r="I465">
        <v>6</v>
      </c>
      <c r="J465">
        <v>5.333333333333333</v>
      </c>
      <c r="K465">
        <v>4.666666666666667</v>
      </c>
      <c r="L465">
        <v>5.333333333333333</v>
      </c>
      <c r="M465">
        <v>5.6</v>
      </c>
      <c r="N465">
        <v>5.5</v>
      </c>
      <c r="O465">
        <v>4.5</v>
      </c>
      <c r="P465">
        <v>4</v>
      </c>
      <c r="Q465">
        <v>1.5</v>
      </c>
      <c r="R465">
        <v>0</v>
      </c>
      <c r="S465">
        <v>0.22222222222222221</v>
      </c>
      <c r="T465">
        <v>3</v>
      </c>
      <c r="U465">
        <v>4</v>
      </c>
      <c r="V465">
        <v>3.6666666666666665</v>
      </c>
      <c r="W465">
        <v>4</v>
      </c>
      <c r="X465">
        <v>3.5555555555555554</v>
      </c>
      <c r="Y465">
        <v>3.2</v>
      </c>
      <c r="Z465">
        <v>1.5</v>
      </c>
      <c r="AA465">
        <v>0</v>
      </c>
      <c r="AB465">
        <v>0.22222222222222221</v>
      </c>
      <c r="AC465">
        <v>3</v>
      </c>
      <c r="AD465">
        <v>3.0909090909090908</v>
      </c>
      <c r="AE465">
        <v>3</v>
      </c>
      <c r="AF465">
        <v>3</v>
      </c>
      <c r="AG465">
        <v>3</v>
      </c>
      <c r="AH465">
        <v>1.5</v>
      </c>
      <c r="AI465" s="1">
        <v>5</v>
      </c>
      <c r="AJ465" s="1">
        <v>509</v>
      </c>
      <c r="AK465" s="1">
        <v>509</v>
      </c>
      <c r="AL465" t="s">
        <v>5</v>
      </c>
      <c r="AM465" t="s">
        <v>0</v>
      </c>
      <c r="AN465">
        <v>0</v>
      </c>
      <c r="AO465">
        <v>61.333333333333336</v>
      </c>
      <c r="AP465">
        <v>644</v>
      </c>
      <c r="AQ465">
        <v>552</v>
      </c>
      <c r="AR465">
        <v>490.66666666666669</v>
      </c>
      <c r="AS465">
        <v>385.33333333333331</v>
      </c>
      <c r="AT465">
        <v>432</v>
      </c>
      <c r="AU465">
        <v>453.6</v>
      </c>
      <c r="AV465">
        <v>506</v>
      </c>
      <c r="AW465">
        <v>414</v>
      </c>
      <c r="AX465">
        <v>368</v>
      </c>
      <c r="AY465">
        <v>138</v>
      </c>
      <c r="AZ465">
        <v>0</v>
      </c>
      <c r="BA465">
        <v>18</v>
      </c>
      <c r="BB465">
        <v>243</v>
      </c>
      <c r="BC465">
        <v>324</v>
      </c>
      <c r="BD465">
        <v>297</v>
      </c>
      <c r="BE465">
        <v>324</v>
      </c>
      <c r="BF465">
        <v>288</v>
      </c>
      <c r="BG465">
        <v>259.2</v>
      </c>
      <c r="BH465">
        <v>121.5</v>
      </c>
      <c r="BI465">
        <v>0</v>
      </c>
      <c r="BJ465">
        <v>18</v>
      </c>
      <c r="BK465">
        <v>243</v>
      </c>
      <c r="BL465">
        <v>250.36363636363637</v>
      </c>
      <c r="BM465">
        <v>243</v>
      </c>
      <c r="BN465">
        <v>243</v>
      </c>
      <c r="BO465">
        <v>243</v>
      </c>
      <c r="BP465">
        <v>121.5</v>
      </c>
      <c r="BQ465">
        <f>(I465+J465+N465+O465)/4</f>
        <v>5.333333333333333</v>
      </c>
      <c r="BR465">
        <f>(K465+L465+M465)/3</f>
        <v>5.2</v>
      </c>
      <c r="BS465">
        <f>BQ465/BR465</f>
        <v>1.0256410256410255</v>
      </c>
      <c r="BT465">
        <f>AQ465/I465</f>
        <v>92</v>
      </c>
      <c r="BU465" t="str">
        <f>IF(OR(A465=2, A465=12), "Central", IF(A465=3, "Semi-Central", "Periférica"))</f>
        <v>Periférica</v>
      </c>
    </row>
    <row r="466" spans="1:73" x14ac:dyDescent="0.3">
      <c r="A466" s="1">
        <v>9</v>
      </c>
      <c r="B466" s="1">
        <v>925</v>
      </c>
      <c r="C466" s="1" t="s">
        <v>275</v>
      </c>
      <c r="D466" t="s">
        <v>1</v>
      </c>
      <c r="F466">
        <v>0</v>
      </c>
      <c r="G466">
        <v>0.66666666666666663</v>
      </c>
      <c r="H466">
        <v>8</v>
      </c>
      <c r="I466">
        <v>8</v>
      </c>
      <c r="J466">
        <v>8</v>
      </c>
      <c r="K466">
        <v>7</v>
      </c>
      <c r="L466">
        <v>6.666666666666667</v>
      </c>
      <c r="M466">
        <v>7.2</v>
      </c>
      <c r="N466">
        <v>6.5</v>
      </c>
      <c r="O466">
        <v>6</v>
      </c>
      <c r="P466">
        <v>5.333333333333333</v>
      </c>
      <c r="Q466">
        <v>3.5</v>
      </c>
      <c r="R466">
        <v>0</v>
      </c>
      <c r="S466">
        <v>0.66666666666666663</v>
      </c>
      <c r="T466">
        <v>6</v>
      </c>
      <c r="U466">
        <v>5.2</v>
      </c>
      <c r="V466">
        <v>4.666666666666667</v>
      </c>
      <c r="W466">
        <v>5</v>
      </c>
      <c r="X466">
        <v>4.4444444444444446</v>
      </c>
      <c r="Y466">
        <v>4.8</v>
      </c>
      <c r="Z466">
        <v>3</v>
      </c>
      <c r="AA466">
        <v>0</v>
      </c>
      <c r="AB466">
        <v>0.44444444444444442</v>
      </c>
      <c r="AC466">
        <v>4</v>
      </c>
      <c r="AD466">
        <v>4</v>
      </c>
      <c r="AE466">
        <v>4</v>
      </c>
      <c r="AF466">
        <v>4</v>
      </c>
      <c r="AG466">
        <v>4</v>
      </c>
      <c r="AH466">
        <v>2.5</v>
      </c>
      <c r="AI466" s="1">
        <v>9</v>
      </c>
      <c r="AJ466" s="1">
        <v>925</v>
      </c>
      <c r="AK466" s="1" t="s">
        <v>275</v>
      </c>
      <c r="AL466" t="s">
        <v>1</v>
      </c>
      <c r="AN466">
        <v>0</v>
      </c>
      <c r="AO466">
        <v>60</v>
      </c>
      <c r="AP466">
        <v>720</v>
      </c>
      <c r="AQ466">
        <v>720</v>
      </c>
      <c r="AR466">
        <v>720</v>
      </c>
      <c r="AS466">
        <v>630</v>
      </c>
      <c r="AT466">
        <v>600</v>
      </c>
      <c r="AU466">
        <v>648</v>
      </c>
      <c r="AV466">
        <v>585</v>
      </c>
      <c r="AW466">
        <v>540</v>
      </c>
      <c r="AX466">
        <v>480</v>
      </c>
      <c r="AY466">
        <v>315</v>
      </c>
      <c r="AZ466">
        <v>0</v>
      </c>
      <c r="BA466">
        <v>60</v>
      </c>
      <c r="BB466">
        <v>540</v>
      </c>
      <c r="BC466">
        <v>468</v>
      </c>
      <c r="BD466">
        <v>420</v>
      </c>
      <c r="BE466">
        <v>450</v>
      </c>
      <c r="BF466">
        <v>400</v>
      </c>
      <c r="BG466">
        <v>432</v>
      </c>
      <c r="BH466">
        <v>270</v>
      </c>
      <c r="BI466">
        <v>0</v>
      </c>
      <c r="BJ466">
        <v>40</v>
      </c>
      <c r="BK466">
        <v>360</v>
      </c>
      <c r="BL466">
        <v>360</v>
      </c>
      <c r="BM466">
        <v>360</v>
      </c>
      <c r="BN466">
        <v>360</v>
      </c>
      <c r="BO466">
        <v>360</v>
      </c>
      <c r="BP466">
        <v>225</v>
      </c>
      <c r="BQ466">
        <f>(I466+J466+N466+O466)/4</f>
        <v>7.125</v>
      </c>
      <c r="BR466">
        <f>(K466+L466+M466)/3</f>
        <v>6.9555555555555557</v>
      </c>
      <c r="BS466">
        <f>BQ466/BR466</f>
        <v>1.0243610223642172</v>
      </c>
      <c r="BT466">
        <f>AQ466/I466</f>
        <v>90</v>
      </c>
      <c r="BU466" t="str">
        <f>IF(OR(A466=2, A466=12), "Central", IF(A466=3, "Semi-Central", "Periférica"))</f>
        <v>Periférica</v>
      </c>
    </row>
    <row r="467" spans="1:73" x14ac:dyDescent="0.3">
      <c r="A467" s="1">
        <v>10</v>
      </c>
      <c r="B467" s="1">
        <v>1043</v>
      </c>
      <c r="C467" s="1" t="s">
        <v>266</v>
      </c>
      <c r="D467" t="s">
        <v>1</v>
      </c>
      <c r="E467" t="s">
        <v>0</v>
      </c>
      <c r="F467">
        <v>1</v>
      </c>
      <c r="G467">
        <v>1.333333333333333</v>
      </c>
      <c r="H467">
        <v>6</v>
      </c>
      <c r="I467">
        <v>7.333333333333333</v>
      </c>
      <c r="J467">
        <v>6.666666666666667</v>
      </c>
      <c r="K467">
        <v>7</v>
      </c>
      <c r="L467">
        <v>6.666666666666667</v>
      </c>
      <c r="M467">
        <v>7.2</v>
      </c>
      <c r="N467">
        <v>7</v>
      </c>
      <c r="O467">
        <v>7.5</v>
      </c>
      <c r="P467">
        <v>6</v>
      </c>
      <c r="Q467">
        <v>3.5</v>
      </c>
      <c r="R467">
        <v>1</v>
      </c>
      <c r="S467">
        <v>0.66666666666666663</v>
      </c>
      <c r="T467">
        <v>6</v>
      </c>
      <c r="U467">
        <v>6</v>
      </c>
      <c r="V467">
        <v>5.333333333333333</v>
      </c>
      <c r="W467">
        <v>5.333333333333333</v>
      </c>
      <c r="X467">
        <v>4.8888888888888893</v>
      </c>
      <c r="Y467">
        <v>4.4000000000000004</v>
      </c>
      <c r="Z467">
        <v>3.5</v>
      </c>
      <c r="AA467">
        <v>1</v>
      </c>
      <c r="AB467">
        <v>0.44444444444444442</v>
      </c>
      <c r="AC467">
        <v>5</v>
      </c>
      <c r="AD467">
        <v>5.0909090909090908</v>
      </c>
      <c r="AE467">
        <v>4.8</v>
      </c>
      <c r="AF467">
        <v>5</v>
      </c>
      <c r="AG467">
        <v>5</v>
      </c>
      <c r="AH467">
        <v>3.5</v>
      </c>
      <c r="AI467" s="1">
        <v>10</v>
      </c>
      <c r="AJ467" s="1">
        <v>1043</v>
      </c>
      <c r="AK467" s="1" t="s">
        <v>266</v>
      </c>
      <c r="AL467" t="s">
        <v>1</v>
      </c>
      <c r="AM467" t="s">
        <v>0</v>
      </c>
      <c r="AN467">
        <v>90</v>
      </c>
      <c r="AO467">
        <v>120</v>
      </c>
      <c r="AP467">
        <v>540</v>
      </c>
      <c r="AQ467">
        <v>660</v>
      </c>
      <c r="AR467">
        <v>600</v>
      </c>
      <c r="AS467">
        <v>630</v>
      </c>
      <c r="AT467">
        <v>600</v>
      </c>
      <c r="AU467">
        <v>648</v>
      </c>
      <c r="AV467">
        <v>630</v>
      </c>
      <c r="AW467">
        <v>675</v>
      </c>
      <c r="AX467">
        <v>540</v>
      </c>
      <c r="AY467">
        <v>315</v>
      </c>
      <c r="AZ467">
        <v>90</v>
      </c>
      <c r="BA467">
        <v>60</v>
      </c>
      <c r="BB467">
        <v>540</v>
      </c>
      <c r="BC467">
        <v>540</v>
      </c>
      <c r="BD467">
        <v>480</v>
      </c>
      <c r="BE467">
        <v>480</v>
      </c>
      <c r="BF467">
        <v>440</v>
      </c>
      <c r="BG467">
        <v>396</v>
      </c>
      <c r="BH467">
        <v>315</v>
      </c>
      <c r="BI467">
        <v>90</v>
      </c>
      <c r="BJ467">
        <v>40</v>
      </c>
      <c r="BK467">
        <v>450</v>
      </c>
      <c r="BL467">
        <v>458.18181818181819</v>
      </c>
      <c r="BM467">
        <v>432</v>
      </c>
      <c r="BN467">
        <v>450</v>
      </c>
      <c r="BO467">
        <v>450</v>
      </c>
      <c r="BP467">
        <v>315</v>
      </c>
      <c r="BQ467">
        <f>(I467+J467+N467+O467)/4</f>
        <v>7.125</v>
      </c>
      <c r="BR467">
        <f>(K467+L467+M467)/3</f>
        <v>6.9555555555555557</v>
      </c>
      <c r="BS467">
        <f>BQ467/BR467</f>
        <v>1.0243610223642172</v>
      </c>
      <c r="BT467">
        <f>AQ467/I467</f>
        <v>90</v>
      </c>
      <c r="BU467" t="str">
        <f>IF(OR(A467=2, A467=12), "Central", IF(A467=3, "Semi-Central", "Periférica"))</f>
        <v>Periférica</v>
      </c>
    </row>
    <row r="468" spans="1:73" x14ac:dyDescent="0.3">
      <c r="A468" s="1">
        <v>10</v>
      </c>
      <c r="B468" s="1">
        <v>1041</v>
      </c>
      <c r="C468" s="1" t="s">
        <v>132</v>
      </c>
      <c r="D468" t="s">
        <v>5</v>
      </c>
      <c r="E468" t="s">
        <v>0</v>
      </c>
      <c r="F468">
        <v>0</v>
      </c>
      <c r="G468">
        <v>0.44444444444444442</v>
      </c>
      <c r="H468">
        <v>4</v>
      </c>
      <c r="I468">
        <v>6</v>
      </c>
      <c r="J468">
        <v>4.666666666666667</v>
      </c>
      <c r="K468">
        <v>5</v>
      </c>
      <c r="L468">
        <v>5.333333333333333</v>
      </c>
      <c r="M468">
        <v>4.8</v>
      </c>
      <c r="N468">
        <v>5</v>
      </c>
      <c r="O468">
        <v>5</v>
      </c>
      <c r="P468">
        <v>5.333333333333333</v>
      </c>
      <c r="Q468">
        <v>3.5</v>
      </c>
      <c r="R468">
        <v>0</v>
      </c>
      <c r="S468">
        <v>0.22222222222222221</v>
      </c>
      <c r="T468">
        <v>3</v>
      </c>
      <c r="U468">
        <v>3.2</v>
      </c>
      <c r="V468">
        <v>4</v>
      </c>
      <c r="W468">
        <v>4</v>
      </c>
      <c r="X468">
        <v>3.5555555555555549</v>
      </c>
      <c r="Y468">
        <v>2.4</v>
      </c>
      <c r="Z468">
        <v>2</v>
      </c>
      <c r="AA468">
        <v>0</v>
      </c>
      <c r="AB468">
        <v>0.22222222222222221</v>
      </c>
      <c r="AC468">
        <v>2</v>
      </c>
      <c r="AD468">
        <v>3.0909090909090908</v>
      </c>
      <c r="AE468">
        <v>3.8</v>
      </c>
      <c r="AF468">
        <v>2.666666666666667</v>
      </c>
      <c r="AG468">
        <v>2</v>
      </c>
      <c r="AH468">
        <v>2</v>
      </c>
      <c r="AI468" s="1">
        <v>10</v>
      </c>
      <c r="AJ468" s="1">
        <v>1041</v>
      </c>
      <c r="AK468" s="1" t="s">
        <v>132</v>
      </c>
      <c r="AL468" t="s">
        <v>5</v>
      </c>
      <c r="AM468" t="s">
        <v>0</v>
      </c>
      <c r="AN468">
        <v>0</v>
      </c>
      <c r="AO468">
        <v>26.666666666666671</v>
      </c>
      <c r="AP468">
        <v>240</v>
      </c>
      <c r="AQ468">
        <v>360</v>
      </c>
      <c r="AR468">
        <v>280</v>
      </c>
      <c r="AS468">
        <v>300</v>
      </c>
      <c r="AT468">
        <v>320</v>
      </c>
      <c r="AU468">
        <v>288</v>
      </c>
      <c r="AV468">
        <v>300</v>
      </c>
      <c r="AW468">
        <v>300</v>
      </c>
      <c r="AX468">
        <v>320</v>
      </c>
      <c r="AY468">
        <v>210</v>
      </c>
      <c r="AZ468">
        <v>0</v>
      </c>
      <c r="BA468">
        <v>13.33333333333333</v>
      </c>
      <c r="BB468">
        <v>180</v>
      </c>
      <c r="BC468">
        <v>192</v>
      </c>
      <c r="BD468">
        <v>240</v>
      </c>
      <c r="BE468">
        <v>240</v>
      </c>
      <c r="BF468">
        <v>213.33333333333329</v>
      </c>
      <c r="BG468">
        <v>144</v>
      </c>
      <c r="BH468">
        <v>120</v>
      </c>
      <c r="BI468">
        <v>0</v>
      </c>
      <c r="BJ468">
        <v>13.33333333333333</v>
      </c>
      <c r="BK468">
        <v>120</v>
      </c>
      <c r="BL468">
        <v>185.4545454545455</v>
      </c>
      <c r="BM468">
        <v>228</v>
      </c>
      <c r="BN468">
        <v>160</v>
      </c>
      <c r="BO468">
        <v>120</v>
      </c>
      <c r="BP468">
        <v>120</v>
      </c>
      <c r="BQ468">
        <f>(I468+J468+N468+O468)/4</f>
        <v>5.166666666666667</v>
      </c>
      <c r="BR468">
        <f>(K468+L468+M468)/3</f>
        <v>5.0444444444444443</v>
      </c>
      <c r="BS468">
        <f>BQ468/BR468</f>
        <v>1.0242290748898679</v>
      </c>
      <c r="BT468">
        <f>AQ468/I468</f>
        <v>60</v>
      </c>
      <c r="BU468" t="str">
        <f>IF(OR(A468=2, A468=12), "Central", IF(A468=3, "Semi-Central", "Periférica"))</f>
        <v>Periférica</v>
      </c>
    </row>
    <row r="469" spans="1:73" x14ac:dyDescent="0.3">
      <c r="A469" s="1">
        <v>10</v>
      </c>
      <c r="B469" s="1">
        <v>1046</v>
      </c>
      <c r="C469" s="1" t="s">
        <v>268</v>
      </c>
      <c r="D469" t="s">
        <v>5</v>
      </c>
      <c r="E469" t="s">
        <v>0</v>
      </c>
      <c r="F469">
        <v>0</v>
      </c>
      <c r="G469">
        <v>0.66666666666666663</v>
      </c>
      <c r="H469">
        <v>5</v>
      </c>
      <c r="I469">
        <v>6</v>
      </c>
      <c r="J469">
        <v>4.666666666666667</v>
      </c>
      <c r="K469">
        <v>5</v>
      </c>
      <c r="L469">
        <v>5.333333333333333</v>
      </c>
      <c r="M469">
        <v>4.8</v>
      </c>
      <c r="N469">
        <v>5</v>
      </c>
      <c r="O469">
        <v>5</v>
      </c>
      <c r="P469">
        <v>4.666666666666667</v>
      </c>
      <c r="Q469">
        <v>3.5</v>
      </c>
      <c r="R469">
        <v>0</v>
      </c>
      <c r="S469">
        <v>0.22222222222222221</v>
      </c>
      <c r="T469">
        <v>3</v>
      </c>
      <c r="U469">
        <v>4</v>
      </c>
      <c r="V469">
        <v>4</v>
      </c>
      <c r="W469">
        <v>4</v>
      </c>
      <c r="X469">
        <v>3.7777777777777781</v>
      </c>
      <c r="Y469">
        <v>2.8</v>
      </c>
      <c r="Z469">
        <v>2.5</v>
      </c>
      <c r="AA469">
        <v>0</v>
      </c>
      <c r="AB469">
        <v>0.22222222222222221</v>
      </c>
      <c r="AC469">
        <v>2</v>
      </c>
      <c r="AD469">
        <v>3.0909090909090908</v>
      </c>
      <c r="AE469">
        <v>3</v>
      </c>
      <c r="AF469">
        <v>3</v>
      </c>
      <c r="AG469">
        <v>2</v>
      </c>
      <c r="AH469">
        <v>2</v>
      </c>
      <c r="AI469" s="1">
        <v>10</v>
      </c>
      <c r="AJ469" s="1">
        <v>1046</v>
      </c>
      <c r="AK469" s="1" t="s">
        <v>268</v>
      </c>
      <c r="AL469" t="s">
        <v>5</v>
      </c>
      <c r="AM469" t="s">
        <v>0</v>
      </c>
      <c r="AN469">
        <v>0</v>
      </c>
      <c r="AO469">
        <v>40</v>
      </c>
      <c r="AP469">
        <v>300</v>
      </c>
      <c r="AQ469">
        <v>360</v>
      </c>
      <c r="AR469">
        <v>280</v>
      </c>
      <c r="AS469">
        <v>300</v>
      </c>
      <c r="AT469">
        <v>320</v>
      </c>
      <c r="AU469">
        <v>288</v>
      </c>
      <c r="AV469">
        <v>300</v>
      </c>
      <c r="AW469">
        <v>300</v>
      </c>
      <c r="AX469">
        <v>280</v>
      </c>
      <c r="AY469">
        <v>210</v>
      </c>
      <c r="AZ469">
        <v>0</v>
      </c>
      <c r="BA469">
        <v>13.33333333333333</v>
      </c>
      <c r="BB469">
        <v>180</v>
      </c>
      <c r="BC469">
        <v>240</v>
      </c>
      <c r="BD469">
        <v>240</v>
      </c>
      <c r="BE469">
        <v>240</v>
      </c>
      <c r="BF469">
        <v>226.66666666666671</v>
      </c>
      <c r="BG469">
        <v>168</v>
      </c>
      <c r="BH469">
        <v>150</v>
      </c>
      <c r="BI469">
        <v>0</v>
      </c>
      <c r="BJ469">
        <v>13.33333333333333</v>
      </c>
      <c r="BK469">
        <v>120</v>
      </c>
      <c r="BL469">
        <v>185.4545454545455</v>
      </c>
      <c r="BM469">
        <v>180</v>
      </c>
      <c r="BN469">
        <v>180</v>
      </c>
      <c r="BO469">
        <v>120</v>
      </c>
      <c r="BP469">
        <v>120</v>
      </c>
      <c r="BQ469">
        <f>(I469+J469+N469+O469)/4</f>
        <v>5.166666666666667</v>
      </c>
      <c r="BR469">
        <f>(K469+L469+M469)/3</f>
        <v>5.0444444444444443</v>
      </c>
      <c r="BS469">
        <f>BQ469/BR469</f>
        <v>1.0242290748898679</v>
      </c>
      <c r="BT469">
        <f>AQ469/I469</f>
        <v>60</v>
      </c>
      <c r="BU469" t="str">
        <f>IF(OR(A469=2, A469=12), "Central", IF(A469=3, "Semi-Central", "Periférica"))</f>
        <v>Periférica</v>
      </c>
    </row>
    <row r="470" spans="1:73" x14ac:dyDescent="0.3">
      <c r="A470" s="1">
        <v>11</v>
      </c>
      <c r="B470" s="1">
        <v>1122</v>
      </c>
      <c r="C470" s="1" t="s">
        <v>285</v>
      </c>
      <c r="D470" t="s">
        <v>1</v>
      </c>
      <c r="F470">
        <v>0</v>
      </c>
      <c r="G470">
        <v>0.22222222222222221</v>
      </c>
      <c r="H470">
        <v>5</v>
      </c>
      <c r="I470">
        <v>6</v>
      </c>
      <c r="J470">
        <v>4.666666666666667</v>
      </c>
      <c r="K470">
        <v>5</v>
      </c>
      <c r="L470">
        <v>5.333333333333333</v>
      </c>
      <c r="M470">
        <v>4.8</v>
      </c>
      <c r="N470">
        <v>5</v>
      </c>
      <c r="O470">
        <v>5</v>
      </c>
      <c r="P470">
        <v>4</v>
      </c>
      <c r="Q470">
        <v>1.5</v>
      </c>
      <c r="R470">
        <v>0</v>
      </c>
      <c r="S470">
        <v>0.22222222222222221</v>
      </c>
      <c r="T470">
        <v>4</v>
      </c>
      <c r="U470">
        <v>5.2</v>
      </c>
      <c r="V470">
        <v>4.333333333333333</v>
      </c>
      <c r="W470">
        <v>5</v>
      </c>
      <c r="X470">
        <v>4.2222222222222223</v>
      </c>
      <c r="Y470">
        <v>3.2</v>
      </c>
      <c r="Z470">
        <v>1.5</v>
      </c>
      <c r="AA470">
        <v>0</v>
      </c>
      <c r="AB470">
        <v>0.44444444444444442</v>
      </c>
      <c r="AC470">
        <v>3.5</v>
      </c>
      <c r="AD470">
        <v>4.5454545454545459</v>
      </c>
      <c r="AE470">
        <v>4.2</v>
      </c>
      <c r="AF470">
        <v>4</v>
      </c>
      <c r="AG470">
        <v>4</v>
      </c>
      <c r="AH470">
        <v>1.5</v>
      </c>
      <c r="AI470" s="1">
        <v>11</v>
      </c>
      <c r="AJ470" s="1">
        <v>1122</v>
      </c>
      <c r="AK470" s="1" t="s">
        <v>285</v>
      </c>
      <c r="AL470" t="s">
        <v>1</v>
      </c>
      <c r="AN470">
        <v>0</v>
      </c>
      <c r="AO470">
        <v>20</v>
      </c>
      <c r="AP470">
        <v>450</v>
      </c>
      <c r="AQ470">
        <v>540</v>
      </c>
      <c r="AR470">
        <v>420</v>
      </c>
      <c r="AS470">
        <v>450</v>
      </c>
      <c r="AT470">
        <v>480</v>
      </c>
      <c r="AU470">
        <v>432</v>
      </c>
      <c r="AV470">
        <v>450</v>
      </c>
      <c r="AW470">
        <v>450</v>
      </c>
      <c r="AX470">
        <v>360</v>
      </c>
      <c r="AY470">
        <v>135</v>
      </c>
      <c r="AZ470">
        <v>0</v>
      </c>
      <c r="BA470">
        <v>20</v>
      </c>
      <c r="BB470">
        <v>360</v>
      </c>
      <c r="BC470">
        <v>468</v>
      </c>
      <c r="BD470">
        <v>390</v>
      </c>
      <c r="BE470">
        <v>450</v>
      </c>
      <c r="BF470">
        <v>380</v>
      </c>
      <c r="BG470">
        <v>288</v>
      </c>
      <c r="BH470">
        <v>135</v>
      </c>
      <c r="BI470">
        <v>0</v>
      </c>
      <c r="BJ470">
        <v>40</v>
      </c>
      <c r="BK470">
        <v>315</v>
      </c>
      <c r="BL470">
        <v>409.09090909090912</v>
      </c>
      <c r="BM470">
        <v>378</v>
      </c>
      <c r="BN470">
        <v>360</v>
      </c>
      <c r="BO470">
        <v>360</v>
      </c>
      <c r="BP470">
        <v>135</v>
      </c>
      <c r="BQ470">
        <f>(I470+J470+N470+O470)/4</f>
        <v>5.166666666666667</v>
      </c>
      <c r="BR470">
        <f>(K470+L470+M470)/3</f>
        <v>5.0444444444444443</v>
      </c>
      <c r="BS470">
        <f>BQ470/BR470</f>
        <v>1.0242290748898679</v>
      </c>
      <c r="BT470">
        <f>AQ470/I470</f>
        <v>90</v>
      </c>
      <c r="BU470" t="str">
        <f>IF(OR(A470=2, A470=12), "Central", IF(A470=3, "Semi-Central", "Periférica"))</f>
        <v>Periférica</v>
      </c>
    </row>
    <row r="471" spans="1:73" x14ac:dyDescent="0.3">
      <c r="A471" s="1">
        <v>8</v>
      </c>
      <c r="B471" s="1">
        <v>803</v>
      </c>
      <c r="C471" s="1" t="s">
        <v>175</v>
      </c>
      <c r="D471" t="s">
        <v>5</v>
      </c>
      <c r="F471">
        <v>0</v>
      </c>
      <c r="G471">
        <v>0.66666666666666663</v>
      </c>
      <c r="H471">
        <v>7</v>
      </c>
      <c r="I471">
        <v>7.333333333333333</v>
      </c>
      <c r="J471">
        <v>7.333333333333333</v>
      </c>
      <c r="K471">
        <v>7</v>
      </c>
      <c r="L471">
        <v>5.333333333333333</v>
      </c>
      <c r="M471">
        <v>7.2</v>
      </c>
      <c r="N471">
        <v>6</v>
      </c>
      <c r="O471">
        <v>6</v>
      </c>
      <c r="P471">
        <v>4</v>
      </c>
      <c r="Q471">
        <v>2</v>
      </c>
      <c r="R471">
        <v>0</v>
      </c>
      <c r="S471">
        <v>0.22222222222222221</v>
      </c>
      <c r="T471">
        <v>6</v>
      </c>
      <c r="U471">
        <v>6</v>
      </c>
      <c r="V471">
        <v>5.666666666666667</v>
      </c>
      <c r="W471">
        <v>5.666666666666667</v>
      </c>
      <c r="X471">
        <v>4.666666666666667</v>
      </c>
      <c r="Y471">
        <v>2.8</v>
      </c>
      <c r="Z471">
        <v>1.5</v>
      </c>
      <c r="AA471">
        <v>0</v>
      </c>
      <c r="AB471">
        <v>0</v>
      </c>
      <c r="AC471">
        <v>3.5</v>
      </c>
      <c r="AD471">
        <v>4.7272727272727284</v>
      </c>
      <c r="AE471">
        <v>4</v>
      </c>
      <c r="AF471">
        <v>4.333333333333333</v>
      </c>
      <c r="AG471">
        <v>3</v>
      </c>
      <c r="AH471">
        <v>3</v>
      </c>
      <c r="AI471" s="1">
        <v>8</v>
      </c>
      <c r="AJ471" s="1">
        <v>803</v>
      </c>
      <c r="AK471" s="1" t="s">
        <v>175</v>
      </c>
      <c r="AL471" t="s">
        <v>5</v>
      </c>
      <c r="AN471">
        <v>0</v>
      </c>
      <c r="AO471">
        <v>60</v>
      </c>
      <c r="AP471">
        <v>630</v>
      </c>
      <c r="AQ471">
        <v>660</v>
      </c>
      <c r="AR471">
        <v>660</v>
      </c>
      <c r="AS471">
        <v>630</v>
      </c>
      <c r="AT471">
        <v>480</v>
      </c>
      <c r="AU471">
        <v>648</v>
      </c>
      <c r="AV471">
        <v>540</v>
      </c>
      <c r="AW471">
        <v>540</v>
      </c>
      <c r="AX471">
        <v>360</v>
      </c>
      <c r="AY471">
        <v>180</v>
      </c>
      <c r="AZ471">
        <v>0</v>
      </c>
      <c r="BA471">
        <v>20</v>
      </c>
      <c r="BB471">
        <v>540</v>
      </c>
      <c r="BC471">
        <v>540</v>
      </c>
      <c r="BD471">
        <v>510</v>
      </c>
      <c r="BE471">
        <v>510</v>
      </c>
      <c r="BF471">
        <v>420</v>
      </c>
      <c r="BG471">
        <v>252</v>
      </c>
      <c r="BH471">
        <v>135</v>
      </c>
      <c r="BI471">
        <v>0</v>
      </c>
      <c r="BJ471">
        <v>0</v>
      </c>
      <c r="BK471">
        <v>315</v>
      </c>
      <c r="BL471">
        <v>425.45454545454538</v>
      </c>
      <c r="BM471">
        <v>360</v>
      </c>
      <c r="BN471">
        <v>390</v>
      </c>
      <c r="BO471">
        <v>270</v>
      </c>
      <c r="BP471">
        <v>270</v>
      </c>
      <c r="BQ471">
        <f>(I471+J471+N471+O471)/4</f>
        <v>6.6666666666666661</v>
      </c>
      <c r="BR471">
        <f>(K471+L471+M471)/3</f>
        <v>6.5111111111111102</v>
      </c>
      <c r="BS471">
        <f>BQ471/BR471</f>
        <v>1.0238907849829353</v>
      </c>
      <c r="BT471">
        <f>AQ471/I471</f>
        <v>90</v>
      </c>
      <c r="BU471" t="str">
        <f>IF(OR(A471=2, A471=12), "Central", IF(A471=3, "Semi-Central", "Periférica"))</f>
        <v>Periférica</v>
      </c>
    </row>
    <row r="472" spans="1:73" x14ac:dyDescent="0.3">
      <c r="A472" s="1">
        <v>5</v>
      </c>
      <c r="B472" s="1">
        <v>576</v>
      </c>
      <c r="C472" s="1">
        <v>426</v>
      </c>
      <c r="D472" t="s">
        <v>1</v>
      </c>
      <c r="E472" t="s">
        <v>0</v>
      </c>
      <c r="F472">
        <v>3</v>
      </c>
      <c r="G472">
        <v>2</v>
      </c>
      <c r="H472">
        <v>3</v>
      </c>
      <c r="I472">
        <v>7.333333333333333</v>
      </c>
      <c r="J472">
        <v>8.6666666666666661</v>
      </c>
      <c r="K472">
        <v>9.3333333333333339</v>
      </c>
      <c r="L472">
        <v>6</v>
      </c>
      <c r="M472">
        <v>9.6</v>
      </c>
      <c r="N472">
        <v>11</v>
      </c>
      <c r="O472">
        <v>7</v>
      </c>
      <c r="P472">
        <v>5.333333333333333</v>
      </c>
      <c r="Q472">
        <v>4</v>
      </c>
      <c r="R472">
        <v>3</v>
      </c>
      <c r="S472">
        <v>2</v>
      </c>
      <c r="T472">
        <v>3</v>
      </c>
      <c r="U472">
        <v>3.6</v>
      </c>
      <c r="V472">
        <v>3.6666666666666665</v>
      </c>
      <c r="W472">
        <v>4</v>
      </c>
      <c r="X472">
        <v>4</v>
      </c>
      <c r="Y472">
        <v>4</v>
      </c>
      <c r="Z472">
        <v>3</v>
      </c>
      <c r="AA472">
        <v>3</v>
      </c>
      <c r="AB472">
        <v>2</v>
      </c>
      <c r="AC472">
        <v>3</v>
      </c>
      <c r="AD472">
        <v>3.4545454545454546</v>
      </c>
      <c r="AE472">
        <v>3.4</v>
      </c>
      <c r="AF472">
        <v>3.6666666666666665</v>
      </c>
      <c r="AG472">
        <v>4</v>
      </c>
      <c r="AH472">
        <v>2.5</v>
      </c>
      <c r="AI472" s="1">
        <v>5</v>
      </c>
      <c r="AJ472" s="1">
        <v>576</v>
      </c>
      <c r="AK472" s="1">
        <v>426</v>
      </c>
      <c r="AL472" t="s">
        <v>1</v>
      </c>
      <c r="AM472" t="s">
        <v>0</v>
      </c>
      <c r="AN472">
        <v>243</v>
      </c>
      <c r="AO472">
        <v>162</v>
      </c>
      <c r="AP472">
        <v>243</v>
      </c>
      <c r="AQ472">
        <v>594</v>
      </c>
      <c r="AR472">
        <v>702</v>
      </c>
      <c r="AS472">
        <v>756</v>
      </c>
      <c r="AT472">
        <v>486</v>
      </c>
      <c r="AU472">
        <v>777.6</v>
      </c>
      <c r="AV472">
        <v>891</v>
      </c>
      <c r="AW472">
        <v>567</v>
      </c>
      <c r="AX472">
        <v>432</v>
      </c>
      <c r="AY472">
        <v>324</v>
      </c>
      <c r="AZ472">
        <v>243</v>
      </c>
      <c r="BA472">
        <v>162</v>
      </c>
      <c r="BB472">
        <v>243</v>
      </c>
      <c r="BC472">
        <v>291.60000000000002</v>
      </c>
      <c r="BD472">
        <v>297</v>
      </c>
      <c r="BE472">
        <v>324</v>
      </c>
      <c r="BF472">
        <v>324</v>
      </c>
      <c r="BG472">
        <v>324</v>
      </c>
      <c r="BH472">
        <v>243</v>
      </c>
      <c r="BI472">
        <v>243</v>
      </c>
      <c r="BJ472">
        <v>162</v>
      </c>
      <c r="BK472">
        <v>243</v>
      </c>
      <c r="BL472">
        <v>279.81818181818181</v>
      </c>
      <c r="BM472">
        <v>275.39999999999998</v>
      </c>
      <c r="BN472">
        <v>297</v>
      </c>
      <c r="BO472">
        <v>324</v>
      </c>
      <c r="BP472">
        <v>202.5</v>
      </c>
      <c r="BQ472">
        <f>(I472+J472+N472+O472)/4</f>
        <v>8.5</v>
      </c>
      <c r="BR472">
        <f>(K472+L472+M472)/3</f>
        <v>8.3111111111111118</v>
      </c>
      <c r="BS472">
        <f>BQ472/BR472</f>
        <v>1.0227272727272727</v>
      </c>
      <c r="BT472">
        <f>AQ472/I472</f>
        <v>81</v>
      </c>
      <c r="BU472" t="str">
        <f>IF(OR(A472=2, A472=12), "Central", IF(A472=3, "Semi-Central", "Periférica"))</f>
        <v>Periférica</v>
      </c>
    </row>
    <row r="473" spans="1:73" x14ac:dyDescent="0.3">
      <c r="A473" s="1">
        <v>11</v>
      </c>
      <c r="B473" s="1">
        <v>1137</v>
      </c>
      <c r="C473" s="1" t="s">
        <v>107</v>
      </c>
      <c r="D473" t="s">
        <v>1</v>
      </c>
      <c r="F473">
        <v>0</v>
      </c>
      <c r="G473">
        <v>0</v>
      </c>
      <c r="H473">
        <v>0</v>
      </c>
      <c r="I473">
        <v>5.333333333333333</v>
      </c>
      <c r="J473">
        <v>5.333333333333333</v>
      </c>
      <c r="K473">
        <v>5</v>
      </c>
      <c r="L473">
        <v>5.333333333333333</v>
      </c>
      <c r="M473">
        <v>5.2</v>
      </c>
      <c r="N473">
        <v>6</v>
      </c>
      <c r="O473">
        <v>4.5</v>
      </c>
      <c r="P473">
        <v>4</v>
      </c>
      <c r="Q473">
        <v>1</v>
      </c>
      <c r="R473">
        <v>0</v>
      </c>
      <c r="S473">
        <v>0</v>
      </c>
      <c r="T473">
        <v>0</v>
      </c>
      <c r="U473">
        <v>4.8</v>
      </c>
      <c r="V473">
        <v>4.666666666666667</v>
      </c>
      <c r="W473">
        <v>4.333333333333333</v>
      </c>
      <c r="X473">
        <v>4.2222222222222223</v>
      </c>
      <c r="Y473">
        <v>3.2</v>
      </c>
      <c r="Z473">
        <v>1</v>
      </c>
      <c r="AA473">
        <v>0</v>
      </c>
      <c r="AB473">
        <v>0</v>
      </c>
      <c r="AC473">
        <v>1</v>
      </c>
      <c r="AD473">
        <v>2.9090909090909092</v>
      </c>
      <c r="AE473">
        <v>3</v>
      </c>
      <c r="AF473">
        <v>4</v>
      </c>
      <c r="AG473">
        <v>3</v>
      </c>
      <c r="AH473">
        <v>1</v>
      </c>
      <c r="AI473" s="1">
        <v>11</v>
      </c>
      <c r="AJ473" s="1">
        <v>1137</v>
      </c>
      <c r="AK473" s="1" t="s">
        <v>107</v>
      </c>
      <c r="AL473" t="s">
        <v>1</v>
      </c>
      <c r="AN473">
        <v>0</v>
      </c>
      <c r="AO473">
        <v>0</v>
      </c>
      <c r="AP473">
        <v>0</v>
      </c>
      <c r="AQ473">
        <v>320</v>
      </c>
      <c r="AR473">
        <v>320</v>
      </c>
      <c r="AS473">
        <v>300</v>
      </c>
      <c r="AT473">
        <v>320</v>
      </c>
      <c r="AU473">
        <v>312</v>
      </c>
      <c r="AV473">
        <v>360</v>
      </c>
      <c r="AW473">
        <v>270</v>
      </c>
      <c r="AX473">
        <v>240</v>
      </c>
      <c r="AY473">
        <v>60</v>
      </c>
      <c r="AZ473">
        <v>0</v>
      </c>
      <c r="BA473">
        <v>0</v>
      </c>
      <c r="BB473">
        <v>0</v>
      </c>
      <c r="BC473">
        <v>288</v>
      </c>
      <c r="BD473">
        <v>280</v>
      </c>
      <c r="BE473">
        <v>260</v>
      </c>
      <c r="BF473">
        <v>253.33333333333329</v>
      </c>
      <c r="BG473">
        <v>192</v>
      </c>
      <c r="BH473">
        <v>60</v>
      </c>
      <c r="BI473">
        <v>0</v>
      </c>
      <c r="BJ473">
        <v>0</v>
      </c>
      <c r="BK473">
        <v>60</v>
      </c>
      <c r="BL473">
        <v>174.5454545454545</v>
      </c>
      <c r="BM473">
        <v>180</v>
      </c>
      <c r="BN473">
        <v>240</v>
      </c>
      <c r="BO473">
        <v>180</v>
      </c>
      <c r="BP473">
        <v>60</v>
      </c>
      <c r="BQ473">
        <f>(I473+J473+N473+O473)/4</f>
        <v>5.2916666666666661</v>
      </c>
      <c r="BR473">
        <f>(K473+L473+M473)/3</f>
        <v>5.1777777777777771</v>
      </c>
      <c r="BS473">
        <f>BQ473/BR473</f>
        <v>1.0219957081545064</v>
      </c>
      <c r="BT473">
        <f>AQ473/I473</f>
        <v>60</v>
      </c>
      <c r="BU473" t="str">
        <f>IF(OR(A473=2, A473=12), "Central", IF(A473=3, "Semi-Central", "Periférica"))</f>
        <v>Periférica</v>
      </c>
    </row>
    <row r="474" spans="1:73" x14ac:dyDescent="0.3">
      <c r="A474" s="1">
        <v>12</v>
      </c>
      <c r="B474" s="1">
        <v>1223</v>
      </c>
      <c r="C474" s="1">
        <v>103</v>
      </c>
      <c r="D474" t="s">
        <v>5</v>
      </c>
      <c r="E474" t="s">
        <v>0</v>
      </c>
      <c r="F474">
        <v>2</v>
      </c>
      <c r="G474">
        <v>0.44444444444444442</v>
      </c>
      <c r="H474">
        <v>3</v>
      </c>
      <c r="I474">
        <v>6</v>
      </c>
      <c r="J474">
        <v>6</v>
      </c>
      <c r="K474">
        <v>5.666666666666667</v>
      </c>
      <c r="L474">
        <v>6</v>
      </c>
      <c r="M474">
        <v>5.6</v>
      </c>
      <c r="N474">
        <v>6</v>
      </c>
      <c r="O474">
        <v>5.5</v>
      </c>
      <c r="P474">
        <v>4.666666666666667</v>
      </c>
      <c r="Q474">
        <v>3.5</v>
      </c>
      <c r="R474">
        <v>2</v>
      </c>
      <c r="S474">
        <v>0.44444444444444442</v>
      </c>
      <c r="T474">
        <v>4</v>
      </c>
      <c r="U474">
        <v>5.2</v>
      </c>
      <c r="V474">
        <v>5</v>
      </c>
      <c r="W474">
        <v>5</v>
      </c>
      <c r="X474">
        <v>4.8888888888888893</v>
      </c>
      <c r="Y474">
        <v>3.6</v>
      </c>
      <c r="Z474">
        <v>2.5</v>
      </c>
      <c r="AA474">
        <v>2</v>
      </c>
      <c r="AB474">
        <v>0.44444444444444442</v>
      </c>
      <c r="AC474">
        <v>3</v>
      </c>
      <c r="AD474">
        <v>3.6363636363636358</v>
      </c>
      <c r="AE474">
        <v>4.8</v>
      </c>
      <c r="AF474">
        <v>4</v>
      </c>
      <c r="AG474">
        <v>2</v>
      </c>
      <c r="AH474">
        <v>2</v>
      </c>
      <c r="AI474" s="1">
        <v>12</v>
      </c>
      <c r="AJ474" s="1">
        <v>1223</v>
      </c>
      <c r="AK474" s="1">
        <v>103</v>
      </c>
      <c r="AL474" t="s">
        <v>5</v>
      </c>
      <c r="AM474" t="s">
        <v>0</v>
      </c>
      <c r="AN474">
        <v>180</v>
      </c>
      <c r="AO474">
        <v>40</v>
      </c>
      <c r="AP474">
        <v>270</v>
      </c>
      <c r="AQ474">
        <v>540</v>
      </c>
      <c r="AR474">
        <v>540</v>
      </c>
      <c r="AS474">
        <v>510</v>
      </c>
      <c r="AT474">
        <v>540</v>
      </c>
      <c r="AU474">
        <v>504</v>
      </c>
      <c r="AV474">
        <v>540</v>
      </c>
      <c r="AW474">
        <v>495</v>
      </c>
      <c r="AX474">
        <v>420</v>
      </c>
      <c r="AY474">
        <v>315</v>
      </c>
      <c r="AZ474">
        <v>180</v>
      </c>
      <c r="BA474">
        <v>40</v>
      </c>
      <c r="BB474">
        <v>360</v>
      </c>
      <c r="BC474">
        <v>468</v>
      </c>
      <c r="BD474">
        <v>450</v>
      </c>
      <c r="BE474">
        <v>450</v>
      </c>
      <c r="BF474">
        <v>440</v>
      </c>
      <c r="BG474">
        <v>324</v>
      </c>
      <c r="BH474">
        <v>225</v>
      </c>
      <c r="BI474">
        <v>180</v>
      </c>
      <c r="BJ474">
        <v>40</v>
      </c>
      <c r="BK474">
        <v>270</v>
      </c>
      <c r="BL474">
        <v>327.27272727272731</v>
      </c>
      <c r="BM474">
        <v>432</v>
      </c>
      <c r="BN474">
        <v>360</v>
      </c>
      <c r="BO474">
        <v>180</v>
      </c>
      <c r="BP474">
        <v>180</v>
      </c>
      <c r="BQ474">
        <f>(I474+J474+N474+O474)/4</f>
        <v>5.875</v>
      </c>
      <c r="BR474">
        <f>(K474+L474+M474)/3</f>
        <v>5.7555555555555555</v>
      </c>
      <c r="BS474">
        <f>BQ474/BR474</f>
        <v>1.0207528957528957</v>
      </c>
      <c r="BT474">
        <f>AQ474/I474</f>
        <v>90</v>
      </c>
      <c r="BU474" t="str">
        <f>IF(OR(A474=2, A474=12), "Central", IF(A474=3, "Semi-Central", "Periférica"))</f>
        <v>Central</v>
      </c>
    </row>
    <row r="475" spans="1:73" x14ac:dyDescent="0.3">
      <c r="A475" s="1">
        <v>19</v>
      </c>
      <c r="B475" s="1">
        <v>1901</v>
      </c>
      <c r="C475" s="1">
        <v>201</v>
      </c>
      <c r="D475" t="s">
        <v>1</v>
      </c>
      <c r="E475" t="s">
        <v>0</v>
      </c>
      <c r="F475">
        <v>3</v>
      </c>
      <c r="G475">
        <v>2.4444444444444451</v>
      </c>
      <c r="H475">
        <v>8</v>
      </c>
      <c r="I475">
        <v>8</v>
      </c>
      <c r="J475">
        <v>7.333333333333333</v>
      </c>
      <c r="K475">
        <v>7</v>
      </c>
      <c r="L475">
        <v>6.666666666666667</v>
      </c>
      <c r="M475">
        <v>7.2</v>
      </c>
      <c r="N475">
        <v>7</v>
      </c>
      <c r="O475">
        <v>6</v>
      </c>
      <c r="P475">
        <v>4.666666666666667</v>
      </c>
      <c r="Q475">
        <v>4.5</v>
      </c>
      <c r="R475">
        <v>3</v>
      </c>
      <c r="S475">
        <v>3.1111111111111112</v>
      </c>
      <c r="T475">
        <v>9</v>
      </c>
      <c r="U475">
        <v>8</v>
      </c>
      <c r="V475">
        <v>7.333333333333333</v>
      </c>
      <c r="W475">
        <v>7.333333333333333</v>
      </c>
      <c r="X475">
        <v>6.666666666666667</v>
      </c>
      <c r="Y475">
        <v>4.4000000000000004</v>
      </c>
      <c r="Z475">
        <v>4</v>
      </c>
      <c r="AA475">
        <v>3</v>
      </c>
      <c r="AB475">
        <v>2.2222222222222219</v>
      </c>
      <c r="AC475">
        <v>7.5</v>
      </c>
      <c r="AD475">
        <v>5.6363636363636367</v>
      </c>
      <c r="AE475">
        <v>6.8</v>
      </c>
      <c r="AF475">
        <v>6</v>
      </c>
      <c r="AG475">
        <v>4</v>
      </c>
      <c r="AH475">
        <v>3.5</v>
      </c>
      <c r="AI475" s="1">
        <v>19</v>
      </c>
      <c r="AJ475" s="1">
        <v>1901</v>
      </c>
      <c r="AK475" s="1">
        <v>201</v>
      </c>
      <c r="AL475" t="s">
        <v>1</v>
      </c>
      <c r="AM475" t="s">
        <v>0</v>
      </c>
      <c r="AN475">
        <v>270</v>
      </c>
      <c r="AO475">
        <v>220</v>
      </c>
      <c r="AP475">
        <v>720</v>
      </c>
      <c r="AQ475">
        <v>720</v>
      </c>
      <c r="AR475">
        <v>660</v>
      </c>
      <c r="AS475">
        <v>630</v>
      </c>
      <c r="AT475">
        <v>600</v>
      </c>
      <c r="AU475">
        <v>648</v>
      </c>
      <c r="AV475">
        <v>630</v>
      </c>
      <c r="AW475">
        <v>540</v>
      </c>
      <c r="AX475">
        <v>420</v>
      </c>
      <c r="AY475">
        <v>405</v>
      </c>
      <c r="AZ475">
        <v>270</v>
      </c>
      <c r="BA475">
        <v>280</v>
      </c>
      <c r="BB475">
        <v>810</v>
      </c>
      <c r="BC475">
        <v>720</v>
      </c>
      <c r="BD475">
        <v>660</v>
      </c>
      <c r="BE475">
        <v>660</v>
      </c>
      <c r="BF475">
        <v>600</v>
      </c>
      <c r="BG475">
        <v>396</v>
      </c>
      <c r="BH475">
        <v>360</v>
      </c>
      <c r="BI475">
        <v>270</v>
      </c>
      <c r="BJ475">
        <v>200</v>
      </c>
      <c r="BK475">
        <v>675</v>
      </c>
      <c r="BL475">
        <v>507.27272727272731</v>
      </c>
      <c r="BM475">
        <v>612</v>
      </c>
      <c r="BN475">
        <v>540</v>
      </c>
      <c r="BO475">
        <v>360</v>
      </c>
      <c r="BP475">
        <v>315</v>
      </c>
      <c r="BQ475">
        <f>(I475+J475+N475+O475)/4</f>
        <v>7.083333333333333</v>
      </c>
      <c r="BR475">
        <f>(K475+L475+M475)/3</f>
        <v>6.9555555555555557</v>
      </c>
      <c r="BS475">
        <f>BQ475/BR475</f>
        <v>1.0183706070287539</v>
      </c>
      <c r="BT475">
        <f>AQ475/I475</f>
        <v>90</v>
      </c>
      <c r="BU475" t="str">
        <f>IF(OR(A475=2, A475=12), "Central", IF(A475=3, "Semi-Central", "Periférica"))</f>
        <v>Periférica</v>
      </c>
    </row>
    <row r="476" spans="1:73" x14ac:dyDescent="0.3">
      <c r="A476" s="1">
        <v>10</v>
      </c>
      <c r="B476" s="1">
        <v>1038</v>
      </c>
      <c r="C476" s="1" t="s">
        <v>130</v>
      </c>
      <c r="D476" t="s">
        <v>5</v>
      </c>
      <c r="E476" t="s">
        <v>0</v>
      </c>
      <c r="F476">
        <v>1</v>
      </c>
      <c r="G476">
        <v>0.44444444444444442</v>
      </c>
      <c r="H476">
        <v>6</v>
      </c>
      <c r="I476">
        <v>5.333333333333333</v>
      </c>
      <c r="J476">
        <v>4.666666666666667</v>
      </c>
      <c r="K476">
        <v>5</v>
      </c>
      <c r="L476">
        <v>5.333333333333333</v>
      </c>
      <c r="M476">
        <v>4.4000000000000004</v>
      </c>
      <c r="N476">
        <v>5</v>
      </c>
      <c r="O476">
        <v>5</v>
      </c>
      <c r="P476">
        <v>5.333333333333333</v>
      </c>
      <c r="Q476">
        <v>3.5</v>
      </c>
      <c r="R476">
        <v>1</v>
      </c>
      <c r="S476">
        <v>0.22222222222222221</v>
      </c>
      <c r="T476">
        <v>3</v>
      </c>
      <c r="U476">
        <v>4</v>
      </c>
      <c r="V476">
        <v>4</v>
      </c>
      <c r="W476">
        <v>4</v>
      </c>
      <c r="X476">
        <v>4</v>
      </c>
      <c r="Y476">
        <v>4</v>
      </c>
      <c r="Z476">
        <v>3.5</v>
      </c>
      <c r="AA476">
        <v>1</v>
      </c>
      <c r="AB476">
        <v>0.22222222222222221</v>
      </c>
      <c r="AC476">
        <v>2</v>
      </c>
      <c r="AD476">
        <v>3.6363636363636358</v>
      </c>
      <c r="AE476">
        <v>4</v>
      </c>
      <c r="AF476">
        <v>4</v>
      </c>
      <c r="AG476">
        <v>4</v>
      </c>
      <c r="AH476">
        <v>2</v>
      </c>
      <c r="AI476" s="1">
        <v>10</v>
      </c>
      <c r="AJ476" s="1">
        <v>1038</v>
      </c>
      <c r="AK476" s="1" t="s">
        <v>130</v>
      </c>
      <c r="AL476" t="s">
        <v>5</v>
      </c>
      <c r="AM476" t="s">
        <v>0</v>
      </c>
      <c r="AN476">
        <v>90</v>
      </c>
      <c r="AO476">
        <v>40</v>
      </c>
      <c r="AP476">
        <v>540</v>
      </c>
      <c r="AQ476">
        <v>480</v>
      </c>
      <c r="AR476">
        <v>420</v>
      </c>
      <c r="AS476">
        <v>450</v>
      </c>
      <c r="AT476">
        <v>480</v>
      </c>
      <c r="AU476">
        <v>396</v>
      </c>
      <c r="AV476">
        <v>450</v>
      </c>
      <c r="AW476">
        <v>450</v>
      </c>
      <c r="AX476">
        <v>480</v>
      </c>
      <c r="AY476">
        <v>315</v>
      </c>
      <c r="AZ476">
        <v>90</v>
      </c>
      <c r="BA476">
        <v>20</v>
      </c>
      <c r="BB476">
        <v>270</v>
      </c>
      <c r="BC476">
        <v>360</v>
      </c>
      <c r="BD476">
        <v>360</v>
      </c>
      <c r="BE476">
        <v>360</v>
      </c>
      <c r="BF476">
        <v>360</v>
      </c>
      <c r="BG476">
        <v>360</v>
      </c>
      <c r="BH476">
        <v>315</v>
      </c>
      <c r="BI476">
        <v>90</v>
      </c>
      <c r="BJ476">
        <v>20</v>
      </c>
      <c r="BK476">
        <v>180</v>
      </c>
      <c r="BL476">
        <v>327.27272727272731</v>
      </c>
      <c r="BM476">
        <v>360</v>
      </c>
      <c r="BN476">
        <v>360</v>
      </c>
      <c r="BO476">
        <v>360</v>
      </c>
      <c r="BP476">
        <v>180</v>
      </c>
      <c r="BQ476">
        <f>(I476+J476+N476+O476)/4</f>
        <v>5</v>
      </c>
      <c r="BR476">
        <f>(K476+L476+M476)/3</f>
        <v>4.9111111111111105</v>
      </c>
      <c r="BS476">
        <f>BQ476/BR476</f>
        <v>1.0180995475113124</v>
      </c>
      <c r="BT476">
        <f>AQ476/I476</f>
        <v>90</v>
      </c>
      <c r="BU476" t="str">
        <f>IF(OR(A476=2, A476=12), "Central", IF(A476=3, "Semi-Central", "Periférica"))</f>
        <v>Periférica</v>
      </c>
    </row>
    <row r="477" spans="1:73" x14ac:dyDescent="0.3">
      <c r="A477" s="1">
        <v>19</v>
      </c>
      <c r="B477" s="1">
        <v>1924</v>
      </c>
      <c r="C477" s="1">
        <v>224</v>
      </c>
      <c r="D477" t="s">
        <v>5</v>
      </c>
      <c r="E477" t="s">
        <v>0</v>
      </c>
      <c r="F477">
        <v>0</v>
      </c>
      <c r="G477">
        <v>0</v>
      </c>
      <c r="H477">
        <v>6</v>
      </c>
      <c r="I477">
        <v>6</v>
      </c>
      <c r="J477">
        <v>6</v>
      </c>
      <c r="K477">
        <v>4.333333333333333</v>
      </c>
      <c r="L477">
        <v>7.333333333333333</v>
      </c>
      <c r="M477">
        <v>6.4</v>
      </c>
      <c r="N477">
        <v>7</v>
      </c>
      <c r="O477">
        <v>5.5</v>
      </c>
      <c r="P477">
        <v>5.333333333333333</v>
      </c>
      <c r="Q477">
        <v>4</v>
      </c>
      <c r="R477">
        <v>0</v>
      </c>
      <c r="S477">
        <v>0</v>
      </c>
      <c r="T477">
        <v>1</v>
      </c>
      <c r="U477">
        <v>3.2</v>
      </c>
      <c r="V477">
        <v>4.333333333333333</v>
      </c>
      <c r="W477">
        <v>5.666666666666667</v>
      </c>
      <c r="X477">
        <v>5.7777777777777777</v>
      </c>
      <c r="Y477">
        <v>5.6</v>
      </c>
      <c r="Z477">
        <v>4</v>
      </c>
      <c r="AA477">
        <v>0</v>
      </c>
      <c r="AB477">
        <v>0</v>
      </c>
      <c r="AC477">
        <v>2</v>
      </c>
      <c r="AD477">
        <v>4.1818181818181817</v>
      </c>
      <c r="AE477">
        <v>4.4000000000000004</v>
      </c>
      <c r="AF477">
        <v>4.666666666666667</v>
      </c>
      <c r="AG477">
        <v>4</v>
      </c>
      <c r="AH477">
        <v>3</v>
      </c>
      <c r="AI477" s="1">
        <v>19</v>
      </c>
      <c r="AJ477" s="1">
        <v>1924</v>
      </c>
      <c r="AK477" s="1">
        <v>224</v>
      </c>
      <c r="AL477" t="s">
        <v>5</v>
      </c>
      <c r="AM477" t="s">
        <v>0</v>
      </c>
      <c r="AN477">
        <v>0</v>
      </c>
      <c r="AO477">
        <v>0</v>
      </c>
      <c r="AP477">
        <v>540</v>
      </c>
      <c r="AQ477">
        <v>540</v>
      </c>
      <c r="AR477">
        <v>540</v>
      </c>
      <c r="AS477">
        <v>390</v>
      </c>
      <c r="AT477">
        <v>660</v>
      </c>
      <c r="AU477">
        <v>576</v>
      </c>
      <c r="AV477">
        <v>630</v>
      </c>
      <c r="AW477">
        <v>495</v>
      </c>
      <c r="AX477">
        <v>480</v>
      </c>
      <c r="AY477">
        <v>360</v>
      </c>
      <c r="AZ477">
        <v>0</v>
      </c>
      <c r="BA477">
        <v>0</v>
      </c>
      <c r="BB477">
        <v>90</v>
      </c>
      <c r="BC477">
        <v>288</v>
      </c>
      <c r="BD477">
        <v>390</v>
      </c>
      <c r="BE477">
        <v>510</v>
      </c>
      <c r="BF477">
        <v>520</v>
      </c>
      <c r="BG477">
        <v>504</v>
      </c>
      <c r="BH477">
        <v>360</v>
      </c>
      <c r="BI477">
        <v>0</v>
      </c>
      <c r="BJ477">
        <v>0</v>
      </c>
      <c r="BK477">
        <v>180</v>
      </c>
      <c r="BL477">
        <v>376.36363636363637</v>
      </c>
      <c r="BM477">
        <v>396</v>
      </c>
      <c r="BN477">
        <v>420</v>
      </c>
      <c r="BO477">
        <v>360</v>
      </c>
      <c r="BP477">
        <v>270</v>
      </c>
      <c r="BQ477">
        <f>(I477+J477+N477+O477)/4</f>
        <v>6.125</v>
      </c>
      <c r="BR477">
        <f>(K477+L477+M477)/3</f>
        <v>6.0222222222222221</v>
      </c>
      <c r="BS477">
        <f>BQ477/BR477</f>
        <v>1.0170664206642066</v>
      </c>
      <c r="BT477">
        <f>AQ477/I477</f>
        <v>90</v>
      </c>
      <c r="BU477" t="str">
        <f>IF(OR(A477=2, A477=12), "Central", IF(A477=3, "Semi-Central", "Periférica"))</f>
        <v>Periférica</v>
      </c>
    </row>
    <row r="478" spans="1:73" x14ac:dyDescent="0.3">
      <c r="A478" s="1">
        <v>18</v>
      </c>
      <c r="B478" s="1">
        <v>1806</v>
      </c>
      <c r="C478" s="1">
        <v>206</v>
      </c>
      <c r="D478" t="s">
        <v>1</v>
      </c>
      <c r="E478" t="s">
        <v>0</v>
      </c>
      <c r="F478">
        <v>2</v>
      </c>
      <c r="G478">
        <v>0.66666666666666663</v>
      </c>
      <c r="H478">
        <v>12</v>
      </c>
      <c r="I478">
        <v>9.3333333333333339</v>
      </c>
      <c r="J478">
        <v>8.6666666666666661</v>
      </c>
      <c r="K478">
        <v>7.666666666666667</v>
      </c>
      <c r="L478">
        <v>8</v>
      </c>
      <c r="M478">
        <v>7.2</v>
      </c>
      <c r="N478">
        <v>6</v>
      </c>
      <c r="O478">
        <v>7</v>
      </c>
      <c r="P478">
        <v>4.666666666666667</v>
      </c>
      <c r="Q478">
        <v>3.5</v>
      </c>
      <c r="R478">
        <v>2</v>
      </c>
      <c r="S478">
        <v>0.44444444444444442</v>
      </c>
      <c r="T478">
        <v>4</v>
      </c>
      <c r="U478">
        <v>6.4</v>
      </c>
      <c r="V478">
        <v>6</v>
      </c>
      <c r="W478">
        <v>4.333333333333333</v>
      </c>
      <c r="X478">
        <v>4</v>
      </c>
      <c r="Y478">
        <v>4</v>
      </c>
      <c r="Z478">
        <v>3.5</v>
      </c>
      <c r="AA478">
        <v>2</v>
      </c>
      <c r="AB478">
        <v>0.44444444444444442</v>
      </c>
      <c r="AC478">
        <v>4</v>
      </c>
      <c r="AD478">
        <v>4.3636363636363633</v>
      </c>
      <c r="AE478">
        <v>4.4000000000000004</v>
      </c>
      <c r="AF478">
        <v>4.333333333333333</v>
      </c>
      <c r="AG478">
        <v>3</v>
      </c>
      <c r="AH478">
        <v>3</v>
      </c>
      <c r="AI478" s="1">
        <v>18</v>
      </c>
      <c r="AJ478" s="1">
        <v>1806</v>
      </c>
      <c r="AK478" s="1">
        <v>206</v>
      </c>
      <c r="AL478" t="s">
        <v>1</v>
      </c>
      <c r="AM478" t="s">
        <v>0</v>
      </c>
      <c r="AN478">
        <v>180</v>
      </c>
      <c r="AO478">
        <v>60</v>
      </c>
      <c r="AP478">
        <v>1080</v>
      </c>
      <c r="AQ478">
        <v>840</v>
      </c>
      <c r="AR478">
        <v>780</v>
      </c>
      <c r="AS478">
        <v>690</v>
      </c>
      <c r="AT478">
        <v>720</v>
      </c>
      <c r="AU478">
        <v>648</v>
      </c>
      <c r="AV478">
        <v>540</v>
      </c>
      <c r="AW478">
        <v>630</v>
      </c>
      <c r="AX478">
        <v>420</v>
      </c>
      <c r="AY478">
        <v>315</v>
      </c>
      <c r="AZ478">
        <v>180</v>
      </c>
      <c r="BA478">
        <v>40</v>
      </c>
      <c r="BB478">
        <v>360</v>
      </c>
      <c r="BC478">
        <v>576</v>
      </c>
      <c r="BD478">
        <v>540</v>
      </c>
      <c r="BE478">
        <v>390</v>
      </c>
      <c r="BF478">
        <v>360</v>
      </c>
      <c r="BG478">
        <v>360</v>
      </c>
      <c r="BH478">
        <v>315</v>
      </c>
      <c r="BI478">
        <v>180</v>
      </c>
      <c r="BJ478">
        <v>40</v>
      </c>
      <c r="BK478">
        <v>360</v>
      </c>
      <c r="BL478">
        <v>392.72727272727269</v>
      </c>
      <c r="BM478">
        <v>396</v>
      </c>
      <c r="BN478">
        <v>390</v>
      </c>
      <c r="BO478">
        <v>270</v>
      </c>
      <c r="BP478">
        <v>270</v>
      </c>
      <c r="BQ478">
        <f>(I478+J478+N478+O478)/4</f>
        <v>7.75</v>
      </c>
      <c r="BR478">
        <f>(K478+L478+M478)/3</f>
        <v>7.6222222222222227</v>
      </c>
      <c r="BS478">
        <f>BQ478/BR478</f>
        <v>1.0167638483965014</v>
      </c>
      <c r="BT478">
        <f>AQ478/I478</f>
        <v>90</v>
      </c>
      <c r="BU478" t="str">
        <f>IF(OR(A478=2, A478=12), "Central", IF(A478=3, "Semi-Central", "Periférica"))</f>
        <v>Periférica</v>
      </c>
    </row>
    <row r="479" spans="1:73" x14ac:dyDescent="0.3">
      <c r="A479" s="1">
        <v>4</v>
      </c>
      <c r="B479" s="1">
        <v>472</v>
      </c>
      <c r="C479" s="1" t="s">
        <v>286</v>
      </c>
      <c r="D479" t="s">
        <v>5</v>
      </c>
      <c r="E479" t="s">
        <v>0</v>
      </c>
      <c r="F479">
        <v>0</v>
      </c>
      <c r="G479">
        <v>0</v>
      </c>
      <c r="H479">
        <v>5</v>
      </c>
      <c r="I479">
        <v>5.333333333333333</v>
      </c>
      <c r="J479">
        <v>4.666666666666667</v>
      </c>
      <c r="K479">
        <v>5</v>
      </c>
      <c r="L479">
        <v>5.333333333333333</v>
      </c>
      <c r="M479">
        <v>4.8</v>
      </c>
      <c r="N479">
        <v>5</v>
      </c>
      <c r="O479">
        <v>5.5</v>
      </c>
      <c r="P479">
        <v>4.666666666666667</v>
      </c>
      <c r="Q479">
        <v>4</v>
      </c>
      <c r="R479">
        <v>0</v>
      </c>
      <c r="S479">
        <v>0</v>
      </c>
      <c r="T479">
        <v>3</v>
      </c>
      <c r="U479">
        <v>4.4000000000000004</v>
      </c>
      <c r="V479">
        <v>4</v>
      </c>
      <c r="W479">
        <v>4.333333333333333</v>
      </c>
      <c r="X479">
        <v>4</v>
      </c>
      <c r="Y479">
        <v>3.2</v>
      </c>
      <c r="Z479">
        <v>1.5</v>
      </c>
      <c r="AA479">
        <v>0</v>
      </c>
      <c r="AB479">
        <v>0</v>
      </c>
      <c r="AC479">
        <v>3</v>
      </c>
      <c r="AD479">
        <v>3.8181818181818183</v>
      </c>
      <c r="AE479">
        <v>4.2</v>
      </c>
      <c r="AF479">
        <v>4</v>
      </c>
      <c r="AG479">
        <v>4</v>
      </c>
      <c r="AH479">
        <v>2</v>
      </c>
      <c r="AI479" s="1">
        <v>4</v>
      </c>
      <c r="AJ479" s="1">
        <v>472</v>
      </c>
      <c r="AK479" s="1" t="s">
        <v>286</v>
      </c>
      <c r="AL479" t="s">
        <v>5</v>
      </c>
      <c r="AM479" t="s">
        <v>0</v>
      </c>
      <c r="AN479">
        <v>0</v>
      </c>
      <c r="AO479">
        <v>0</v>
      </c>
      <c r="AP479">
        <v>380</v>
      </c>
      <c r="AQ479">
        <v>405.33333333333331</v>
      </c>
      <c r="AR479">
        <v>354.66666666666669</v>
      </c>
      <c r="AS479">
        <v>380</v>
      </c>
      <c r="AT479">
        <v>405.33333333333331</v>
      </c>
      <c r="AU479">
        <v>364.8</v>
      </c>
      <c r="AV479">
        <v>380</v>
      </c>
      <c r="AW479">
        <v>418</v>
      </c>
      <c r="AX479">
        <v>354.66666666666669</v>
      </c>
      <c r="AY479">
        <v>304</v>
      </c>
      <c r="AZ479">
        <v>0</v>
      </c>
      <c r="BA479">
        <v>0</v>
      </c>
      <c r="BB479">
        <v>228</v>
      </c>
      <c r="BC479">
        <v>334.4</v>
      </c>
      <c r="BD479">
        <v>304</v>
      </c>
      <c r="BE479">
        <v>329.33333333333331</v>
      </c>
      <c r="BF479">
        <v>304</v>
      </c>
      <c r="BG479">
        <v>243.2</v>
      </c>
      <c r="BH479">
        <v>114</v>
      </c>
      <c r="BI479">
        <v>0</v>
      </c>
      <c r="BJ479">
        <v>0</v>
      </c>
      <c r="BK479">
        <v>228</v>
      </c>
      <c r="BL479">
        <v>290.18181818181819</v>
      </c>
      <c r="BM479">
        <v>319.2</v>
      </c>
      <c r="BN479">
        <v>304</v>
      </c>
      <c r="BO479">
        <v>304</v>
      </c>
      <c r="BP479">
        <v>152</v>
      </c>
      <c r="BQ479">
        <f>(I479+J479+N479+O479)/4</f>
        <v>5.125</v>
      </c>
      <c r="BR479">
        <f>(K479+L479+M479)/3</f>
        <v>5.0444444444444443</v>
      </c>
      <c r="BS479">
        <f>BQ479/BR479</f>
        <v>1.0159691629955947</v>
      </c>
      <c r="BT479">
        <f>AQ479/I479</f>
        <v>76</v>
      </c>
      <c r="BU479" t="str">
        <f>IF(OR(A479=2, A479=12), "Central", IF(A479=3, "Semi-Central", "Periférica"))</f>
        <v>Periférica</v>
      </c>
    </row>
    <row r="480" spans="1:73" x14ac:dyDescent="0.3">
      <c r="A480" s="1">
        <v>4</v>
      </c>
      <c r="B480" s="1">
        <v>472</v>
      </c>
      <c r="C480" s="1" t="s">
        <v>286</v>
      </c>
      <c r="D480" t="s">
        <v>1</v>
      </c>
      <c r="E480" t="s">
        <v>0</v>
      </c>
      <c r="F480">
        <v>0</v>
      </c>
      <c r="G480">
        <v>0</v>
      </c>
      <c r="H480">
        <v>5</v>
      </c>
      <c r="I480">
        <v>5.333333333333333</v>
      </c>
      <c r="J480">
        <v>4.666666666666667</v>
      </c>
      <c r="K480">
        <v>5</v>
      </c>
      <c r="L480">
        <v>5.333333333333333</v>
      </c>
      <c r="M480">
        <v>4.8</v>
      </c>
      <c r="N480">
        <v>5</v>
      </c>
      <c r="O480">
        <v>5.5</v>
      </c>
      <c r="P480">
        <v>4.666666666666667</v>
      </c>
      <c r="Q480">
        <v>4</v>
      </c>
      <c r="R480">
        <v>0</v>
      </c>
      <c r="S480">
        <v>0</v>
      </c>
      <c r="T480">
        <v>3</v>
      </c>
      <c r="U480">
        <v>4.4000000000000004</v>
      </c>
      <c r="V480">
        <v>4</v>
      </c>
      <c r="W480">
        <v>4.333333333333333</v>
      </c>
      <c r="X480">
        <v>4</v>
      </c>
      <c r="Y480">
        <v>3.2</v>
      </c>
      <c r="Z480">
        <v>1.5</v>
      </c>
      <c r="AA480">
        <v>0</v>
      </c>
      <c r="AB480">
        <v>0</v>
      </c>
      <c r="AC480">
        <v>3</v>
      </c>
      <c r="AD480">
        <v>3.8181818181818183</v>
      </c>
      <c r="AE480">
        <v>4.2</v>
      </c>
      <c r="AF480">
        <v>4</v>
      </c>
      <c r="AG480">
        <v>4</v>
      </c>
      <c r="AH480">
        <v>2</v>
      </c>
      <c r="AI480" s="1">
        <v>4</v>
      </c>
      <c r="AJ480" s="1">
        <v>472</v>
      </c>
      <c r="AK480" s="1" t="s">
        <v>286</v>
      </c>
      <c r="AL480" t="s">
        <v>1</v>
      </c>
      <c r="AM480" t="s">
        <v>0</v>
      </c>
      <c r="AN480">
        <v>0</v>
      </c>
      <c r="AO480">
        <v>0</v>
      </c>
      <c r="AP480">
        <v>380</v>
      </c>
      <c r="AQ480">
        <v>405.33333333333331</v>
      </c>
      <c r="AR480">
        <v>354.66666666666669</v>
      </c>
      <c r="AS480">
        <v>380</v>
      </c>
      <c r="AT480">
        <v>405.33333333333331</v>
      </c>
      <c r="AU480">
        <v>364.8</v>
      </c>
      <c r="AV480">
        <v>380</v>
      </c>
      <c r="AW480">
        <v>418</v>
      </c>
      <c r="AX480">
        <v>354.66666666666669</v>
      </c>
      <c r="AY480">
        <v>304</v>
      </c>
      <c r="AZ480">
        <v>0</v>
      </c>
      <c r="BA480">
        <v>0</v>
      </c>
      <c r="BB480">
        <v>228</v>
      </c>
      <c r="BC480">
        <v>334.4</v>
      </c>
      <c r="BD480">
        <v>304</v>
      </c>
      <c r="BE480">
        <v>329.33333333333331</v>
      </c>
      <c r="BF480">
        <v>304</v>
      </c>
      <c r="BG480">
        <v>243.2</v>
      </c>
      <c r="BH480">
        <v>114</v>
      </c>
      <c r="BI480">
        <v>0</v>
      </c>
      <c r="BJ480">
        <v>0</v>
      </c>
      <c r="BK480">
        <v>228</v>
      </c>
      <c r="BL480">
        <v>290.18181818181819</v>
      </c>
      <c r="BM480">
        <v>319.2</v>
      </c>
      <c r="BN480">
        <v>304</v>
      </c>
      <c r="BO480">
        <v>304</v>
      </c>
      <c r="BP480">
        <v>152</v>
      </c>
      <c r="BQ480">
        <f>(I480+J480+N480+O480)/4</f>
        <v>5.125</v>
      </c>
      <c r="BR480">
        <f>(K480+L480+M480)/3</f>
        <v>5.0444444444444443</v>
      </c>
      <c r="BS480">
        <f>BQ480/BR480</f>
        <v>1.0159691629955947</v>
      </c>
      <c r="BT480">
        <f>AQ480/I480</f>
        <v>76</v>
      </c>
      <c r="BU480" t="str">
        <f>IF(OR(A480=2, A480=12), "Central", IF(A480=3, "Semi-Central", "Periférica"))</f>
        <v>Periférica</v>
      </c>
    </row>
    <row r="481" spans="1:73" x14ac:dyDescent="0.3">
      <c r="A481" s="1">
        <v>9</v>
      </c>
      <c r="B481" s="1">
        <v>945</v>
      </c>
      <c r="C481" s="1" t="s">
        <v>276</v>
      </c>
      <c r="D481" t="s">
        <v>1</v>
      </c>
      <c r="F481">
        <v>2</v>
      </c>
      <c r="G481">
        <v>0</v>
      </c>
      <c r="H481">
        <v>4</v>
      </c>
      <c r="I481">
        <v>5.333333333333333</v>
      </c>
      <c r="J481">
        <v>4.666666666666667</v>
      </c>
      <c r="K481">
        <v>5</v>
      </c>
      <c r="L481">
        <v>5.333333333333333</v>
      </c>
      <c r="M481">
        <v>4.8</v>
      </c>
      <c r="N481">
        <v>5.5</v>
      </c>
      <c r="O481">
        <v>5</v>
      </c>
      <c r="P481">
        <v>5.333333333333333</v>
      </c>
      <c r="Q481">
        <v>3.5</v>
      </c>
      <c r="R481">
        <v>2</v>
      </c>
      <c r="S481">
        <v>0</v>
      </c>
      <c r="T481">
        <v>1</v>
      </c>
      <c r="U481">
        <v>2.8</v>
      </c>
      <c r="V481">
        <v>4</v>
      </c>
      <c r="W481">
        <v>4</v>
      </c>
      <c r="X481">
        <v>4</v>
      </c>
      <c r="Y481">
        <v>4</v>
      </c>
      <c r="Z481">
        <v>3</v>
      </c>
      <c r="AA481">
        <v>1</v>
      </c>
      <c r="AB481">
        <v>0</v>
      </c>
      <c r="AC481">
        <v>1</v>
      </c>
      <c r="AD481">
        <v>3.454545454545455</v>
      </c>
      <c r="AE481">
        <v>4.2</v>
      </c>
      <c r="AF481">
        <v>3</v>
      </c>
      <c r="AG481">
        <v>2</v>
      </c>
      <c r="AH481">
        <v>2</v>
      </c>
      <c r="AI481" s="1">
        <v>9</v>
      </c>
      <c r="AJ481" s="1">
        <v>945</v>
      </c>
      <c r="AK481" s="1" t="s">
        <v>276</v>
      </c>
      <c r="AL481" t="s">
        <v>1</v>
      </c>
      <c r="AN481">
        <v>180</v>
      </c>
      <c r="AO481">
        <v>0</v>
      </c>
      <c r="AP481">
        <v>360</v>
      </c>
      <c r="AQ481">
        <v>480</v>
      </c>
      <c r="AR481">
        <v>420</v>
      </c>
      <c r="AS481">
        <v>450</v>
      </c>
      <c r="AT481">
        <v>480</v>
      </c>
      <c r="AU481">
        <v>432</v>
      </c>
      <c r="AV481">
        <v>495</v>
      </c>
      <c r="AW481">
        <v>450</v>
      </c>
      <c r="AX481">
        <v>480</v>
      </c>
      <c r="AY481">
        <v>315</v>
      </c>
      <c r="AZ481">
        <v>180</v>
      </c>
      <c r="BA481">
        <v>0</v>
      </c>
      <c r="BB481">
        <v>90</v>
      </c>
      <c r="BC481">
        <v>252</v>
      </c>
      <c r="BD481">
        <v>360</v>
      </c>
      <c r="BE481">
        <v>360</v>
      </c>
      <c r="BF481">
        <v>360</v>
      </c>
      <c r="BG481">
        <v>360</v>
      </c>
      <c r="BH481">
        <v>270</v>
      </c>
      <c r="BI481">
        <v>90</v>
      </c>
      <c r="BJ481">
        <v>0</v>
      </c>
      <c r="BK481">
        <v>90</v>
      </c>
      <c r="BL481">
        <v>310.90909090909088</v>
      </c>
      <c r="BM481">
        <v>378</v>
      </c>
      <c r="BN481">
        <v>270</v>
      </c>
      <c r="BO481">
        <v>180</v>
      </c>
      <c r="BP481">
        <v>180</v>
      </c>
      <c r="BQ481">
        <f>(I481+J481+N481+O481)/4</f>
        <v>5.125</v>
      </c>
      <c r="BR481">
        <f>(K481+L481+M481)/3</f>
        <v>5.0444444444444443</v>
      </c>
      <c r="BS481">
        <f>BQ481/BR481</f>
        <v>1.0159691629955947</v>
      </c>
      <c r="BT481">
        <f>AQ481/I481</f>
        <v>90</v>
      </c>
      <c r="BU481" t="str">
        <f>IF(OR(A481=2, A481=12), "Central", IF(A481=3, "Semi-Central", "Periférica"))</f>
        <v>Periférica</v>
      </c>
    </row>
    <row r="482" spans="1:73" x14ac:dyDescent="0.3">
      <c r="A482" s="1">
        <v>10</v>
      </c>
      <c r="B482" s="1">
        <v>1031</v>
      </c>
      <c r="C482" s="1" t="s">
        <v>278</v>
      </c>
      <c r="D482" t="s">
        <v>1</v>
      </c>
      <c r="E482" t="s">
        <v>0</v>
      </c>
      <c r="F482">
        <v>0</v>
      </c>
      <c r="G482">
        <v>1.1111111111111109</v>
      </c>
      <c r="H482">
        <v>3</v>
      </c>
      <c r="I482">
        <v>5.333333333333333</v>
      </c>
      <c r="J482">
        <v>4.666666666666667</v>
      </c>
      <c r="K482">
        <v>5</v>
      </c>
      <c r="L482">
        <v>5.333333333333333</v>
      </c>
      <c r="M482">
        <v>4.8</v>
      </c>
      <c r="N482">
        <v>5.5</v>
      </c>
      <c r="O482">
        <v>5</v>
      </c>
      <c r="P482">
        <v>4.666666666666667</v>
      </c>
      <c r="Q482">
        <v>3</v>
      </c>
      <c r="R482">
        <v>0</v>
      </c>
      <c r="S482">
        <v>0</v>
      </c>
      <c r="T482">
        <v>3</v>
      </c>
      <c r="U482">
        <v>4</v>
      </c>
      <c r="V482">
        <v>4</v>
      </c>
      <c r="W482">
        <v>4</v>
      </c>
      <c r="X482">
        <v>3.1111111111111112</v>
      </c>
      <c r="Y482">
        <v>2.8</v>
      </c>
      <c r="Z482">
        <v>2</v>
      </c>
      <c r="AA482">
        <v>0</v>
      </c>
      <c r="AB482">
        <v>0</v>
      </c>
      <c r="AC482">
        <v>2.5</v>
      </c>
      <c r="AD482">
        <v>3.0909090909090908</v>
      </c>
      <c r="AE482">
        <v>3</v>
      </c>
      <c r="AF482">
        <v>3</v>
      </c>
      <c r="AG482">
        <v>3</v>
      </c>
      <c r="AH482">
        <v>2.5</v>
      </c>
      <c r="AI482" s="1">
        <v>10</v>
      </c>
      <c r="AJ482" s="1">
        <v>1031</v>
      </c>
      <c r="AK482" s="1" t="s">
        <v>278</v>
      </c>
      <c r="AL482" t="s">
        <v>1</v>
      </c>
      <c r="AM482" t="s">
        <v>0</v>
      </c>
      <c r="AN482">
        <v>0</v>
      </c>
      <c r="AO482">
        <v>100</v>
      </c>
      <c r="AP482">
        <v>270</v>
      </c>
      <c r="AQ482">
        <v>480</v>
      </c>
      <c r="AR482">
        <v>420</v>
      </c>
      <c r="AS482">
        <v>450</v>
      </c>
      <c r="AT482">
        <v>480</v>
      </c>
      <c r="AU482">
        <v>432</v>
      </c>
      <c r="AV482">
        <v>495</v>
      </c>
      <c r="AW482">
        <v>450</v>
      </c>
      <c r="AX482">
        <v>420</v>
      </c>
      <c r="AY482">
        <v>270</v>
      </c>
      <c r="AZ482">
        <v>0</v>
      </c>
      <c r="BA482">
        <v>0</v>
      </c>
      <c r="BB482">
        <v>270</v>
      </c>
      <c r="BC482">
        <v>360</v>
      </c>
      <c r="BD482">
        <v>360</v>
      </c>
      <c r="BE482">
        <v>360</v>
      </c>
      <c r="BF482">
        <v>280</v>
      </c>
      <c r="BG482">
        <v>252</v>
      </c>
      <c r="BH482">
        <v>180</v>
      </c>
      <c r="BI482">
        <v>0</v>
      </c>
      <c r="BJ482">
        <v>0</v>
      </c>
      <c r="BK482">
        <v>225</v>
      </c>
      <c r="BL482">
        <v>278.18181818181819</v>
      </c>
      <c r="BM482">
        <v>270</v>
      </c>
      <c r="BN482">
        <v>270</v>
      </c>
      <c r="BO482">
        <v>270</v>
      </c>
      <c r="BP482">
        <v>225</v>
      </c>
      <c r="BQ482">
        <f>(I482+J482+N482+O482)/4</f>
        <v>5.125</v>
      </c>
      <c r="BR482">
        <f>(K482+L482+M482)/3</f>
        <v>5.0444444444444443</v>
      </c>
      <c r="BS482">
        <f>BQ482/BR482</f>
        <v>1.0159691629955947</v>
      </c>
      <c r="BT482">
        <f>AQ482/I482</f>
        <v>90</v>
      </c>
      <c r="BU482" t="str">
        <f>IF(OR(A482=2, A482=12), "Central", IF(A482=3, "Semi-Central", "Periférica"))</f>
        <v>Periférica</v>
      </c>
    </row>
    <row r="483" spans="1:73" x14ac:dyDescent="0.3">
      <c r="A483" s="1">
        <v>11</v>
      </c>
      <c r="B483" s="1">
        <v>1122</v>
      </c>
      <c r="C483" s="1" t="s">
        <v>285</v>
      </c>
      <c r="D483" t="s">
        <v>5</v>
      </c>
      <c r="F483">
        <v>0</v>
      </c>
      <c r="G483">
        <v>0</v>
      </c>
      <c r="H483">
        <v>5</v>
      </c>
      <c r="I483">
        <v>5.333333333333333</v>
      </c>
      <c r="J483">
        <v>4.666666666666667</v>
      </c>
      <c r="K483">
        <v>5</v>
      </c>
      <c r="L483">
        <v>5.333333333333333</v>
      </c>
      <c r="M483">
        <v>4.8</v>
      </c>
      <c r="N483">
        <v>5.5</v>
      </c>
      <c r="O483">
        <v>5</v>
      </c>
      <c r="P483">
        <v>4</v>
      </c>
      <c r="Q483">
        <v>3</v>
      </c>
      <c r="R483">
        <v>0</v>
      </c>
      <c r="S483">
        <v>0</v>
      </c>
      <c r="T483">
        <v>3</v>
      </c>
      <c r="U483">
        <v>5.2</v>
      </c>
      <c r="V483">
        <v>4.333333333333333</v>
      </c>
      <c r="W483">
        <v>5</v>
      </c>
      <c r="X483">
        <v>4.2222222222222223</v>
      </c>
      <c r="Y483">
        <v>3.2</v>
      </c>
      <c r="Z483">
        <v>3</v>
      </c>
      <c r="AA483">
        <v>0</v>
      </c>
      <c r="AB483">
        <v>0</v>
      </c>
      <c r="AC483">
        <v>4.5</v>
      </c>
      <c r="AD483">
        <v>4.5454545454545459</v>
      </c>
      <c r="AE483">
        <v>4.2</v>
      </c>
      <c r="AF483">
        <v>4</v>
      </c>
      <c r="AG483">
        <v>4</v>
      </c>
      <c r="AH483">
        <v>3.5</v>
      </c>
      <c r="AI483" s="1">
        <v>11</v>
      </c>
      <c r="AJ483" s="1">
        <v>1122</v>
      </c>
      <c r="AK483" s="1" t="s">
        <v>285</v>
      </c>
      <c r="AL483" t="s">
        <v>5</v>
      </c>
      <c r="AN483">
        <v>0</v>
      </c>
      <c r="AO483">
        <v>0</v>
      </c>
      <c r="AP483">
        <v>450</v>
      </c>
      <c r="AQ483">
        <v>480</v>
      </c>
      <c r="AR483">
        <v>420</v>
      </c>
      <c r="AS483">
        <v>450</v>
      </c>
      <c r="AT483">
        <v>480</v>
      </c>
      <c r="AU483">
        <v>432</v>
      </c>
      <c r="AV483">
        <v>495</v>
      </c>
      <c r="AW483">
        <v>450</v>
      </c>
      <c r="AX483">
        <v>360</v>
      </c>
      <c r="AY483">
        <v>270</v>
      </c>
      <c r="AZ483">
        <v>0</v>
      </c>
      <c r="BA483">
        <v>0</v>
      </c>
      <c r="BB483">
        <v>270</v>
      </c>
      <c r="BC483">
        <v>468</v>
      </c>
      <c r="BD483">
        <v>390</v>
      </c>
      <c r="BE483">
        <v>450</v>
      </c>
      <c r="BF483">
        <v>380</v>
      </c>
      <c r="BG483">
        <v>288</v>
      </c>
      <c r="BH483">
        <v>270</v>
      </c>
      <c r="BI483">
        <v>0</v>
      </c>
      <c r="BJ483">
        <v>0</v>
      </c>
      <c r="BK483">
        <v>405</v>
      </c>
      <c r="BL483">
        <v>409.09090909090912</v>
      </c>
      <c r="BM483">
        <v>378</v>
      </c>
      <c r="BN483">
        <v>360</v>
      </c>
      <c r="BO483">
        <v>360</v>
      </c>
      <c r="BP483">
        <v>315</v>
      </c>
      <c r="BQ483">
        <f>(I483+J483+N483+O483)/4</f>
        <v>5.125</v>
      </c>
      <c r="BR483">
        <f>(K483+L483+M483)/3</f>
        <v>5.0444444444444443</v>
      </c>
      <c r="BS483">
        <f>BQ483/BR483</f>
        <v>1.0159691629955947</v>
      </c>
      <c r="BT483">
        <f>AQ483/I483</f>
        <v>90</v>
      </c>
      <c r="BU483" t="str">
        <f>IF(OR(A483=2, A483=12), "Central", IF(A483=3, "Semi-Central", "Periférica"))</f>
        <v>Periférica</v>
      </c>
    </row>
    <row r="484" spans="1:73" x14ac:dyDescent="0.3">
      <c r="A484" s="1">
        <v>5</v>
      </c>
      <c r="B484" s="1">
        <v>514</v>
      </c>
      <c r="C484" s="1">
        <v>514</v>
      </c>
      <c r="D484" t="s">
        <v>1</v>
      </c>
      <c r="E484" t="s">
        <v>0</v>
      </c>
      <c r="F484">
        <v>0</v>
      </c>
      <c r="G484">
        <v>0</v>
      </c>
      <c r="H484">
        <v>5</v>
      </c>
      <c r="I484">
        <v>7.333333333333333</v>
      </c>
      <c r="J484">
        <v>6</v>
      </c>
      <c r="K484">
        <v>5</v>
      </c>
      <c r="L484">
        <v>5.333333333333333</v>
      </c>
      <c r="M484">
        <v>8</v>
      </c>
      <c r="N484">
        <v>6.5</v>
      </c>
      <c r="O484">
        <v>5</v>
      </c>
      <c r="P484">
        <v>4.666666666666667</v>
      </c>
      <c r="Q484">
        <v>3.5</v>
      </c>
      <c r="R484">
        <v>0</v>
      </c>
      <c r="S484">
        <v>0</v>
      </c>
      <c r="T484">
        <v>3</v>
      </c>
      <c r="U484">
        <v>5.2</v>
      </c>
      <c r="V484">
        <v>4.666666666666667</v>
      </c>
      <c r="W484">
        <v>4.666666666666667</v>
      </c>
      <c r="X484">
        <v>4.4444444444444446</v>
      </c>
      <c r="Y484">
        <v>3.6</v>
      </c>
      <c r="Z484">
        <v>3</v>
      </c>
      <c r="AA484">
        <v>0</v>
      </c>
      <c r="AB484">
        <v>0</v>
      </c>
      <c r="AC484">
        <v>3.5</v>
      </c>
      <c r="AD484">
        <v>3.6363636363636362</v>
      </c>
      <c r="AE484">
        <v>4</v>
      </c>
      <c r="AF484">
        <v>3.6666666666666665</v>
      </c>
      <c r="AG484">
        <v>3</v>
      </c>
      <c r="AH484">
        <v>2.5</v>
      </c>
      <c r="AI484" s="1">
        <v>5</v>
      </c>
      <c r="AJ484" s="1">
        <v>514</v>
      </c>
      <c r="AK484" s="1">
        <v>514</v>
      </c>
      <c r="AL484" t="s">
        <v>1</v>
      </c>
      <c r="AM484" t="s">
        <v>0</v>
      </c>
      <c r="AN484">
        <v>0</v>
      </c>
      <c r="AO484">
        <v>0</v>
      </c>
      <c r="AP484">
        <v>438</v>
      </c>
      <c r="AQ484">
        <v>652.66666666666663</v>
      </c>
      <c r="AR484">
        <v>500.66666666666669</v>
      </c>
      <c r="AS484">
        <v>445.33333333333331</v>
      </c>
      <c r="AT484">
        <v>476</v>
      </c>
      <c r="AU484">
        <v>674.4</v>
      </c>
      <c r="AV484">
        <v>554</v>
      </c>
      <c r="AW484">
        <v>416</v>
      </c>
      <c r="AX484">
        <v>407.33333333333331</v>
      </c>
      <c r="AY484">
        <v>283.5</v>
      </c>
      <c r="AZ484">
        <v>0</v>
      </c>
      <c r="BA484">
        <v>0</v>
      </c>
      <c r="BB484">
        <v>243</v>
      </c>
      <c r="BC484">
        <v>421.2</v>
      </c>
      <c r="BD484">
        <v>378</v>
      </c>
      <c r="BE484">
        <v>378</v>
      </c>
      <c r="BF484">
        <v>360</v>
      </c>
      <c r="BG484">
        <v>291.60000000000002</v>
      </c>
      <c r="BH484">
        <v>243</v>
      </c>
      <c r="BI484">
        <v>0</v>
      </c>
      <c r="BJ484">
        <v>0</v>
      </c>
      <c r="BK484">
        <v>283.5</v>
      </c>
      <c r="BL484">
        <v>294.54545454545456</v>
      </c>
      <c r="BM484">
        <v>324</v>
      </c>
      <c r="BN484">
        <v>297</v>
      </c>
      <c r="BO484">
        <v>243</v>
      </c>
      <c r="BP484">
        <v>202.5</v>
      </c>
      <c r="BQ484">
        <f>(I484+J484+N484+O484)/4</f>
        <v>6.208333333333333</v>
      </c>
      <c r="BR484">
        <f>(K484+L484+M484)/3</f>
        <v>6.1111111111111107</v>
      </c>
      <c r="BS484">
        <f>BQ484/BR484</f>
        <v>1.0159090909090909</v>
      </c>
      <c r="BT484">
        <f>AQ484/I484</f>
        <v>89</v>
      </c>
      <c r="BU484" t="str">
        <f>IF(OR(A484=2, A484=12), "Central", IF(A484=3, "Semi-Central", "Periférica"))</f>
        <v>Periférica</v>
      </c>
    </row>
    <row r="485" spans="1:73" x14ac:dyDescent="0.3">
      <c r="A485" s="1">
        <v>11</v>
      </c>
      <c r="B485" s="1">
        <v>1141</v>
      </c>
      <c r="C485" s="1" t="s">
        <v>272</v>
      </c>
      <c r="D485" t="s">
        <v>1</v>
      </c>
      <c r="F485">
        <v>0</v>
      </c>
      <c r="G485">
        <v>0.22222222222222221</v>
      </c>
      <c r="H485">
        <v>4</v>
      </c>
      <c r="I485">
        <v>5.333333333333333</v>
      </c>
      <c r="J485">
        <v>4.666666666666667</v>
      </c>
      <c r="K485">
        <v>4.666666666666667</v>
      </c>
      <c r="L485">
        <v>5.333333333333333</v>
      </c>
      <c r="M485">
        <v>4.8</v>
      </c>
      <c r="N485">
        <v>5</v>
      </c>
      <c r="O485">
        <v>5</v>
      </c>
      <c r="P485">
        <v>4</v>
      </c>
      <c r="Q485">
        <v>1.5</v>
      </c>
      <c r="R485">
        <v>0</v>
      </c>
      <c r="S485">
        <v>0.22222222222222221</v>
      </c>
      <c r="T485">
        <v>2</v>
      </c>
      <c r="U485">
        <v>3.2</v>
      </c>
      <c r="V485">
        <v>4</v>
      </c>
      <c r="W485">
        <v>4</v>
      </c>
      <c r="X485">
        <v>3.333333333333333</v>
      </c>
      <c r="Y485">
        <v>3.2</v>
      </c>
      <c r="Z485">
        <v>1.5</v>
      </c>
      <c r="AA485">
        <v>0</v>
      </c>
      <c r="AB485">
        <v>0.22222222222222221</v>
      </c>
      <c r="AC485">
        <v>3</v>
      </c>
      <c r="AD485">
        <v>2.9090909090909092</v>
      </c>
      <c r="AE485">
        <v>3</v>
      </c>
      <c r="AF485">
        <v>3</v>
      </c>
      <c r="AG485">
        <v>3</v>
      </c>
      <c r="AH485">
        <v>1.5</v>
      </c>
      <c r="AI485" s="1">
        <v>11</v>
      </c>
      <c r="AJ485" s="1">
        <v>1141</v>
      </c>
      <c r="AK485" s="1" t="s">
        <v>272</v>
      </c>
      <c r="AL485" t="s">
        <v>1</v>
      </c>
      <c r="AN485">
        <v>0</v>
      </c>
      <c r="AO485">
        <v>20</v>
      </c>
      <c r="AP485">
        <v>360</v>
      </c>
      <c r="AQ485">
        <v>480</v>
      </c>
      <c r="AR485">
        <v>420</v>
      </c>
      <c r="AS485">
        <v>420</v>
      </c>
      <c r="AT485">
        <v>480</v>
      </c>
      <c r="AU485">
        <v>432</v>
      </c>
      <c r="AV485">
        <v>450</v>
      </c>
      <c r="AW485">
        <v>450</v>
      </c>
      <c r="AX485">
        <v>360</v>
      </c>
      <c r="AY485">
        <v>135</v>
      </c>
      <c r="AZ485">
        <v>0</v>
      </c>
      <c r="BA485">
        <v>20</v>
      </c>
      <c r="BB485">
        <v>180</v>
      </c>
      <c r="BC485">
        <v>288</v>
      </c>
      <c r="BD485">
        <v>360</v>
      </c>
      <c r="BE485">
        <v>360</v>
      </c>
      <c r="BF485">
        <v>300</v>
      </c>
      <c r="BG485">
        <v>288</v>
      </c>
      <c r="BH485">
        <v>135</v>
      </c>
      <c r="BI485">
        <v>0</v>
      </c>
      <c r="BJ485">
        <v>20</v>
      </c>
      <c r="BK485">
        <v>270</v>
      </c>
      <c r="BL485">
        <v>261.81818181818181</v>
      </c>
      <c r="BM485">
        <v>270</v>
      </c>
      <c r="BN485">
        <v>270</v>
      </c>
      <c r="BO485">
        <v>270</v>
      </c>
      <c r="BP485">
        <v>135</v>
      </c>
      <c r="BQ485">
        <f>(I485+J485+N485+O485)/4</f>
        <v>5</v>
      </c>
      <c r="BR485">
        <f>(K485+L485+M485)/3</f>
        <v>4.9333333333333336</v>
      </c>
      <c r="BS485">
        <f>BQ485/BR485</f>
        <v>1.0135135135135134</v>
      </c>
      <c r="BT485">
        <f>AQ485/I485</f>
        <v>90</v>
      </c>
      <c r="BU485" t="str">
        <f>IF(OR(A485=2, A485=12), "Central", IF(A485=3, "Semi-Central", "Periférica"))</f>
        <v>Periférica</v>
      </c>
    </row>
    <row r="486" spans="1:73" x14ac:dyDescent="0.3">
      <c r="A486" s="1">
        <v>11</v>
      </c>
      <c r="B486" s="1">
        <v>1107</v>
      </c>
      <c r="C486" s="1" t="s">
        <v>284</v>
      </c>
      <c r="D486" t="s">
        <v>5</v>
      </c>
      <c r="F486">
        <v>0</v>
      </c>
      <c r="G486">
        <v>0</v>
      </c>
      <c r="H486">
        <v>5</v>
      </c>
      <c r="I486">
        <v>6.666666666666667</v>
      </c>
      <c r="J486">
        <v>6</v>
      </c>
      <c r="K486">
        <v>8</v>
      </c>
      <c r="L486">
        <v>6</v>
      </c>
      <c r="M486">
        <v>7.6</v>
      </c>
      <c r="N486">
        <v>9</v>
      </c>
      <c r="O486">
        <v>7.5</v>
      </c>
      <c r="P486">
        <v>6</v>
      </c>
      <c r="Q486">
        <v>2</v>
      </c>
      <c r="R486">
        <v>0</v>
      </c>
      <c r="S486">
        <v>0</v>
      </c>
      <c r="T486">
        <v>3</v>
      </c>
      <c r="U486">
        <v>6.8</v>
      </c>
      <c r="V486">
        <v>5.666666666666667</v>
      </c>
      <c r="W486">
        <v>6</v>
      </c>
      <c r="X486">
        <v>5.5555555555555554</v>
      </c>
      <c r="Y486">
        <v>4.4000000000000004</v>
      </c>
      <c r="Z486">
        <v>2</v>
      </c>
      <c r="AA486">
        <v>0</v>
      </c>
      <c r="AB486">
        <v>0</v>
      </c>
      <c r="AC486">
        <v>1.5</v>
      </c>
      <c r="AD486">
        <v>3.2727272727272729</v>
      </c>
      <c r="AE486">
        <v>4</v>
      </c>
      <c r="AF486">
        <v>3.333333333333333</v>
      </c>
      <c r="AG486">
        <v>3</v>
      </c>
      <c r="AH486">
        <v>2.5</v>
      </c>
      <c r="AI486" s="1">
        <v>11</v>
      </c>
      <c r="AJ486" s="1">
        <v>1107</v>
      </c>
      <c r="AK486" s="1" t="s">
        <v>284</v>
      </c>
      <c r="AL486" t="s">
        <v>5</v>
      </c>
      <c r="AN486">
        <v>0</v>
      </c>
      <c r="AO486">
        <v>0</v>
      </c>
      <c r="AP486">
        <v>450</v>
      </c>
      <c r="AQ486">
        <v>600</v>
      </c>
      <c r="AR486">
        <v>540</v>
      </c>
      <c r="AS486">
        <v>720</v>
      </c>
      <c r="AT486">
        <v>540</v>
      </c>
      <c r="AU486">
        <v>684</v>
      </c>
      <c r="AV486">
        <v>810</v>
      </c>
      <c r="AW486">
        <v>675</v>
      </c>
      <c r="AX486">
        <v>540</v>
      </c>
      <c r="AY486">
        <v>180</v>
      </c>
      <c r="AZ486">
        <v>0</v>
      </c>
      <c r="BA486">
        <v>0</v>
      </c>
      <c r="BB486">
        <v>270</v>
      </c>
      <c r="BC486">
        <v>612</v>
      </c>
      <c r="BD486">
        <v>510</v>
      </c>
      <c r="BE486">
        <v>540</v>
      </c>
      <c r="BF486">
        <v>500</v>
      </c>
      <c r="BG486">
        <v>396</v>
      </c>
      <c r="BH486">
        <v>180</v>
      </c>
      <c r="BI486">
        <v>0</v>
      </c>
      <c r="BJ486">
        <v>0</v>
      </c>
      <c r="BK486">
        <v>135</v>
      </c>
      <c r="BL486">
        <v>294.54545454545462</v>
      </c>
      <c r="BM486">
        <v>360</v>
      </c>
      <c r="BN486">
        <v>300</v>
      </c>
      <c r="BO486">
        <v>270</v>
      </c>
      <c r="BP486">
        <v>225</v>
      </c>
      <c r="BQ486">
        <f>(I486+J486+N486+O486)/4</f>
        <v>7.291666666666667</v>
      </c>
      <c r="BR486">
        <f>(K486+L486+M486)/3</f>
        <v>7.2</v>
      </c>
      <c r="BS486">
        <f>BQ486/BR486</f>
        <v>1.0127314814814814</v>
      </c>
      <c r="BT486">
        <f>AQ486/I486</f>
        <v>90</v>
      </c>
      <c r="BU486" t="str">
        <f>IF(OR(A486=2, A486=12), "Central", IF(A486=3, "Semi-Central", "Periférica"))</f>
        <v>Periférica</v>
      </c>
    </row>
    <row r="487" spans="1:73" x14ac:dyDescent="0.3">
      <c r="A487" s="1">
        <v>12</v>
      </c>
      <c r="B487" s="1">
        <v>1208</v>
      </c>
      <c r="C487" s="1" t="s">
        <v>84</v>
      </c>
      <c r="D487" t="s">
        <v>5</v>
      </c>
      <c r="E487" t="s">
        <v>0</v>
      </c>
      <c r="F487">
        <v>0</v>
      </c>
      <c r="G487">
        <v>0.66666666666666663</v>
      </c>
      <c r="H487">
        <v>7</v>
      </c>
      <c r="I487">
        <v>6.666666666666667</v>
      </c>
      <c r="J487">
        <v>6.666666666666667</v>
      </c>
      <c r="K487">
        <v>6</v>
      </c>
      <c r="L487">
        <v>6</v>
      </c>
      <c r="M487">
        <v>6.4</v>
      </c>
      <c r="N487">
        <v>6</v>
      </c>
      <c r="O487">
        <v>5.5</v>
      </c>
      <c r="P487">
        <v>5.333333333333333</v>
      </c>
      <c r="Q487">
        <v>4</v>
      </c>
      <c r="R487">
        <v>0</v>
      </c>
      <c r="S487">
        <v>0.22222222222222221</v>
      </c>
      <c r="T487">
        <v>3</v>
      </c>
      <c r="U487">
        <v>4.4000000000000004</v>
      </c>
      <c r="V487">
        <v>4</v>
      </c>
      <c r="W487">
        <v>4</v>
      </c>
      <c r="X487">
        <v>4.2222222222222223</v>
      </c>
      <c r="Y487">
        <v>3.6</v>
      </c>
      <c r="Z487">
        <v>3.5</v>
      </c>
      <c r="AA487">
        <v>0</v>
      </c>
      <c r="AB487">
        <v>0.22222222222222221</v>
      </c>
      <c r="AC487">
        <v>2.5</v>
      </c>
      <c r="AD487">
        <v>3.6363636363636358</v>
      </c>
      <c r="AE487">
        <v>4</v>
      </c>
      <c r="AF487">
        <v>3</v>
      </c>
      <c r="AG487">
        <v>3</v>
      </c>
      <c r="AH487">
        <v>3.5</v>
      </c>
      <c r="AI487" s="1">
        <v>12</v>
      </c>
      <c r="AJ487" s="1">
        <v>1208</v>
      </c>
      <c r="AK487" s="1" t="s">
        <v>84</v>
      </c>
      <c r="AL487" t="s">
        <v>5</v>
      </c>
      <c r="AM487" t="s">
        <v>0</v>
      </c>
      <c r="AN487">
        <v>0</v>
      </c>
      <c r="AO487">
        <v>60</v>
      </c>
      <c r="AP487">
        <v>630</v>
      </c>
      <c r="AQ487">
        <v>600</v>
      </c>
      <c r="AR487">
        <v>600</v>
      </c>
      <c r="AS487">
        <v>540</v>
      </c>
      <c r="AT487">
        <v>540</v>
      </c>
      <c r="AU487">
        <v>576</v>
      </c>
      <c r="AV487">
        <v>540</v>
      </c>
      <c r="AW487">
        <v>495</v>
      </c>
      <c r="AX487">
        <v>480</v>
      </c>
      <c r="AY487">
        <v>360</v>
      </c>
      <c r="AZ487">
        <v>0</v>
      </c>
      <c r="BA487">
        <v>20</v>
      </c>
      <c r="BB487">
        <v>270</v>
      </c>
      <c r="BC487">
        <v>396</v>
      </c>
      <c r="BD487">
        <v>360</v>
      </c>
      <c r="BE487">
        <v>360</v>
      </c>
      <c r="BF487">
        <v>380</v>
      </c>
      <c r="BG487">
        <v>324</v>
      </c>
      <c r="BH487">
        <v>315</v>
      </c>
      <c r="BI487">
        <v>0</v>
      </c>
      <c r="BJ487">
        <v>20</v>
      </c>
      <c r="BK487">
        <v>225</v>
      </c>
      <c r="BL487">
        <v>327.27272727272731</v>
      </c>
      <c r="BM487">
        <v>360</v>
      </c>
      <c r="BN487">
        <v>270</v>
      </c>
      <c r="BO487">
        <v>270</v>
      </c>
      <c r="BP487">
        <v>315</v>
      </c>
      <c r="BQ487">
        <f>(I487+J487+N487+O487)/4</f>
        <v>6.2083333333333339</v>
      </c>
      <c r="BR487">
        <f>(K487+L487+M487)/3</f>
        <v>6.1333333333333329</v>
      </c>
      <c r="BS487">
        <f>BQ487/BR487</f>
        <v>1.0122282608695654</v>
      </c>
      <c r="BT487">
        <f>AQ487/I487</f>
        <v>90</v>
      </c>
      <c r="BU487" t="str">
        <f>IF(OR(A487=2, A487=12), "Central", IF(A487=3, "Semi-Central", "Periférica"))</f>
        <v>Central</v>
      </c>
    </row>
    <row r="488" spans="1:73" x14ac:dyDescent="0.3">
      <c r="A488" s="1">
        <v>9</v>
      </c>
      <c r="B488" s="1">
        <v>926</v>
      </c>
      <c r="C488" s="1" t="s">
        <v>283</v>
      </c>
      <c r="D488" t="s">
        <v>1</v>
      </c>
      <c r="F488">
        <v>0</v>
      </c>
      <c r="G488">
        <v>1.7777777777777779</v>
      </c>
      <c r="H488">
        <v>9</v>
      </c>
      <c r="I488">
        <v>8.6666666666666661</v>
      </c>
      <c r="J488">
        <v>6</v>
      </c>
      <c r="K488">
        <v>6.333333333333333</v>
      </c>
      <c r="L488">
        <v>6.666666666666667</v>
      </c>
      <c r="M488">
        <v>6.8</v>
      </c>
      <c r="N488">
        <v>6</v>
      </c>
      <c r="O488">
        <v>6</v>
      </c>
      <c r="P488">
        <v>6</v>
      </c>
      <c r="Q488">
        <v>3.5</v>
      </c>
      <c r="R488">
        <v>0</v>
      </c>
      <c r="S488">
        <v>0.44444444444444442</v>
      </c>
      <c r="T488">
        <v>6</v>
      </c>
      <c r="U488">
        <v>6</v>
      </c>
      <c r="V488">
        <v>5</v>
      </c>
      <c r="W488">
        <v>5</v>
      </c>
      <c r="X488">
        <v>5.1111111111111107</v>
      </c>
      <c r="Y488">
        <v>3.6</v>
      </c>
      <c r="Z488">
        <v>2.5</v>
      </c>
      <c r="AA488">
        <v>0</v>
      </c>
      <c r="AB488">
        <v>0.44444444444444442</v>
      </c>
      <c r="AC488">
        <v>3</v>
      </c>
      <c r="AD488">
        <v>4</v>
      </c>
      <c r="AE488">
        <v>5</v>
      </c>
      <c r="AF488">
        <v>4</v>
      </c>
      <c r="AG488">
        <v>3</v>
      </c>
      <c r="AH488">
        <v>2.5</v>
      </c>
      <c r="AI488" s="1">
        <v>9</v>
      </c>
      <c r="AJ488" s="1">
        <v>926</v>
      </c>
      <c r="AK488" s="1" t="s">
        <v>283</v>
      </c>
      <c r="AL488" t="s">
        <v>1</v>
      </c>
      <c r="AN488">
        <v>0</v>
      </c>
      <c r="AO488">
        <v>160</v>
      </c>
      <c r="AP488">
        <v>810</v>
      </c>
      <c r="AQ488">
        <v>780</v>
      </c>
      <c r="AR488">
        <v>540</v>
      </c>
      <c r="AS488">
        <v>570</v>
      </c>
      <c r="AT488">
        <v>600</v>
      </c>
      <c r="AU488">
        <v>612</v>
      </c>
      <c r="AV488">
        <v>540</v>
      </c>
      <c r="AW488">
        <v>540</v>
      </c>
      <c r="AX488">
        <v>540</v>
      </c>
      <c r="AY488">
        <v>315</v>
      </c>
      <c r="AZ488">
        <v>0</v>
      </c>
      <c r="BA488">
        <v>40</v>
      </c>
      <c r="BB488">
        <v>540</v>
      </c>
      <c r="BC488">
        <v>540</v>
      </c>
      <c r="BD488">
        <v>450</v>
      </c>
      <c r="BE488">
        <v>450</v>
      </c>
      <c r="BF488">
        <v>460</v>
      </c>
      <c r="BG488">
        <v>324</v>
      </c>
      <c r="BH488">
        <v>225</v>
      </c>
      <c r="BI488">
        <v>0</v>
      </c>
      <c r="BJ488">
        <v>40</v>
      </c>
      <c r="BK488">
        <v>270</v>
      </c>
      <c r="BL488">
        <v>360</v>
      </c>
      <c r="BM488">
        <v>450</v>
      </c>
      <c r="BN488">
        <v>360</v>
      </c>
      <c r="BO488">
        <v>270</v>
      </c>
      <c r="BP488">
        <v>225</v>
      </c>
      <c r="BQ488">
        <f>(I488+J488+N488+O488)/4</f>
        <v>6.6666666666666661</v>
      </c>
      <c r="BR488">
        <f>(K488+L488+M488)/3</f>
        <v>6.6000000000000005</v>
      </c>
      <c r="BS488">
        <f>BQ488/BR488</f>
        <v>1.0101010101010099</v>
      </c>
      <c r="BT488">
        <f>AQ488/I488</f>
        <v>90</v>
      </c>
      <c r="BU488" t="str">
        <f>IF(OR(A488=2, A488=12), "Central", IF(A488=3, "Semi-Central", "Periférica"))</f>
        <v>Periférica</v>
      </c>
    </row>
    <row r="489" spans="1:73" x14ac:dyDescent="0.3">
      <c r="A489" s="1">
        <v>3</v>
      </c>
      <c r="B489" s="1">
        <v>382</v>
      </c>
      <c r="C489" s="1" t="s">
        <v>281</v>
      </c>
      <c r="D489" t="s">
        <v>5</v>
      </c>
      <c r="E489" t="s">
        <v>0</v>
      </c>
      <c r="F489">
        <v>0</v>
      </c>
      <c r="G489">
        <v>0.44444444444444442</v>
      </c>
      <c r="H489">
        <v>5</v>
      </c>
      <c r="I489">
        <v>5.333333333333333</v>
      </c>
      <c r="J489">
        <v>4</v>
      </c>
      <c r="K489">
        <v>5</v>
      </c>
      <c r="L489">
        <v>5.333333333333333</v>
      </c>
      <c r="M489">
        <v>4.4000000000000004</v>
      </c>
      <c r="N489">
        <v>5.5</v>
      </c>
      <c r="O489">
        <v>5</v>
      </c>
      <c r="P489">
        <v>4.666666666666667</v>
      </c>
      <c r="Q489">
        <v>2</v>
      </c>
      <c r="R489">
        <v>0</v>
      </c>
      <c r="S489">
        <v>0</v>
      </c>
      <c r="T489">
        <v>3</v>
      </c>
      <c r="U489">
        <v>4</v>
      </c>
      <c r="V489">
        <v>4</v>
      </c>
      <c r="W489">
        <v>4</v>
      </c>
      <c r="X489">
        <v>4</v>
      </c>
      <c r="Y489">
        <v>2.8</v>
      </c>
      <c r="Z489">
        <v>1.5</v>
      </c>
      <c r="AA489">
        <v>0</v>
      </c>
      <c r="AB489">
        <v>0</v>
      </c>
      <c r="AC489">
        <v>3</v>
      </c>
      <c r="AD489">
        <v>4</v>
      </c>
      <c r="AE489">
        <v>4</v>
      </c>
      <c r="AF489">
        <v>4</v>
      </c>
      <c r="AG489">
        <v>3</v>
      </c>
      <c r="AH489">
        <v>1</v>
      </c>
      <c r="AI489" s="1">
        <v>3</v>
      </c>
      <c r="AJ489" s="1">
        <v>382</v>
      </c>
      <c r="AK489" s="1" t="s">
        <v>281</v>
      </c>
      <c r="AL489" t="s">
        <v>5</v>
      </c>
      <c r="AM489" t="s">
        <v>0</v>
      </c>
      <c r="AN489">
        <v>0</v>
      </c>
      <c r="AO489">
        <v>43.555555555555557</v>
      </c>
      <c r="AP489">
        <v>490</v>
      </c>
      <c r="AQ489">
        <v>522.66666666666663</v>
      </c>
      <c r="AR489">
        <v>392</v>
      </c>
      <c r="AS489">
        <v>490</v>
      </c>
      <c r="AT489">
        <v>522.66666666666663</v>
      </c>
      <c r="AU489">
        <v>431.2</v>
      </c>
      <c r="AV489">
        <v>539</v>
      </c>
      <c r="AW489">
        <v>490</v>
      </c>
      <c r="AX489">
        <v>457.33333333333331</v>
      </c>
      <c r="AY489">
        <v>196</v>
      </c>
      <c r="AZ489">
        <v>0</v>
      </c>
      <c r="BA489">
        <v>0</v>
      </c>
      <c r="BB489">
        <v>294</v>
      </c>
      <c r="BC489">
        <v>392</v>
      </c>
      <c r="BD489">
        <v>392</v>
      </c>
      <c r="BE489">
        <v>392</v>
      </c>
      <c r="BF489">
        <v>392</v>
      </c>
      <c r="BG489">
        <v>274.39999999999998</v>
      </c>
      <c r="BH489">
        <v>147</v>
      </c>
      <c r="BI489">
        <v>0</v>
      </c>
      <c r="BJ489">
        <v>0</v>
      </c>
      <c r="BK489">
        <v>294</v>
      </c>
      <c r="BL489">
        <v>392</v>
      </c>
      <c r="BM489">
        <v>392</v>
      </c>
      <c r="BN489">
        <v>392</v>
      </c>
      <c r="BO489">
        <v>294</v>
      </c>
      <c r="BP489">
        <v>98</v>
      </c>
      <c r="BQ489">
        <f>(I489+J489+N489+O489)/4</f>
        <v>4.958333333333333</v>
      </c>
      <c r="BR489">
        <f>(K489+L489+M489)/3</f>
        <v>4.9111111111111105</v>
      </c>
      <c r="BS489">
        <f>BQ489/BR489</f>
        <v>1.0096153846153846</v>
      </c>
      <c r="BT489">
        <f>AQ489/I489</f>
        <v>98</v>
      </c>
      <c r="BU489" t="str">
        <f>IF(OR(A489=2, A489=12), "Central", IF(A489=3, "Semi-Central", "Periférica"))</f>
        <v>Semi-Central</v>
      </c>
    </row>
    <row r="490" spans="1:73" x14ac:dyDescent="0.3">
      <c r="A490" s="1">
        <v>10</v>
      </c>
      <c r="B490" s="1">
        <v>1054</v>
      </c>
      <c r="C490" s="1" t="s">
        <v>269</v>
      </c>
      <c r="D490" t="s">
        <v>1</v>
      </c>
      <c r="E490" t="s">
        <v>0</v>
      </c>
      <c r="F490">
        <v>0</v>
      </c>
      <c r="G490">
        <v>0</v>
      </c>
      <c r="H490">
        <v>4</v>
      </c>
      <c r="I490">
        <v>5.333333333333333</v>
      </c>
      <c r="J490">
        <v>4.666666666666667</v>
      </c>
      <c r="K490">
        <v>5</v>
      </c>
      <c r="L490">
        <v>4.666666666666667</v>
      </c>
      <c r="M490">
        <v>5.2</v>
      </c>
      <c r="N490">
        <v>5</v>
      </c>
      <c r="O490">
        <v>5</v>
      </c>
      <c r="P490">
        <v>4.666666666666667</v>
      </c>
      <c r="Q490">
        <v>2.5</v>
      </c>
      <c r="R490">
        <v>0</v>
      </c>
      <c r="S490">
        <v>0</v>
      </c>
      <c r="T490">
        <v>2</v>
      </c>
      <c r="U490">
        <v>3.6</v>
      </c>
      <c r="V490">
        <v>4</v>
      </c>
      <c r="W490">
        <v>4</v>
      </c>
      <c r="X490">
        <v>3.7777777777777781</v>
      </c>
      <c r="Y490">
        <v>3.2</v>
      </c>
      <c r="Z490">
        <v>2</v>
      </c>
      <c r="AA490">
        <v>0</v>
      </c>
      <c r="AB490">
        <v>0</v>
      </c>
      <c r="AC490">
        <v>2</v>
      </c>
      <c r="AD490">
        <v>3.0909090909090908</v>
      </c>
      <c r="AE490">
        <v>3</v>
      </c>
      <c r="AF490">
        <v>3</v>
      </c>
      <c r="AG490">
        <v>3</v>
      </c>
      <c r="AH490">
        <v>2.5</v>
      </c>
      <c r="AI490" s="1">
        <v>10</v>
      </c>
      <c r="AJ490" s="1">
        <v>1054</v>
      </c>
      <c r="AK490" s="1" t="s">
        <v>269</v>
      </c>
      <c r="AL490" t="s">
        <v>1</v>
      </c>
      <c r="AM490" t="s">
        <v>0</v>
      </c>
      <c r="AN490">
        <v>0</v>
      </c>
      <c r="AO490">
        <v>0</v>
      </c>
      <c r="AP490">
        <v>240</v>
      </c>
      <c r="AQ490">
        <v>320</v>
      </c>
      <c r="AR490">
        <v>280</v>
      </c>
      <c r="AS490">
        <v>300</v>
      </c>
      <c r="AT490">
        <v>280</v>
      </c>
      <c r="AU490">
        <v>312</v>
      </c>
      <c r="AV490">
        <v>300</v>
      </c>
      <c r="AW490">
        <v>300</v>
      </c>
      <c r="AX490">
        <v>280</v>
      </c>
      <c r="AY490">
        <v>150</v>
      </c>
      <c r="AZ490">
        <v>0</v>
      </c>
      <c r="BA490">
        <v>0</v>
      </c>
      <c r="BB490">
        <v>120</v>
      </c>
      <c r="BC490">
        <v>216</v>
      </c>
      <c r="BD490">
        <v>240</v>
      </c>
      <c r="BE490">
        <v>240</v>
      </c>
      <c r="BF490">
        <v>226.66666666666671</v>
      </c>
      <c r="BG490">
        <v>192</v>
      </c>
      <c r="BH490">
        <v>120</v>
      </c>
      <c r="BI490">
        <v>0</v>
      </c>
      <c r="BJ490">
        <v>0</v>
      </c>
      <c r="BK490">
        <v>120</v>
      </c>
      <c r="BL490">
        <v>185.4545454545455</v>
      </c>
      <c r="BM490">
        <v>180</v>
      </c>
      <c r="BN490">
        <v>180</v>
      </c>
      <c r="BO490">
        <v>180</v>
      </c>
      <c r="BP490">
        <v>150</v>
      </c>
      <c r="BQ490">
        <f>(I490+J490+N490+O490)/4</f>
        <v>5</v>
      </c>
      <c r="BR490">
        <f>(K490+L490+M490)/3</f>
        <v>4.9555555555555557</v>
      </c>
      <c r="BS490">
        <f>BQ490/BR490</f>
        <v>1.0089686098654709</v>
      </c>
      <c r="BT490">
        <f>AQ490/I490</f>
        <v>60</v>
      </c>
      <c r="BU490" t="str">
        <f>IF(OR(A490=2, A490=12), "Central", IF(A490=3, "Semi-Central", "Periférica"))</f>
        <v>Periférica</v>
      </c>
    </row>
    <row r="491" spans="1:73" x14ac:dyDescent="0.3">
      <c r="A491" s="1">
        <v>3</v>
      </c>
      <c r="B491" s="1">
        <v>377</v>
      </c>
      <c r="C491" s="1" t="s">
        <v>274</v>
      </c>
      <c r="D491" t="s">
        <v>5</v>
      </c>
      <c r="E491" t="s">
        <v>0</v>
      </c>
      <c r="F491">
        <v>0</v>
      </c>
      <c r="G491">
        <v>0</v>
      </c>
      <c r="H491">
        <v>4</v>
      </c>
      <c r="I491">
        <v>5.333333333333333</v>
      </c>
      <c r="J491">
        <v>4.666666666666667</v>
      </c>
      <c r="K491">
        <v>4.666666666666667</v>
      </c>
      <c r="L491">
        <v>4.666666666666667</v>
      </c>
      <c r="M491">
        <v>4.8</v>
      </c>
      <c r="N491">
        <v>4.5</v>
      </c>
      <c r="O491">
        <v>4.5</v>
      </c>
      <c r="P491">
        <v>4</v>
      </c>
      <c r="Q491">
        <v>2</v>
      </c>
      <c r="R491">
        <v>0</v>
      </c>
      <c r="S491">
        <v>0</v>
      </c>
      <c r="T491">
        <v>3</v>
      </c>
      <c r="U491">
        <v>4</v>
      </c>
      <c r="V491">
        <v>4</v>
      </c>
      <c r="W491">
        <v>4</v>
      </c>
      <c r="X491">
        <v>4</v>
      </c>
      <c r="Y491">
        <v>2.8</v>
      </c>
      <c r="Z491">
        <v>1.5</v>
      </c>
      <c r="AA491">
        <v>0</v>
      </c>
      <c r="AB491">
        <v>0</v>
      </c>
      <c r="AC491">
        <v>2.5</v>
      </c>
      <c r="AD491">
        <v>4</v>
      </c>
      <c r="AE491">
        <v>4</v>
      </c>
      <c r="AF491">
        <v>4</v>
      </c>
      <c r="AG491">
        <v>3</v>
      </c>
      <c r="AH491">
        <v>1</v>
      </c>
      <c r="AI491" s="1">
        <v>3</v>
      </c>
      <c r="AJ491" s="1">
        <v>377</v>
      </c>
      <c r="AK491" s="1" t="s">
        <v>274</v>
      </c>
      <c r="AL491" t="s">
        <v>5</v>
      </c>
      <c r="AM491" t="s">
        <v>0</v>
      </c>
      <c r="AN491">
        <v>0</v>
      </c>
      <c r="AO491">
        <v>0</v>
      </c>
      <c r="AP491">
        <v>372</v>
      </c>
      <c r="AQ491">
        <v>496</v>
      </c>
      <c r="AR491">
        <v>434</v>
      </c>
      <c r="AS491">
        <v>434</v>
      </c>
      <c r="AT491">
        <v>434</v>
      </c>
      <c r="AU491">
        <v>446.4</v>
      </c>
      <c r="AV491">
        <v>418.5</v>
      </c>
      <c r="AW491">
        <v>418.5</v>
      </c>
      <c r="AX491">
        <v>372</v>
      </c>
      <c r="AY491">
        <v>186</v>
      </c>
      <c r="AZ491">
        <v>0</v>
      </c>
      <c r="BA491">
        <v>0</v>
      </c>
      <c r="BB491">
        <v>270</v>
      </c>
      <c r="BC491">
        <v>360</v>
      </c>
      <c r="BD491">
        <v>360</v>
      </c>
      <c r="BE491">
        <v>360</v>
      </c>
      <c r="BF491">
        <v>360</v>
      </c>
      <c r="BG491">
        <v>252</v>
      </c>
      <c r="BH491">
        <v>135</v>
      </c>
      <c r="BI491">
        <v>0</v>
      </c>
      <c r="BJ491">
        <v>0</v>
      </c>
      <c r="BK491">
        <v>225</v>
      </c>
      <c r="BL491">
        <v>360</v>
      </c>
      <c r="BM491">
        <v>360</v>
      </c>
      <c r="BN491">
        <v>360</v>
      </c>
      <c r="BO491">
        <v>270</v>
      </c>
      <c r="BP491">
        <v>90</v>
      </c>
      <c r="BQ491">
        <f>(I491+J491+N491+O491)/4</f>
        <v>4.75</v>
      </c>
      <c r="BR491">
        <f>(K491+L491+M491)/3</f>
        <v>4.7111111111111112</v>
      </c>
      <c r="BS491">
        <f>BQ491/BR491</f>
        <v>1.008254716981132</v>
      </c>
      <c r="BT491">
        <f>AQ491/I491</f>
        <v>93</v>
      </c>
      <c r="BU491" t="str">
        <f>IF(OR(A491=2, A491=12), "Central", IF(A491=3, "Semi-Central", "Periférica"))</f>
        <v>Semi-Central</v>
      </c>
    </row>
    <row r="492" spans="1:73" x14ac:dyDescent="0.3">
      <c r="A492" s="1">
        <v>10</v>
      </c>
      <c r="B492" s="1">
        <v>1004</v>
      </c>
      <c r="C492" s="1">
        <v>104</v>
      </c>
      <c r="D492" t="s">
        <v>1</v>
      </c>
      <c r="E492" t="s">
        <v>0</v>
      </c>
      <c r="F492">
        <v>2</v>
      </c>
      <c r="G492">
        <v>3.1111111111111112</v>
      </c>
      <c r="H492">
        <v>10</v>
      </c>
      <c r="I492">
        <v>13.33333333333333</v>
      </c>
      <c r="J492">
        <v>10</v>
      </c>
      <c r="K492">
        <v>10</v>
      </c>
      <c r="L492">
        <v>10</v>
      </c>
      <c r="M492">
        <v>10.4</v>
      </c>
      <c r="N492">
        <v>10</v>
      </c>
      <c r="O492">
        <v>7.5</v>
      </c>
      <c r="P492">
        <v>6</v>
      </c>
      <c r="Q492">
        <v>5</v>
      </c>
      <c r="R492">
        <v>2</v>
      </c>
      <c r="S492">
        <v>2</v>
      </c>
      <c r="T492">
        <v>6</v>
      </c>
      <c r="U492">
        <v>8.4</v>
      </c>
      <c r="V492">
        <v>8.3333333333333339</v>
      </c>
      <c r="W492">
        <v>8</v>
      </c>
      <c r="X492">
        <v>7.5555555555555554</v>
      </c>
      <c r="Y492">
        <v>6</v>
      </c>
      <c r="Z492">
        <v>3.5</v>
      </c>
      <c r="AA492">
        <v>2</v>
      </c>
      <c r="AB492">
        <v>2</v>
      </c>
      <c r="AC492">
        <v>4.5</v>
      </c>
      <c r="AD492">
        <v>6.1818181818181817</v>
      </c>
      <c r="AE492">
        <v>6.8</v>
      </c>
      <c r="AF492">
        <v>5.666666666666667</v>
      </c>
      <c r="AG492">
        <v>4</v>
      </c>
      <c r="AH492">
        <v>3</v>
      </c>
      <c r="AI492" s="1">
        <v>10</v>
      </c>
      <c r="AJ492" s="1">
        <v>1004</v>
      </c>
      <c r="AK492" s="1">
        <v>104</v>
      </c>
      <c r="AL492" t="s">
        <v>1</v>
      </c>
      <c r="AM492" t="s">
        <v>0</v>
      </c>
      <c r="AN492">
        <v>300</v>
      </c>
      <c r="AO492">
        <v>466.66666666666669</v>
      </c>
      <c r="AP492">
        <v>1500</v>
      </c>
      <c r="AQ492">
        <v>2000</v>
      </c>
      <c r="AR492">
        <v>1500</v>
      </c>
      <c r="AS492">
        <v>1500</v>
      </c>
      <c r="AT492">
        <v>1500</v>
      </c>
      <c r="AU492">
        <v>1560</v>
      </c>
      <c r="AV492">
        <v>1500</v>
      </c>
      <c r="AW492">
        <v>1125</v>
      </c>
      <c r="AX492">
        <v>900</v>
      </c>
      <c r="AY492">
        <v>750</v>
      </c>
      <c r="AZ492">
        <v>300</v>
      </c>
      <c r="BA492">
        <v>300</v>
      </c>
      <c r="BB492">
        <v>900</v>
      </c>
      <c r="BC492">
        <v>1260</v>
      </c>
      <c r="BD492">
        <v>1250</v>
      </c>
      <c r="BE492">
        <v>1200</v>
      </c>
      <c r="BF492">
        <v>1133.333333333333</v>
      </c>
      <c r="BG492">
        <v>900</v>
      </c>
      <c r="BH492">
        <v>525</v>
      </c>
      <c r="BI492">
        <v>300</v>
      </c>
      <c r="BJ492">
        <v>300</v>
      </c>
      <c r="BK492">
        <v>675</v>
      </c>
      <c r="BL492">
        <v>927.27272727272725</v>
      </c>
      <c r="BM492">
        <v>1020</v>
      </c>
      <c r="BN492">
        <v>850</v>
      </c>
      <c r="BO492">
        <v>600</v>
      </c>
      <c r="BP492">
        <v>450</v>
      </c>
      <c r="BQ492">
        <f>(I492+J492+N492+O492)/4</f>
        <v>10.208333333333332</v>
      </c>
      <c r="BR492">
        <f>(K492+L492+M492)/3</f>
        <v>10.133333333333333</v>
      </c>
      <c r="BS492">
        <f>BQ492/BR492</f>
        <v>1.0074013157894737</v>
      </c>
      <c r="BT492">
        <f>AQ492/I492</f>
        <v>150.00000000000003</v>
      </c>
      <c r="BU492" t="str">
        <f>IF(OR(A492=2, A492=12), "Central", IF(A492=3, "Semi-Central", "Periférica"))</f>
        <v>Periférica</v>
      </c>
    </row>
    <row r="493" spans="1:73" x14ac:dyDescent="0.3">
      <c r="A493" s="1">
        <v>10</v>
      </c>
      <c r="B493" s="1">
        <v>1016</v>
      </c>
      <c r="C493" s="1">
        <v>116</v>
      </c>
      <c r="D493" t="s">
        <v>5</v>
      </c>
      <c r="E493" t="s">
        <v>0</v>
      </c>
      <c r="F493">
        <v>0</v>
      </c>
      <c r="G493">
        <v>0</v>
      </c>
      <c r="H493">
        <v>5</v>
      </c>
      <c r="I493">
        <v>5.333333333333333</v>
      </c>
      <c r="J493">
        <v>4.666666666666667</v>
      </c>
      <c r="K493">
        <v>5</v>
      </c>
      <c r="L493">
        <v>4.666666666666667</v>
      </c>
      <c r="M493">
        <v>5.6</v>
      </c>
      <c r="N493">
        <v>5.5</v>
      </c>
      <c r="O493">
        <v>5</v>
      </c>
      <c r="P493">
        <v>4.666666666666667</v>
      </c>
      <c r="Q493">
        <v>3</v>
      </c>
      <c r="R493">
        <v>0</v>
      </c>
      <c r="S493">
        <v>0</v>
      </c>
      <c r="T493">
        <v>3</v>
      </c>
      <c r="U493">
        <v>4.8</v>
      </c>
      <c r="V493">
        <v>5</v>
      </c>
      <c r="W493">
        <v>4.666666666666667</v>
      </c>
      <c r="X493">
        <v>3.7777777777777781</v>
      </c>
      <c r="Y493">
        <v>2.8</v>
      </c>
      <c r="Z493">
        <v>2.5</v>
      </c>
      <c r="AA493">
        <v>0</v>
      </c>
      <c r="AB493">
        <v>0</v>
      </c>
      <c r="AC493">
        <v>3</v>
      </c>
      <c r="AD493">
        <v>4</v>
      </c>
      <c r="AE493">
        <v>3.8</v>
      </c>
      <c r="AF493">
        <v>3</v>
      </c>
      <c r="AG493">
        <v>3</v>
      </c>
      <c r="AH493">
        <v>3</v>
      </c>
      <c r="AI493" s="1">
        <v>10</v>
      </c>
      <c r="AJ493" s="1">
        <v>1016</v>
      </c>
      <c r="AK493" s="1">
        <v>116</v>
      </c>
      <c r="AL493" t="s">
        <v>5</v>
      </c>
      <c r="AM493" t="s">
        <v>0</v>
      </c>
      <c r="AN493">
        <v>0</v>
      </c>
      <c r="AO493">
        <v>0</v>
      </c>
      <c r="AP493">
        <v>450</v>
      </c>
      <c r="AQ493">
        <v>480</v>
      </c>
      <c r="AR493">
        <v>420</v>
      </c>
      <c r="AS493">
        <v>450</v>
      </c>
      <c r="AT493">
        <v>420</v>
      </c>
      <c r="AU493">
        <v>504</v>
      </c>
      <c r="AV493">
        <v>495</v>
      </c>
      <c r="AW493">
        <v>450</v>
      </c>
      <c r="AX493">
        <v>420</v>
      </c>
      <c r="AY493">
        <v>270</v>
      </c>
      <c r="AZ493">
        <v>0</v>
      </c>
      <c r="BA493">
        <v>0</v>
      </c>
      <c r="BB493">
        <v>270</v>
      </c>
      <c r="BC493">
        <v>432</v>
      </c>
      <c r="BD493">
        <v>450</v>
      </c>
      <c r="BE493">
        <v>420</v>
      </c>
      <c r="BF493">
        <v>340</v>
      </c>
      <c r="BG493">
        <v>252</v>
      </c>
      <c r="BH493">
        <v>225</v>
      </c>
      <c r="BI493">
        <v>0</v>
      </c>
      <c r="BJ493">
        <v>0</v>
      </c>
      <c r="BK493">
        <v>270</v>
      </c>
      <c r="BL493">
        <v>360</v>
      </c>
      <c r="BM493">
        <v>342</v>
      </c>
      <c r="BN493">
        <v>270</v>
      </c>
      <c r="BO493">
        <v>270</v>
      </c>
      <c r="BP493">
        <v>270</v>
      </c>
      <c r="BQ493">
        <f>(I493+J493+N493+O493)/4</f>
        <v>5.125</v>
      </c>
      <c r="BR493">
        <f>(K493+L493+M493)/3</f>
        <v>5.0888888888888895</v>
      </c>
      <c r="BS493">
        <f>BQ493/BR493</f>
        <v>1.0070960698689955</v>
      </c>
      <c r="BT493">
        <f>AQ493/I493</f>
        <v>90</v>
      </c>
      <c r="BU493" t="str">
        <f>IF(OR(A493=2, A493=12), "Central", IF(A493=3, "Semi-Central", "Periférica"))</f>
        <v>Periférica</v>
      </c>
    </row>
    <row r="494" spans="1:73" x14ac:dyDescent="0.3">
      <c r="A494" s="1">
        <v>8</v>
      </c>
      <c r="B494" s="1">
        <v>826</v>
      </c>
      <c r="C494" s="1" t="s">
        <v>157</v>
      </c>
      <c r="D494" t="s">
        <v>5</v>
      </c>
      <c r="F494">
        <v>0</v>
      </c>
      <c r="G494">
        <v>0.88888888888888884</v>
      </c>
      <c r="H494">
        <v>6</v>
      </c>
      <c r="I494">
        <v>6.666666666666667</v>
      </c>
      <c r="J494">
        <v>6</v>
      </c>
      <c r="K494">
        <v>6</v>
      </c>
      <c r="L494">
        <v>6</v>
      </c>
      <c r="M494">
        <v>6</v>
      </c>
      <c r="N494">
        <v>6</v>
      </c>
      <c r="O494">
        <v>5.5</v>
      </c>
      <c r="P494">
        <v>5.333333333333333</v>
      </c>
      <c r="Q494">
        <v>3.5</v>
      </c>
      <c r="R494">
        <v>0</v>
      </c>
      <c r="S494">
        <v>0.44444444444444442</v>
      </c>
      <c r="T494">
        <v>3</v>
      </c>
      <c r="U494">
        <v>4</v>
      </c>
      <c r="V494">
        <v>5</v>
      </c>
      <c r="W494">
        <v>5</v>
      </c>
      <c r="X494">
        <v>3.5555555555555549</v>
      </c>
      <c r="Y494">
        <v>2.8</v>
      </c>
      <c r="Z494">
        <v>3</v>
      </c>
      <c r="AA494">
        <v>0</v>
      </c>
      <c r="AB494">
        <v>0.44444444444444442</v>
      </c>
      <c r="AC494">
        <v>3</v>
      </c>
      <c r="AD494">
        <v>3.454545454545455</v>
      </c>
      <c r="AE494">
        <v>3.6</v>
      </c>
      <c r="AF494">
        <v>3</v>
      </c>
      <c r="AG494">
        <v>3</v>
      </c>
      <c r="AH494">
        <v>2.5</v>
      </c>
      <c r="AI494" s="1">
        <v>8</v>
      </c>
      <c r="AJ494" s="1">
        <v>826</v>
      </c>
      <c r="AK494" s="1" t="s">
        <v>157</v>
      </c>
      <c r="AL494" t="s">
        <v>5</v>
      </c>
      <c r="AN494">
        <v>0</v>
      </c>
      <c r="AO494">
        <v>80</v>
      </c>
      <c r="AP494">
        <v>540</v>
      </c>
      <c r="AQ494">
        <v>600</v>
      </c>
      <c r="AR494">
        <v>540</v>
      </c>
      <c r="AS494">
        <v>540</v>
      </c>
      <c r="AT494">
        <v>540</v>
      </c>
      <c r="AU494">
        <v>540</v>
      </c>
      <c r="AV494">
        <v>540</v>
      </c>
      <c r="AW494">
        <v>495</v>
      </c>
      <c r="AX494">
        <v>480</v>
      </c>
      <c r="AY494">
        <v>315</v>
      </c>
      <c r="AZ494">
        <v>0</v>
      </c>
      <c r="BA494">
        <v>40</v>
      </c>
      <c r="BB494">
        <v>270</v>
      </c>
      <c r="BC494">
        <v>360</v>
      </c>
      <c r="BD494">
        <v>450</v>
      </c>
      <c r="BE494">
        <v>450</v>
      </c>
      <c r="BF494">
        <v>320</v>
      </c>
      <c r="BG494">
        <v>252</v>
      </c>
      <c r="BH494">
        <v>270</v>
      </c>
      <c r="BI494">
        <v>0</v>
      </c>
      <c r="BJ494">
        <v>40</v>
      </c>
      <c r="BK494">
        <v>270</v>
      </c>
      <c r="BL494">
        <v>310.90909090909088</v>
      </c>
      <c r="BM494">
        <v>324</v>
      </c>
      <c r="BN494">
        <v>270</v>
      </c>
      <c r="BO494">
        <v>270</v>
      </c>
      <c r="BP494">
        <v>225</v>
      </c>
      <c r="BQ494">
        <f>(I494+J494+N494+O494)/4</f>
        <v>6.041666666666667</v>
      </c>
      <c r="BR494">
        <f>(K494+L494+M494)/3</f>
        <v>6</v>
      </c>
      <c r="BS494">
        <f>BQ494/BR494</f>
        <v>1.0069444444444444</v>
      </c>
      <c r="BT494">
        <f>AQ494/I494</f>
        <v>90</v>
      </c>
      <c r="BU494" t="str">
        <f>IF(OR(A494=2, A494=12), "Central", IF(A494=3, "Semi-Central", "Periférica"))</f>
        <v>Periférica</v>
      </c>
    </row>
    <row r="495" spans="1:73" x14ac:dyDescent="0.3">
      <c r="A495" s="1">
        <v>11</v>
      </c>
      <c r="B495" s="1">
        <v>1103</v>
      </c>
      <c r="C495" s="1" t="s">
        <v>114</v>
      </c>
      <c r="D495" t="s">
        <v>1</v>
      </c>
      <c r="F495">
        <v>1</v>
      </c>
      <c r="G495">
        <v>0</v>
      </c>
      <c r="H495">
        <v>6</v>
      </c>
      <c r="I495">
        <v>6</v>
      </c>
      <c r="J495">
        <v>6.666666666666667</v>
      </c>
      <c r="K495">
        <v>6</v>
      </c>
      <c r="L495">
        <v>6</v>
      </c>
      <c r="M495">
        <v>6</v>
      </c>
      <c r="N495">
        <v>6.5</v>
      </c>
      <c r="O495">
        <v>5</v>
      </c>
      <c r="P495">
        <v>5.333333333333333</v>
      </c>
      <c r="Q495">
        <v>3</v>
      </c>
      <c r="R495">
        <v>0</v>
      </c>
      <c r="S495">
        <v>0</v>
      </c>
      <c r="T495">
        <v>2</v>
      </c>
      <c r="U495">
        <v>5.6</v>
      </c>
      <c r="V495">
        <v>6</v>
      </c>
      <c r="W495">
        <v>5</v>
      </c>
      <c r="X495">
        <v>5.1111111111111107</v>
      </c>
      <c r="Y495">
        <v>4</v>
      </c>
      <c r="Z495">
        <v>2.5</v>
      </c>
      <c r="AA495">
        <v>0</v>
      </c>
      <c r="AB495">
        <v>0</v>
      </c>
      <c r="AC495">
        <v>2.5</v>
      </c>
      <c r="AD495">
        <v>4</v>
      </c>
      <c r="AE495">
        <v>4</v>
      </c>
      <c r="AF495">
        <v>4</v>
      </c>
      <c r="AG495">
        <v>4</v>
      </c>
      <c r="AH495">
        <v>2.5</v>
      </c>
      <c r="AI495" s="1">
        <v>11</v>
      </c>
      <c r="AJ495" s="1">
        <v>1103</v>
      </c>
      <c r="AK495" s="1" t="s">
        <v>114</v>
      </c>
      <c r="AL495" t="s">
        <v>1</v>
      </c>
      <c r="AN495">
        <v>90</v>
      </c>
      <c r="AO495">
        <v>0</v>
      </c>
      <c r="AP495">
        <v>540</v>
      </c>
      <c r="AQ495">
        <v>540</v>
      </c>
      <c r="AR495">
        <v>600</v>
      </c>
      <c r="AS495">
        <v>540</v>
      </c>
      <c r="AT495">
        <v>540</v>
      </c>
      <c r="AU495">
        <v>540</v>
      </c>
      <c r="AV495">
        <v>585</v>
      </c>
      <c r="AW495">
        <v>450</v>
      </c>
      <c r="AX495">
        <v>480</v>
      </c>
      <c r="AY495">
        <v>270</v>
      </c>
      <c r="AZ495">
        <v>0</v>
      </c>
      <c r="BA495">
        <v>0</v>
      </c>
      <c r="BB495">
        <v>180</v>
      </c>
      <c r="BC495">
        <v>504</v>
      </c>
      <c r="BD495">
        <v>540</v>
      </c>
      <c r="BE495">
        <v>450</v>
      </c>
      <c r="BF495">
        <v>460</v>
      </c>
      <c r="BG495">
        <v>360</v>
      </c>
      <c r="BH495">
        <v>225</v>
      </c>
      <c r="BI495">
        <v>0</v>
      </c>
      <c r="BJ495">
        <v>0</v>
      </c>
      <c r="BK495">
        <v>225</v>
      </c>
      <c r="BL495">
        <v>360</v>
      </c>
      <c r="BM495">
        <v>360</v>
      </c>
      <c r="BN495">
        <v>360</v>
      </c>
      <c r="BO495">
        <v>360</v>
      </c>
      <c r="BP495">
        <v>225</v>
      </c>
      <c r="BQ495">
        <f>(I495+J495+N495+O495)/4</f>
        <v>6.041666666666667</v>
      </c>
      <c r="BR495">
        <f>(K495+L495+M495)/3</f>
        <v>6</v>
      </c>
      <c r="BS495">
        <f>BQ495/BR495</f>
        <v>1.0069444444444444</v>
      </c>
      <c r="BT495">
        <f>AQ495/I495</f>
        <v>90</v>
      </c>
      <c r="BU495" t="str">
        <f>IF(OR(A495=2, A495=12), "Central", IF(A495=3, "Semi-Central", "Periférica"))</f>
        <v>Periférica</v>
      </c>
    </row>
    <row r="496" spans="1:73" x14ac:dyDescent="0.3">
      <c r="A496" s="1">
        <v>3</v>
      </c>
      <c r="B496" s="1">
        <v>324</v>
      </c>
      <c r="C496" s="1">
        <v>125</v>
      </c>
      <c r="D496" t="s">
        <v>5</v>
      </c>
      <c r="E496" t="s">
        <v>0</v>
      </c>
      <c r="F496">
        <v>0</v>
      </c>
      <c r="G496">
        <v>0</v>
      </c>
      <c r="H496">
        <v>3</v>
      </c>
      <c r="I496">
        <v>5.333333333333333</v>
      </c>
      <c r="J496">
        <v>4</v>
      </c>
      <c r="K496">
        <v>5</v>
      </c>
      <c r="L496">
        <v>5.333333333333333</v>
      </c>
      <c r="M496">
        <v>5.2</v>
      </c>
      <c r="N496">
        <v>6</v>
      </c>
      <c r="O496">
        <v>5.5</v>
      </c>
      <c r="P496">
        <v>4.666666666666667</v>
      </c>
      <c r="Q496">
        <v>2</v>
      </c>
      <c r="R496">
        <v>0</v>
      </c>
      <c r="S496">
        <v>0</v>
      </c>
      <c r="T496">
        <v>0</v>
      </c>
      <c r="U496">
        <v>4</v>
      </c>
      <c r="V496">
        <v>4</v>
      </c>
      <c r="W496">
        <v>4</v>
      </c>
      <c r="X496">
        <v>4</v>
      </c>
      <c r="Y496">
        <v>3.2</v>
      </c>
      <c r="Z496">
        <v>1.5</v>
      </c>
      <c r="AA496">
        <v>0</v>
      </c>
      <c r="AB496">
        <v>0</v>
      </c>
      <c r="AC496">
        <v>2</v>
      </c>
      <c r="AD496">
        <v>4</v>
      </c>
      <c r="AE496">
        <v>4</v>
      </c>
      <c r="AF496">
        <v>4</v>
      </c>
      <c r="AG496">
        <v>3</v>
      </c>
      <c r="AH496">
        <v>1.5</v>
      </c>
      <c r="AI496" s="1">
        <v>3</v>
      </c>
      <c r="AJ496" s="1">
        <v>324</v>
      </c>
      <c r="AK496" s="1">
        <v>125</v>
      </c>
      <c r="AL496" t="s">
        <v>5</v>
      </c>
      <c r="AM496" t="s">
        <v>0</v>
      </c>
      <c r="AN496">
        <v>0</v>
      </c>
      <c r="AO496">
        <v>0</v>
      </c>
      <c r="AP496">
        <v>294</v>
      </c>
      <c r="AQ496">
        <v>522.66666666666663</v>
      </c>
      <c r="AR496">
        <v>392</v>
      </c>
      <c r="AS496">
        <v>490</v>
      </c>
      <c r="AT496">
        <v>522.66666666666663</v>
      </c>
      <c r="AU496">
        <v>509.6</v>
      </c>
      <c r="AV496">
        <v>588</v>
      </c>
      <c r="AW496">
        <v>539</v>
      </c>
      <c r="AX496">
        <v>457.33333333333331</v>
      </c>
      <c r="AY496">
        <v>196</v>
      </c>
      <c r="AZ496">
        <v>0</v>
      </c>
      <c r="BA496">
        <v>0</v>
      </c>
      <c r="BB496">
        <v>0</v>
      </c>
      <c r="BC496">
        <v>392</v>
      </c>
      <c r="BD496">
        <v>392</v>
      </c>
      <c r="BE496">
        <v>392</v>
      </c>
      <c r="BF496">
        <v>392</v>
      </c>
      <c r="BG496">
        <v>313.60000000000002</v>
      </c>
      <c r="BH496">
        <v>147</v>
      </c>
      <c r="BI496">
        <v>0</v>
      </c>
      <c r="BJ496">
        <v>0</v>
      </c>
      <c r="BK496">
        <v>196</v>
      </c>
      <c r="BL496">
        <v>392</v>
      </c>
      <c r="BM496">
        <v>392</v>
      </c>
      <c r="BN496">
        <v>392</v>
      </c>
      <c r="BO496">
        <v>294</v>
      </c>
      <c r="BP496">
        <v>147</v>
      </c>
      <c r="BQ496">
        <f>(I496+J496+N496+O496)/4</f>
        <v>5.208333333333333</v>
      </c>
      <c r="BR496">
        <f>(K496+L496+M496)/3</f>
        <v>5.1777777777777771</v>
      </c>
      <c r="BS496">
        <f>BQ496/BR496</f>
        <v>1.0059012875536482</v>
      </c>
      <c r="BT496">
        <f>AQ496/I496</f>
        <v>98</v>
      </c>
      <c r="BU496" t="str">
        <f>IF(OR(A496=2, A496=12), "Central", IF(A496=3, "Semi-Central", "Periférica"))</f>
        <v>Semi-Central</v>
      </c>
    </row>
    <row r="497" spans="1:73" x14ac:dyDescent="0.3">
      <c r="A497" s="1">
        <v>14</v>
      </c>
      <c r="B497" s="1">
        <v>1406</v>
      </c>
      <c r="C497" s="1">
        <v>106</v>
      </c>
      <c r="D497" t="s">
        <v>1</v>
      </c>
      <c r="F497">
        <v>0</v>
      </c>
      <c r="G497">
        <v>0</v>
      </c>
      <c r="H497">
        <v>4</v>
      </c>
      <c r="I497">
        <v>7.333333333333333</v>
      </c>
      <c r="J497">
        <v>5.333333333333333</v>
      </c>
      <c r="K497">
        <v>5.666666666666667</v>
      </c>
      <c r="L497">
        <v>6</v>
      </c>
      <c r="M497">
        <v>6</v>
      </c>
      <c r="N497">
        <v>6</v>
      </c>
      <c r="O497">
        <v>5</v>
      </c>
      <c r="P497">
        <v>4</v>
      </c>
      <c r="Q497">
        <v>3.5</v>
      </c>
      <c r="R497">
        <v>0</v>
      </c>
      <c r="S497">
        <v>0</v>
      </c>
      <c r="T497">
        <v>2</v>
      </c>
      <c r="U497">
        <v>4</v>
      </c>
      <c r="V497">
        <v>4</v>
      </c>
      <c r="W497">
        <v>4.333333333333333</v>
      </c>
      <c r="X497">
        <v>4</v>
      </c>
      <c r="Y497">
        <v>3.2</v>
      </c>
      <c r="Z497">
        <v>2.5</v>
      </c>
      <c r="AA497">
        <v>0</v>
      </c>
      <c r="AB497">
        <v>0</v>
      </c>
      <c r="AC497">
        <v>2</v>
      </c>
      <c r="AD497">
        <v>3.0909090909090908</v>
      </c>
      <c r="AE497">
        <v>3</v>
      </c>
      <c r="AF497">
        <v>3</v>
      </c>
      <c r="AG497">
        <v>3</v>
      </c>
      <c r="AH497">
        <v>3</v>
      </c>
      <c r="AI497" s="1">
        <v>14</v>
      </c>
      <c r="AJ497" s="1">
        <v>1406</v>
      </c>
      <c r="AK497" s="1">
        <v>106</v>
      </c>
      <c r="AL497" t="s">
        <v>1</v>
      </c>
      <c r="AN497">
        <v>0</v>
      </c>
      <c r="AO497">
        <v>0</v>
      </c>
      <c r="AP497">
        <v>360</v>
      </c>
      <c r="AQ497">
        <v>660</v>
      </c>
      <c r="AR497">
        <v>480</v>
      </c>
      <c r="AS497">
        <v>510</v>
      </c>
      <c r="AT497">
        <v>540</v>
      </c>
      <c r="AU497">
        <v>540</v>
      </c>
      <c r="AV497">
        <v>540</v>
      </c>
      <c r="AW497">
        <v>450</v>
      </c>
      <c r="AX497">
        <v>360</v>
      </c>
      <c r="AY497">
        <v>315</v>
      </c>
      <c r="AZ497">
        <v>0</v>
      </c>
      <c r="BA497">
        <v>0</v>
      </c>
      <c r="BB497">
        <v>180</v>
      </c>
      <c r="BC497">
        <v>360</v>
      </c>
      <c r="BD497">
        <v>360</v>
      </c>
      <c r="BE497">
        <v>390</v>
      </c>
      <c r="BF497">
        <v>360</v>
      </c>
      <c r="BG497">
        <v>288</v>
      </c>
      <c r="BH497">
        <v>225</v>
      </c>
      <c r="BI497">
        <v>0</v>
      </c>
      <c r="BJ497">
        <v>0</v>
      </c>
      <c r="BK497">
        <v>180</v>
      </c>
      <c r="BL497">
        <v>278.18181818181819</v>
      </c>
      <c r="BM497">
        <v>270</v>
      </c>
      <c r="BN497">
        <v>270</v>
      </c>
      <c r="BO497">
        <v>270</v>
      </c>
      <c r="BP497">
        <v>270</v>
      </c>
      <c r="BQ497">
        <f>(I497+J497+N497+O497)/4</f>
        <v>5.9166666666666661</v>
      </c>
      <c r="BR497">
        <f>(K497+L497+M497)/3</f>
        <v>5.8888888888888893</v>
      </c>
      <c r="BS497">
        <f>BQ497/BR497</f>
        <v>1.0047169811320753</v>
      </c>
      <c r="BT497">
        <f>AQ497/I497</f>
        <v>90</v>
      </c>
      <c r="BU497" t="str">
        <f>IF(OR(A497=2, A497=12), "Central", IF(A497=3, "Semi-Central", "Periférica"))</f>
        <v>Periférica</v>
      </c>
    </row>
    <row r="498" spans="1:73" x14ac:dyDescent="0.3">
      <c r="A498" s="1">
        <v>3</v>
      </c>
      <c r="B498" s="1">
        <v>388</v>
      </c>
      <c r="C498" s="1" t="s">
        <v>270</v>
      </c>
      <c r="D498" t="s">
        <v>5</v>
      </c>
      <c r="E498" t="s">
        <v>0</v>
      </c>
      <c r="F498">
        <v>0</v>
      </c>
      <c r="G498">
        <v>0</v>
      </c>
      <c r="H498">
        <v>4</v>
      </c>
      <c r="I498">
        <v>4.666666666666667</v>
      </c>
      <c r="J498">
        <v>4.666666666666667</v>
      </c>
      <c r="K498">
        <v>5</v>
      </c>
      <c r="L498">
        <v>4.666666666666667</v>
      </c>
      <c r="M498">
        <v>4.4000000000000004</v>
      </c>
      <c r="N498">
        <v>5</v>
      </c>
      <c r="O498">
        <v>4.5</v>
      </c>
      <c r="P498">
        <v>4</v>
      </c>
      <c r="Q498">
        <v>1.5</v>
      </c>
      <c r="R498">
        <v>0</v>
      </c>
      <c r="S498">
        <v>0</v>
      </c>
      <c r="T498">
        <v>3</v>
      </c>
      <c r="U498">
        <v>4.4000000000000004</v>
      </c>
      <c r="V498">
        <v>4</v>
      </c>
      <c r="W498">
        <v>4</v>
      </c>
      <c r="X498">
        <v>3.7777777777777777</v>
      </c>
      <c r="Y498">
        <v>3.2</v>
      </c>
      <c r="Z498">
        <v>1.5</v>
      </c>
      <c r="AA498">
        <v>0</v>
      </c>
      <c r="AB498">
        <v>0</v>
      </c>
      <c r="AC498">
        <v>3</v>
      </c>
      <c r="AD498">
        <v>3.0909090909090908</v>
      </c>
      <c r="AE498">
        <v>3.2</v>
      </c>
      <c r="AF498">
        <v>3</v>
      </c>
      <c r="AG498">
        <v>3</v>
      </c>
      <c r="AH498">
        <v>1</v>
      </c>
      <c r="AI498" s="1">
        <v>3</v>
      </c>
      <c r="AJ498" s="1">
        <v>388</v>
      </c>
      <c r="AK498" s="1" t="s">
        <v>270</v>
      </c>
      <c r="AL498" t="s">
        <v>5</v>
      </c>
      <c r="AM498" t="s">
        <v>0</v>
      </c>
      <c r="AN498">
        <v>0</v>
      </c>
      <c r="AO498">
        <v>0</v>
      </c>
      <c r="AP498">
        <v>372</v>
      </c>
      <c r="AQ498">
        <v>434</v>
      </c>
      <c r="AR498">
        <v>434</v>
      </c>
      <c r="AS498">
        <v>465</v>
      </c>
      <c r="AT498">
        <v>434</v>
      </c>
      <c r="AU498">
        <v>409.2</v>
      </c>
      <c r="AV498">
        <v>465</v>
      </c>
      <c r="AW498">
        <v>418.5</v>
      </c>
      <c r="AX498">
        <v>372</v>
      </c>
      <c r="AY498">
        <v>139.5</v>
      </c>
      <c r="AZ498">
        <v>0</v>
      </c>
      <c r="BA498">
        <v>0</v>
      </c>
      <c r="BB498">
        <v>270</v>
      </c>
      <c r="BC498">
        <v>396</v>
      </c>
      <c r="BD498">
        <v>360</v>
      </c>
      <c r="BE498">
        <v>360</v>
      </c>
      <c r="BF498">
        <v>340</v>
      </c>
      <c r="BG498">
        <v>288</v>
      </c>
      <c r="BH498">
        <v>135</v>
      </c>
      <c r="BI498">
        <v>0</v>
      </c>
      <c r="BJ498">
        <v>0</v>
      </c>
      <c r="BK498">
        <v>270</v>
      </c>
      <c r="BL498">
        <v>278.18181818181819</v>
      </c>
      <c r="BM498">
        <v>288</v>
      </c>
      <c r="BN498">
        <v>270</v>
      </c>
      <c r="BO498">
        <v>270</v>
      </c>
      <c r="BP498">
        <v>90</v>
      </c>
      <c r="BQ498">
        <f>(I498+J498+N498+O498)/4</f>
        <v>4.7083333333333339</v>
      </c>
      <c r="BR498">
        <f>(K498+L498+M498)/3</f>
        <v>4.6888888888888891</v>
      </c>
      <c r="BS498">
        <f>BQ498/BR498</f>
        <v>1.0041469194312798</v>
      </c>
      <c r="BT498">
        <f>AQ498/I498</f>
        <v>93</v>
      </c>
      <c r="BU498" t="str">
        <f>IF(OR(A498=2, A498=12), "Central", IF(A498=3, "Semi-Central", "Periférica"))</f>
        <v>Semi-Central</v>
      </c>
    </row>
    <row r="499" spans="1:73" x14ac:dyDescent="0.3">
      <c r="A499" s="1">
        <v>14</v>
      </c>
      <c r="B499" s="1">
        <v>1419</v>
      </c>
      <c r="C499" s="1">
        <v>419</v>
      </c>
      <c r="D499" t="s">
        <v>5</v>
      </c>
      <c r="F499">
        <v>0</v>
      </c>
      <c r="G499">
        <v>0.66666666666666663</v>
      </c>
      <c r="H499">
        <v>6</v>
      </c>
      <c r="I499">
        <v>6</v>
      </c>
      <c r="J499">
        <v>5.333333333333333</v>
      </c>
      <c r="K499">
        <v>4.666666666666667</v>
      </c>
      <c r="L499">
        <v>5.333333333333333</v>
      </c>
      <c r="M499">
        <v>5.2</v>
      </c>
      <c r="N499">
        <v>5</v>
      </c>
      <c r="O499">
        <v>4</v>
      </c>
      <c r="P499">
        <v>3.333333333333333</v>
      </c>
      <c r="Q499">
        <v>2.5</v>
      </c>
      <c r="R499">
        <v>0</v>
      </c>
      <c r="S499">
        <v>0</v>
      </c>
      <c r="T499">
        <v>3</v>
      </c>
      <c r="U499">
        <v>3.6</v>
      </c>
      <c r="V499">
        <v>4</v>
      </c>
      <c r="W499">
        <v>3.666666666666667</v>
      </c>
      <c r="X499">
        <v>4</v>
      </c>
      <c r="Y499">
        <v>3.2</v>
      </c>
      <c r="Z499">
        <v>2</v>
      </c>
      <c r="AA499">
        <v>0</v>
      </c>
      <c r="AB499">
        <v>0</v>
      </c>
      <c r="AC499">
        <v>3.5</v>
      </c>
      <c r="AD499">
        <v>3.8181818181818179</v>
      </c>
      <c r="AE499">
        <v>3.8</v>
      </c>
      <c r="AF499">
        <v>3</v>
      </c>
      <c r="AG499">
        <v>3</v>
      </c>
      <c r="AH499">
        <v>2.5</v>
      </c>
      <c r="AI499" s="1">
        <v>14</v>
      </c>
      <c r="AJ499" s="1">
        <v>1419</v>
      </c>
      <c r="AK499" s="1">
        <v>419</v>
      </c>
      <c r="AL499" t="s">
        <v>5</v>
      </c>
      <c r="AN499">
        <v>0</v>
      </c>
      <c r="AO499">
        <v>100</v>
      </c>
      <c r="AP499">
        <v>900</v>
      </c>
      <c r="AQ499">
        <v>900</v>
      </c>
      <c r="AR499">
        <v>800</v>
      </c>
      <c r="AS499">
        <v>700</v>
      </c>
      <c r="AT499">
        <v>800</v>
      </c>
      <c r="AU499">
        <v>780</v>
      </c>
      <c r="AV499">
        <v>750</v>
      </c>
      <c r="AW499">
        <v>600</v>
      </c>
      <c r="AX499">
        <v>500</v>
      </c>
      <c r="AY499">
        <v>375</v>
      </c>
      <c r="AZ499">
        <v>0</v>
      </c>
      <c r="BA499">
        <v>0</v>
      </c>
      <c r="BB499">
        <v>270</v>
      </c>
      <c r="BC499">
        <v>324</v>
      </c>
      <c r="BD499">
        <v>360</v>
      </c>
      <c r="BE499">
        <v>330</v>
      </c>
      <c r="BF499">
        <v>360</v>
      </c>
      <c r="BG499">
        <v>288</v>
      </c>
      <c r="BH499">
        <v>180</v>
      </c>
      <c r="BI499">
        <v>0</v>
      </c>
      <c r="BJ499">
        <v>0</v>
      </c>
      <c r="BK499">
        <v>315</v>
      </c>
      <c r="BL499">
        <v>343.63636363636363</v>
      </c>
      <c r="BM499">
        <v>342</v>
      </c>
      <c r="BN499">
        <v>270</v>
      </c>
      <c r="BO499">
        <v>270</v>
      </c>
      <c r="BP499">
        <v>225</v>
      </c>
      <c r="BQ499">
        <f>(I499+J499+N499+O499)/4</f>
        <v>5.083333333333333</v>
      </c>
      <c r="BR499">
        <f>(K499+L499+M499)/3</f>
        <v>5.0666666666666664</v>
      </c>
      <c r="BS499">
        <f>BQ499/BR499</f>
        <v>1.0032894736842106</v>
      </c>
      <c r="BT499">
        <f>AQ499/I499</f>
        <v>150</v>
      </c>
      <c r="BU499" t="str">
        <f>IF(OR(A499=2, A499=12), "Central", IF(A499=3, "Semi-Central", "Periférica"))</f>
        <v>Periférica</v>
      </c>
    </row>
    <row r="500" spans="1:73" x14ac:dyDescent="0.3">
      <c r="A500" s="1">
        <v>9</v>
      </c>
      <c r="B500" s="1">
        <v>918</v>
      </c>
      <c r="C500" s="1" t="s">
        <v>264</v>
      </c>
      <c r="D500" t="s">
        <v>5</v>
      </c>
      <c r="F500">
        <v>0</v>
      </c>
      <c r="G500">
        <v>0</v>
      </c>
      <c r="H500">
        <v>4</v>
      </c>
      <c r="I500">
        <v>6</v>
      </c>
      <c r="J500">
        <v>7.333333333333333</v>
      </c>
      <c r="K500">
        <v>7</v>
      </c>
      <c r="L500">
        <v>6.666666666666667</v>
      </c>
      <c r="M500">
        <v>6.4</v>
      </c>
      <c r="N500">
        <v>7</v>
      </c>
      <c r="O500">
        <v>6.5</v>
      </c>
      <c r="P500">
        <v>4.666666666666667</v>
      </c>
      <c r="Q500">
        <v>2.5</v>
      </c>
      <c r="R500">
        <v>0</v>
      </c>
      <c r="S500">
        <v>0</v>
      </c>
      <c r="T500">
        <v>4</v>
      </c>
      <c r="U500">
        <v>4.8</v>
      </c>
      <c r="V500">
        <v>5</v>
      </c>
      <c r="W500">
        <v>5</v>
      </c>
      <c r="X500">
        <v>4.2222222222222223</v>
      </c>
      <c r="Y500">
        <v>2.8</v>
      </c>
      <c r="Z500">
        <v>2.5</v>
      </c>
      <c r="AA500">
        <v>0</v>
      </c>
      <c r="AB500">
        <v>0</v>
      </c>
      <c r="AC500">
        <v>2.5</v>
      </c>
      <c r="AD500">
        <v>3.2727272727272729</v>
      </c>
      <c r="AE500">
        <v>3.6</v>
      </c>
      <c r="AF500">
        <v>3</v>
      </c>
      <c r="AG500">
        <v>3</v>
      </c>
      <c r="AH500">
        <v>2.5</v>
      </c>
      <c r="AI500" s="1">
        <v>9</v>
      </c>
      <c r="AJ500" s="1">
        <v>918</v>
      </c>
      <c r="AK500" s="1" t="s">
        <v>264</v>
      </c>
      <c r="AL500" t="s">
        <v>5</v>
      </c>
      <c r="AN500">
        <v>0</v>
      </c>
      <c r="AO500">
        <v>0</v>
      </c>
      <c r="AP500">
        <v>360</v>
      </c>
      <c r="AQ500">
        <v>540</v>
      </c>
      <c r="AR500">
        <v>660</v>
      </c>
      <c r="AS500">
        <v>630</v>
      </c>
      <c r="AT500">
        <v>600</v>
      </c>
      <c r="AU500">
        <v>576</v>
      </c>
      <c r="AV500">
        <v>630</v>
      </c>
      <c r="AW500">
        <v>585</v>
      </c>
      <c r="AX500">
        <v>420</v>
      </c>
      <c r="AY500">
        <v>225</v>
      </c>
      <c r="AZ500">
        <v>0</v>
      </c>
      <c r="BA500">
        <v>0</v>
      </c>
      <c r="BB500">
        <v>360</v>
      </c>
      <c r="BC500">
        <v>432</v>
      </c>
      <c r="BD500">
        <v>450</v>
      </c>
      <c r="BE500">
        <v>450</v>
      </c>
      <c r="BF500">
        <v>380</v>
      </c>
      <c r="BG500">
        <v>252</v>
      </c>
      <c r="BH500">
        <v>225</v>
      </c>
      <c r="BI500">
        <v>0</v>
      </c>
      <c r="BJ500">
        <v>0</v>
      </c>
      <c r="BK500">
        <v>225</v>
      </c>
      <c r="BL500">
        <v>294.54545454545462</v>
      </c>
      <c r="BM500">
        <v>324</v>
      </c>
      <c r="BN500">
        <v>270</v>
      </c>
      <c r="BO500">
        <v>270</v>
      </c>
      <c r="BP500">
        <v>225</v>
      </c>
      <c r="BQ500">
        <f>(I500+J500+N500+O500)/4</f>
        <v>6.708333333333333</v>
      </c>
      <c r="BR500">
        <f>(K500+L500+M500)/3</f>
        <v>6.68888888888889</v>
      </c>
      <c r="BS500">
        <f>BQ500/BR500</f>
        <v>1.0029069767441858</v>
      </c>
      <c r="BT500">
        <f>AQ500/I500</f>
        <v>90</v>
      </c>
      <c r="BU500" t="str">
        <f>IF(OR(A500=2, A500=12), "Central", IF(A500=3, "Semi-Central", "Periférica"))</f>
        <v>Periférica</v>
      </c>
    </row>
    <row r="501" spans="1:73" x14ac:dyDescent="0.3">
      <c r="A501" s="1">
        <v>8</v>
      </c>
      <c r="B501" s="1">
        <v>818</v>
      </c>
      <c r="C501" s="1" t="s">
        <v>282</v>
      </c>
      <c r="D501" t="s">
        <v>5</v>
      </c>
      <c r="F501">
        <v>1</v>
      </c>
      <c r="G501">
        <v>0</v>
      </c>
      <c r="H501">
        <v>5</v>
      </c>
      <c r="I501">
        <v>5.333333333333333</v>
      </c>
      <c r="J501">
        <v>4.666666666666667</v>
      </c>
      <c r="K501">
        <v>4.666666666666667</v>
      </c>
      <c r="L501">
        <v>4</v>
      </c>
      <c r="M501">
        <v>4.8</v>
      </c>
      <c r="N501">
        <v>4</v>
      </c>
      <c r="O501">
        <v>4</v>
      </c>
      <c r="P501">
        <v>4</v>
      </c>
      <c r="Q501">
        <v>3.5</v>
      </c>
      <c r="R501">
        <v>1</v>
      </c>
      <c r="S501">
        <v>0</v>
      </c>
      <c r="T501">
        <v>3</v>
      </c>
      <c r="U501">
        <v>3.2</v>
      </c>
      <c r="V501">
        <v>3</v>
      </c>
      <c r="W501">
        <v>3</v>
      </c>
      <c r="X501">
        <v>2.8888888888888888</v>
      </c>
      <c r="Y501">
        <v>3.2</v>
      </c>
      <c r="Z501">
        <v>2.5</v>
      </c>
      <c r="AA501">
        <v>1</v>
      </c>
      <c r="AB501">
        <v>0</v>
      </c>
      <c r="AC501">
        <v>2</v>
      </c>
      <c r="AD501">
        <v>2</v>
      </c>
      <c r="AE501">
        <v>2.2000000000000002</v>
      </c>
      <c r="AF501">
        <v>3</v>
      </c>
      <c r="AG501">
        <v>2</v>
      </c>
      <c r="AH501">
        <v>2</v>
      </c>
      <c r="AI501" s="1">
        <v>8</v>
      </c>
      <c r="AJ501" s="1">
        <v>818</v>
      </c>
      <c r="AK501" s="1" t="s">
        <v>282</v>
      </c>
      <c r="AL501" t="s">
        <v>5</v>
      </c>
      <c r="AN501">
        <v>90</v>
      </c>
      <c r="AO501">
        <v>0</v>
      </c>
      <c r="AP501">
        <v>450</v>
      </c>
      <c r="AQ501">
        <v>480</v>
      </c>
      <c r="AR501">
        <v>420</v>
      </c>
      <c r="AS501">
        <v>420</v>
      </c>
      <c r="AT501">
        <v>360</v>
      </c>
      <c r="AU501">
        <v>432</v>
      </c>
      <c r="AV501">
        <v>360</v>
      </c>
      <c r="AW501">
        <v>360</v>
      </c>
      <c r="AX501">
        <v>360</v>
      </c>
      <c r="AY501">
        <v>315</v>
      </c>
      <c r="AZ501">
        <v>90</v>
      </c>
      <c r="BA501">
        <v>0</v>
      </c>
      <c r="BB501">
        <v>270</v>
      </c>
      <c r="BC501">
        <v>288</v>
      </c>
      <c r="BD501">
        <v>270</v>
      </c>
      <c r="BE501">
        <v>270</v>
      </c>
      <c r="BF501">
        <v>260</v>
      </c>
      <c r="BG501">
        <v>288</v>
      </c>
      <c r="BH501">
        <v>225</v>
      </c>
      <c r="BI501">
        <v>90</v>
      </c>
      <c r="BJ501">
        <v>0</v>
      </c>
      <c r="BK501">
        <v>180</v>
      </c>
      <c r="BL501">
        <v>180</v>
      </c>
      <c r="BM501">
        <v>198</v>
      </c>
      <c r="BN501">
        <v>270</v>
      </c>
      <c r="BO501">
        <v>180</v>
      </c>
      <c r="BP501">
        <v>180</v>
      </c>
      <c r="BQ501">
        <f>(I501+J501+N501+O501)/4</f>
        <v>4.5</v>
      </c>
      <c r="BR501">
        <f>(K501+L501+M501)/3</f>
        <v>4.4888888888888898</v>
      </c>
      <c r="BS501">
        <f>BQ501/BR501</f>
        <v>1.0024752475247523</v>
      </c>
      <c r="BT501">
        <f>AQ501/I501</f>
        <v>90</v>
      </c>
      <c r="BU501" t="str">
        <f>IF(OR(A501=2, A501=12), "Central", IF(A501=3, "Semi-Central", "Periférica"))</f>
        <v>Periférica</v>
      </c>
    </row>
    <row r="502" spans="1:73" x14ac:dyDescent="0.3">
      <c r="A502" s="1">
        <v>3</v>
      </c>
      <c r="B502" s="1">
        <v>382</v>
      </c>
      <c r="C502" s="1" t="s">
        <v>281</v>
      </c>
      <c r="D502" t="s">
        <v>1</v>
      </c>
      <c r="E502" t="s">
        <v>0</v>
      </c>
      <c r="F502">
        <v>0</v>
      </c>
      <c r="G502">
        <v>0</v>
      </c>
      <c r="H502">
        <v>3</v>
      </c>
      <c r="I502">
        <v>5.333333333333333</v>
      </c>
      <c r="J502">
        <v>4</v>
      </c>
      <c r="K502">
        <v>5</v>
      </c>
      <c r="L502">
        <v>4.666666666666667</v>
      </c>
      <c r="M502">
        <v>5.2</v>
      </c>
      <c r="N502">
        <v>5.5</v>
      </c>
      <c r="O502">
        <v>5</v>
      </c>
      <c r="P502">
        <v>4.666666666666667</v>
      </c>
      <c r="Q502">
        <v>3</v>
      </c>
      <c r="R502">
        <v>0</v>
      </c>
      <c r="S502">
        <v>0</v>
      </c>
      <c r="T502">
        <v>3</v>
      </c>
      <c r="U502">
        <v>4</v>
      </c>
      <c r="V502">
        <v>4</v>
      </c>
      <c r="W502">
        <v>4</v>
      </c>
      <c r="X502">
        <v>4</v>
      </c>
      <c r="Y502">
        <v>3.2</v>
      </c>
      <c r="Z502">
        <v>2</v>
      </c>
      <c r="AA502">
        <v>0</v>
      </c>
      <c r="AB502">
        <v>0</v>
      </c>
      <c r="AC502">
        <v>2.5</v>
      </c>
      <c r="AD502">
        <v>4</v>
      </c>
      <c r="AE502">
        <v>4</v>
      </c>
      <c r="AF502">
        <v>4</v>
      </c>
      <c r="AG502">
        <v>3</v>
      </c>
      <c r="AH502">
        <v>2.5</v>
      </c>
      <c r="AI502" s="1">
        <v>3</v>
      </c>
      <c r="AJ502" s="1">
        <v>382</v>
      </c>
      <c r="AK502" s="1" t="s">
        <v>281</v>
      </c>
      <c r="AL502" t="s">
        <v>1</v>
      </c>
      <c r="AM502" t="s">
        <v>0</v>
      </c>
      <c r="AN502">
        <v>0</v>
      </c>
      <c r="AO502">
        <v>0</v>
      </c>
      <c r="AP502">
        <v>294</v>
      </c>
      <c r="AQ502">
        <v>522.66666666666663</v>
      </c>
      <c r="AR502">
        <v>392</v>
      </c>
      <c r="AS502">
        <v>490</v>
      </c>
      <c r="AT502">
        <v>457.33333333333331</v>
      </c>
      <c r="AU502">
        <v>509.6</v>
      </c>
      <c r="AV502">
        <v>539</v>
      </c>
      <c r="AW502">
        <v>490</v>
      </c>
      <c r="AX502">
        <v>457.33333333333331</v>
      </c>
      <c r="AY502">
        <v>294</v>
      </c>
      <c r="AZ502">
        <v>0</v>
      </c>
      <c r="BA502">
        <v>0</v>
      </c>
      <c r="BB502">
        <v>294</v>
      </c>
      <c r="BC502">
        <v>392</v>
      </c>
      <c r="BD502">
        <v>392</v>
      </c>
      <c r="BE502">
        <v>392</v>
      </c>
      <c r="BF502">
        <v>392</v>
      </c>
      <c r="BG502">
        <v>313.60000000000002</v>
      </c>
      <c r="BH502">
        <v>196</v>
      </c>
      <c r="BI502">
        <v>0</v>
      </c>
      <c r="BJ502">
        <v>0</v>
      </c>
      <c r="BK502">
        <v>245</v>
      </c>
      <c r="BL502">
        <v>392</v>
      </c>
      <c r="BM502">
        <v>392</v>
      </c>
      <c r="BN502">
        <v>392</v>
      </c>
      <c r="BO502">
        <v>294</v>
      </c>
      <c r="BP502">
        <v>245</v>
      </c>
      <c r="BQ502">
        <f>(I502+J502+N502+O502)/4</f>
        <v>4.958333333333333</v>
      </c>
      <c r="BR502">
        <f>(K502+L502+M502)/3</f>
        <v>4.9555555555555557</v>
      </c>
      <c r="BS502">
        <f>BQ502/BR502</f>
        <v>1.0005605381165918</v>
      </c>
      <c r="BT502">
        <f>AQ502/I502</f>
        <v>98</v>
      </c>
      <c r="BU502" t="str">
        <f>IF(OR(A502=2, A502=12), "Central", IF(A502=3, "Semi-Central", "Periférica"))</f>
        <v>Semi-Central</v>
      </c>
    </row>
    <row r="503" spans="1:73" x14ac:dyDescent="0.3">
      <c r="A503" s="1">
        <v>5</v>
      </c>
      <c r="B503" s="1">
        <v>533</v>
      </c>
      <c r="C503" s="1" t="s">
        <v>280</v>
      </c>
      <c r="D503" t="s">
        <v>5</v>
      </c>
      <c r="E503" t="s">
        <v>0</v>
      </c>
      <c r="F503">
        <v>2</v>
      </c>
      <c r="G503">
        <v>0</v>
      </c>
      <c r="H503">
        <v>2</v>
      </c>
      <c r="I503">
        <v>4</v>
      </c>
      <c r="J503">
        <v>5.333333333333333</v>
      </c>
      <c r="K503">
        <v>4.333333333333333</v>
      </c>
      <c r="L503">
        <v>5.333333333333333</v>
      </c>
      <c r="M503">
        <v>5.2</v>
      </c>
      <c r="N503">
        <v>5</v>
      </c>
      <c r="O503">
        <v>5.5</v>
      </c>
      <c r="P503">
        <v>5.333333333333333</v>
      </c>
      <c r="Q503">
        <v>3.5</v>
      </c>
      <c r="R503">
        <v>2</v>
      </c>
      <c r="S503">
        <v>0</v>
      </c>
      <c r="T503">
        <v>3</v>
      </c>
      <c r="U503">
        <v>4.8</v>
      </c>
      <c r="V503">
        <v>4.333333333333333</v>
      </c>
      <c r="W503">
        <v>5</v>
      </c>
      <c r="X503">
        <v>5.1111111111111107</v>
      </c>
      <c r="Y503">
        <v>4.4000000000000004</v>
      </c>
      <c r="Z503">
        <v>3.5</v>
      </c>
      <c r="AA503">
        <v>2</v>
      </c>
      <c r="AB503">
        <v>0</v>
      </c>
      <c r="AC503">
        <v>3.5</v>
      </c>
      <c r="AD503">
        <v>4</v>
      </c>
      <c r="AE503">
        <v>3.8</v>
      </c>
      <c r="AF503">
        <v>3.6666666666666665</v>
      </c>
      <c r="AG503">
        <v>4</v>
      </c>
      <c r="AH503">
        <v>3.5</v>
      </c>
      <c r="AI503" s="1">
        <v>5</v>
      </c>
      <c r="AJ503" s="1">
        <v>533</v>
      </c>
      <c r="AK503" s="1" t="s">
        <v>280</v>
      </c>
      <c r="AL503" t="s">
        <v>5</v>
      </c>
      <c r="AM503" t="s">
        <v>0</v>
      </c>
      <c r="AN503">
        <v>162</v>
      </c>
      <c r="AO503">
        <v>0</v>
      </c>
      <c r="AP503">
        <v>162</v>
      </c>
      <c r="AQ503">
        <v>324</v>
      </c>
      <c r="AR503">
        <v>432</v>
      </c>
      <c r="AS503">
        <v>351</v>
      </c>
      <c r="AT503">
        <v>432</v>
      </c>
      <c r="AU503">
        <v>421.2</v>
      </c>
      <c r="AV503">
        <v>405</v>
      </c>
      <c r="AW503">
        <v>445.5</v>
      </c>
      <c r="AX503">
        <v>432</v>
      </c>
      <c r="AY503">
        <v>283.5</v>
      </c>
      <c r="AZ503">
        <v>162</v>
      </c>
      <c r="BA503">
        <v>0</v>
      </c>
      <c r="BB503">
        <v>243</v>
      </c>
      <c r="BC503">
        <v>388.8</v>
      </c>
      <c r="BD503">
        <v>351</v>
      </c>
      <c r="BE503">
        <v>405</v>
      </c>
      <c r="BF503">
        <v>414</v>
      </c>
      <c r="BG503">
        <v>356.4</v>
      </c>
      <c r="BH503">
        <v>283.5</v>
      </c>
      <c r="BI503">
        <v>162</v>
      </c>
      <c r="BJ503">
        <v>0</v>
      </c>
      <c r="BK503">
        <v>283.5</v>
      </c>
      <c r="BL503">
        <v>324</v>
      </c>
      <c r="BM503">
        <v>307.8</v>
      </c>
      <c r="BN503">
        <v>297</v>
      </c>
      <c r="BO503">
        <v>324</v>
      </c>
      <c r="BP503">
        <v>283.5</v>
      </c>
      <c r="BQ503">
        <f>(I503+J503+N503+O503)/4</f>
        <v>4.958333333333333</v>
      </c>
      <c r="BR503">
        <f>(K503+L503+M503)/3</f>
        <v>4.9555555555555557</v>
      </c>
      <c r="BS503">
        <f>BQ503/BR503</f>
        <v>1.0005605381165918</v>
      </c>
      <c r="BT503">
        <f>AQ503/I503</f>
        <v>81</v>
      </c>
      <c r="BU503" t="str">
        <f>IF(OR(A503=2, A503=12), "Central", IF(A503=3, "Semi-Central", "Periférica"))</f>
        <v>Periférica</v>
      </c>
    </row>
    <row r="504" spans="1:73" x14ac:dyDescent="0.3">
      <c r="A504" s="1">
        <v>4</v>
      </c>
      <c r="B504" s="1">
        <v>489</v>
      </c>
      <c r="C504" s="1" t="s">
        <v>196</v>
      </c>
      <c r="D504" t="s">
        <v>5</v>
      </c>
      <c r="F504">
        <v>0</v>
      </c>
      <c r="G504">
        <v>0</v>
      </c>
      <c r="H504">
        <v>1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1</v>
      </c>
      <c r="R504">
        <v>0</v>
      </c>
      <c r="S504">
        <v>0</v>
      </c>
      <c r="T504">
        <v>0</v>
      </c>
      <c r="U504">
        <v>2</v>
      </c>
      <c r="V504">
        <v>2</v>
      </c>
      <c r="W504">
        <v>2</v>
      </c>
      <c r="X504">
        <v>2</v>
      </c>
      <c r="Y504">
        <v>2</v>
      </c>
      <c r="Z504">
        <v>1</v>
      </c>
      <c r="AA504">
        <v>0</v>
      </c>
      <c r="AB504">
        <v>0</v>
      </c>
      <c r="AC504">
        <v>0</v>
      </c>
      <c r="AD504">
        <v>2</v>
      </c>
      <c r="AE504">
        <v>2</v>
      </c>
      <c r="AF504">
        <v>2</v>
      </c>
      <c r="AG504">
        <v>2</v>
      </c>
      <c r="AH504">
        <v>1</v>
      </c>
      <c r="AI504" s="1">
        <v>4</v>
      </c>
      <c r="AJ504" s="1">
        <v>489</v>
      </c>
      <c r="AK504" s="1" t="s">
        <v>196</v>
      </c>
      <c r="AL504" t="s">
        <v>5</v>
      </c>
      <c r="AN504">
        <v>0</v>
      </c>
      <c r="AO504">
        <v>0</v>
      </c>
      <c r="AP504">
        <v>76</v>
      </c>
      <c r="AQ504">
        <v>152</v>
      </c>
      <c r="AR504">
        <v>152</v>
      </c>
      <c r="AS504">
        <v>152</v>
      </c>
      <c r="AT504">
        <v>152</v>
      </c>
      <c r="AU504">
        <v>152</v>
      </c>
      <c r="AV504">
        <v>152</v>
      </c>
      <c r="AW504">
        <v>152</v>
      </c>
      <c r="AX504">
        <v>152</v>
      </c>
      <c r="AY504">
        <v>76</v>
      </c>
      <c r="AZ504">
        <v>0</v>
      </c>
      <c r="BA504">
        <v>0</v>
      </c>
      <c r="BB504">
        <v>0</v>
      </c>
      <c r="BC504">
        <v>152</v>
      </c>
      <c r="BD504">
        <v>152</v>
      </c>
      <c r="BE504">
        <v>152</v>
      </c>
      <c r="BF504">
        <v>152</v>
      </c>
      <c r="BG504">
        <v>152</v>
      </c>
      <c r="BH504">
        <v>76</v>
      </c>
      <c r="BI504">
        <v>0</v>
      </c>
      <c r="BJ504">
        <v>0</v>
      </c>
      <c r="BK504">
        <v>0</v>
      </c>
      <c r="BL504">
        <v>152</v>
      </c>
      <c r="BM504">
        <v>152</v>
      </c>
      <c r="BN504">
        <v>152</v>
      </c>
      <c r="BO504">
        <v>152</v>
      </c>
      <c r="BP504">
        <v>76</v>
      </c>
      <c r="BQ504">
        <f>(I504+J504+N504+O504)/4</f>
        <v>2</v>
      </c>
      <c r="BR504">
        <f>(K504+L504+M504)/3</f>
        <v>2</v>
      </c>
      <c r="BS504">
        <f>BQ504/BR504</f>
        <v>1</v>
      </c>
      <c r="BT504">
        <f>AQ504/I504</f>
        <v>76</v>
      </c>
      <c r="BU504" t="str">
        <f>IF(OR(A504=2, A504=12), "Central", IF(A504=3, "Semi-Central", "Periférica"))</f>
        <v>Periférica</v>
      </c>
    </row>
    <row r="505" spans="1:73" x14ac:dyDescent="0.3">
      <c r="A505" s="1">
        <v>5</v>
      </c>
      <c r="B505" s="1">
        <v>588</v>
      </c>
      <c r="C505" s="1" t="s">
        <v>176</v>
      </c>
      <c r="D505" s="1" t="s">
        <v>5</v>
      </c>
      <c r="F505">
        <v>0</v>
      </c>
      <c r="G505">
        <v>0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0</v>
      </c>
      <c r="R505">
        <v>0</v>
      </c>
      <c r="S505">
        <v>0</v>
      </c>
      <c r="T505">
        <v>1</v>
      </c>
      <c r="U505">
        <v>2</v>
      </c>
      <c r="V505">
        <v>2</v>
      </c>
      <c r="W505">
        <v>2</v>
      </c>
      <c r="X505">
        <v>2</v>
      </c>
      <c r="Y505">
        <v>2</v>
      </c>
      <c r="Z505">
        <v>0</v>
      </c>
      <c r="AA505">
        <v>0</v>
      </c>
      <c r="AB505">
        <v>0</v>
      </c>
      <c r="AC505">
        <v>1.5</v>
      </c>
      <c r="AD505">
        <v>2</v>
      </c>
      <c r="AE505">
        <v>2</v>
      </c>
      <c r="AF505">
        <v>2</v>
      </c>
      <c r="AG505">
        <v>2</v>
      </c>
      <c r="AH505">
        <v>0</v>
      </c>
      <c r="AI505" s="1">
        <v>5</v>
      </c>
      <c r="AJ505" s="1">
        <v>588</v>
      </c>
      <c r="AK505" s="1" t="s">
        <v>176</v>
      </c>
      <c r="AL505" s="1" t="s">
        <v>5</v>
      </c>
      <c r="AN505">
        <v>0</v>
      </c>
      <c r="AO505">
        <v>0</v>
      </c>
      <c r="AP505">
        <v>162</v>
      </c>
      <c r="AQ505">
        <v>162</v>
      </c>
      <c r="AR505">
        <v>162</v>
      </c>
      <c r="AS505">
        <v>162</v>
      </c>
      <c r="AT505">
        <v>162</v>
      </c>
      <c r="AU505">
        <v>162</v>
      </c>
      <c r="AV505">
        <v>162</v>
      </c>
      <c r="AW505">
        <v>162</v>
      </c>
      <c r="AX505">
        <v>162</v>
      </c>
      <c r="AY505">
        <v>0</v>
      </c>
      <c r="AZ505">
        <v>0</v>
      </c>
      <c r="BA505">
        <v>0</v>
      </c>
      <c r="BB505">
        <v>81</v>
      </c>
      <c r="BC505">
        <v>162</v>
      </c>
      <c r="BD505">
        <v>162</v>
      </c>
      <c r="BE505">
        <v>162</v>
      </c>
      <c r="BF505">
        <v>162</v>
      </c>
      <c r="BG505">
        <v>162</v>
      </c>
      <c r="BH505">
        <v>0</v>
      </c>
      <c r="BI505">
        <v>0</v>
      </c>
      <c r="BJ505">
        <v>0</v>
      </c>
      <c r="BK505">
        <v>121.5</v>
      </c>
      <c r="BL505">
        <v>162</v>
      </c>
      <c r="BM505">
        <v>162</v>
      </c>
      <c r="BN505">
        <v>162</v>
      </c>
      <c r="BO505">
        <v>162</v>
      </c>
      <c r="BP505">
        <v>0</v>
      </c>
      <c r="BQ505">
        <f>(I505+J505+N505+O505)/4</f>
        <v>2</v>
      </c>
      <c r="BR505">
        <f>(K505+L505+M505)/3</f>
        <v>2</v>
      </c>
      <c r="BS505">
        <f>BQ505/BR505</f>
        <v>1</v>
      </c>
      <c r="BT505">
        <f>AQ505/I505</f>
        <v>81</v>
      </c>
      <c r="BU505" t="str">
        <f>IF(OR(A505=2, A505=12), "Central", IF(A505=3, "Semi-Central", "Periférica"))</f>
        <v>Periférica</v>
      </c>
    </row>
    <row r="506" spans="1:73" x14ac:dyDescent="0.3">
      <c r="A506" s="1">
        <v>9</v>
      </c>
      <c r="B506" s="1">
        <v>940</v>
      </c>
      <c r="C506" s="1" t="s">
        <v>261</v>
      </c>
      <c r="D506" t="s">
        <v>5</v>
      </c>
      <c r="F506">
        <v>2</v>
      </c>
      <c r="G506">
        <v>2</v>
      </c>
      <c r="H506">
        <v>5</v>
      </c>
      <c r="I506">
        <v>6</v>
      </c>
      <c r="J506">
        <v>6</v>
      </c>
      <c r="K506">
        <v>6</v>
      </c>
      <c r="L506">
        <v>6</v>
      </c>
      <c r="M506">
        <v>6</v>
      </c>
      <c r="N506">
        <v>6</v>
      </c>
      <c r="O506">
        <v>6</v>
      </c>
      <c r="P506">
        <v>6</v>
      </c>
      <c r="Q506">
        <v>4</v>
      </c>
      <c r="R506">
        <v>2</v>
      </c>
      <c r="S506">
        <v>2</v>
      </c>
      <c r="T506">
        <v>2</v>
      </c>
      <c r="U506">
        <v>4</v>
      </c>
      <c r="V506">
        <v>5</v>
      </c>
      <c r="W506">
        <v>4.666666666666667</v>
      </c>
      <c r="X506">
        <v>4.666666666666667</v>
      </c>
      <c r="Y506">
        <v>4</v>
      </c>
      <c r="Z506">
        <v>3</v>
      </c>
      <c r="AA506">
        <v>2</v>
      </c>
      <c r="AB506">
        <v>2</v>
      </c>
      <c r="AC506">
        <v>3</v>
      </c>
      <c r="AD506">
        <v>4</v>
      </c>
      <c r="AE506">
        <v>4.2</v>
      </c>
      <c r="AF506">
        <v>4</v>
      </c>
      <c r="AG506">
        <v>5</v>
      </c>
      <c r="AH506">
        <v>3.5</v>
      </c>
      <c r="AI506" s="1">
        <v>9</v>
      </c>
      <c r="AJ506" s="1">
        <v>940</v>
      </c>
      <c r="AK506" s="1" t="s">
        <v>261</v>
      </c>
      <c r="AL506" t="s">
        <v>5</v>
      </c>
      <c r="AN506">
        <v>180</v>
      </c>
      <c r="AO506">
        <v>180</v>
      </c>
      <c r="AP506">
        <v>450</v>
      </c>
      <c r="AQ506">
        <v>540</v>
      </c>
      <c r="AR506">
        <v>540</v>
      </c>
      <c r="AS506">
        <v>540</v>
      </c>
      <c r="AT506">
        <v>540</v>
      </c>
      <c r="AU506">
        <v>540</v>
      </c>
      <c r="AV506">
        <v>540</v>
      </c>
      <c r="AW506">
        <v>540</v>
      </c>
      <c r="AX506">
        <v>540</v>
      </c>
      <c r="AY506">
        <v>360</v>
      </c>
      <c r="AZ506">
        <v>180</v>
      </c>
      <c r="BA506">
        <v>180</v>
      </c>
      <c r="BB506">
        <v>180</v>
      </c>
      <c r="BC506">
        <v>360</v>
      </c>
      <c r="BD506">
        <v>450</v>
      </c>
      <c r="BE506">
        <v>420</v>
      </c>
      <c r="BF506">
        <v>420</v>
      </c>
      <c r="BG506">
        <v>360</v>
      </c>
      <c r="BH506">
        <v>270</v>
      </c>
      <c r="BI506">
        <v>180</v>
      </c>
      <c r="BJ506">
        <v>180</v>
      </c>
      <c r="BK506">
        <v>270</v>
      </c>
      <c r="BL506">
        <v>360</v>
      </c>
      <c r="BM506">
        <v>378</v>
      </c>
      <c r="BN506">
        <v>360</v>
      </c>
      <c r="BO506">
        <v>450</v>
      </c>
      <c r="BP506">
        <v>315</v>
      </c>
      <c r="BQ506">
        <f>(I506+J506+N506+O506)/4</f>
        <v>6</v>
      </c>
      <c r="BR506">
        <f>(K506+L506+M506)/3</f>
        <v>6</v>
      </c>
      <c r="BS506">
        <f>BQ506/BR506</f>
        <v>1</v>
      </c>
      <c r="BT506">
        <f>AQ506/I506</f>
        <v>90</v>
      </c>
      <c r="BU506" t="str">
        <f>IF(OR(A506=2, A506=12), "Central", IF(A506=3, "Semi-Central", "Periférica"))</f>
        <v>Periférica</v>
      </c>
    </row>
    <row r="507" spans="1:73" x14ac:dyDescent="0.3">
      <c r="A507" s="1">
        <v>9</v>
      </c>
      <c r="B507" s="1" t="s">
        <v>255</v>
      </c>
      <c r="C507" s="1" t="s">
        <v>254</v>
      </c>
      <c r="D507" t="s">
        <v>5</v>
      </c>
      <c r="F507">
        <v>0</v>
      </c>
      <c r="G507">
        <v>0</v>
      </c>
      <c r="H507">
        <v>3</v>
      </c>
      <c r="I507">
        <v>6</v>
      </c>
      <c r="J507">
        <v>6</v>
      </c>
      <c r="K507">
        <v>6</v>
      </c>
      <c r="L507">
        <v>6</v>
      </c>
      <c r="M507">
        <v>6</v>
      </c>
      <c r="N507">
        <v>6</v>
      </c>
      <c r="O507">
        <v>6</v>
      </c>
      <c r="P507">
        <v>4.666666666666667</v>
      </c>
      <c r="Q507">
        <v>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s="1">
        <v>9</v>
      </c>
      <c r="AJ507" s="1" t="s">
        <v>255</v>
      </c>
      <c r="AK507" s="1" t="s">
        <v>254</v>
      </c>
      <c r="AL507" t="s">
        <v>5</v>
      </c>
      <c r="AN507">
        <v>0</v>
      </c>
      <c r="AO507">
        <v>0</v>
      </c>
      <c r="AP507">
        <v>270</v>
      </c>
      <c r="AQ507">
        <v>540</v>
      </c>
      <c r="AR507">
        <v>540</v>
      </c>
      <c r="AS507">
        <v>540</v>
      </c>
      <c r="AT507">
        <v>540</v>
      </c>
      <c r="AU507">
        <v>540</v>
      </c>
      <c r="AV507">
        <v>540</v>
      </c>
      <c r="AW507">
        <v>540</v>
      </c>
      <c r="AX507">
        <v>420</v>
      </c>
      <c r="AY507">
        <v>360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f>(I507+J507+N507+O507)/4</f>
        <v>6</v>
      </c>
      <c r="BR507">
        <f>(K507+L507+M507)/3</f>
        <v>6</v>
      </c>
      <c r="BS507">
        <f>BQ507/BR507</f>
        <v>1</v>
      </c>
      <c r="BT507">
        <f>AQ507/I507</f>
        <v>90</v>
      </c>
      <c r="BU507" t="str">
        <f>IF(OR(A507=2, A507=12), "Central", IF(A507=3, "Semi-Central", "Periférica"))</f>
        <v>Periférica</v>
      </c>
    </row>
    <row r="508" spans="1:73" x14ac:dyDescent="0.3">
      <c r="A508" s="1">
        <v>12</v>
      </c>
      <c r="B508" s="1">
        <v>1216</v>
      </c>
      <c r="C508" s="1" t="s">
        <v>279</v>
      </c>
      <c r="D508" t="s">
        <v>5</v>
      </c>
      <c r="E508" t="s">
        <v>0</v>
      </c>
      <c r="F508">
        <v>0</v>
      </c>
      <c r="G508">
        <v>0</v>
      </c>
      <c r="H508">
        <v>4</v>
      </c>
      <c r="I508">
        <v>4</v>
      </c>
      <c r="J508">
        <v>4</v>
      </c>
      <c r="K508">
        <v>4</v>
      </c>
      <c r="L508">
        <v>4</v>
      </c>
      <c r="M508">
        <v>4</v>
      </c>
      <c r="N508">
        <v>4</v>
      </c>
      <c r="O508">
        <v>4</v>
      </c>
      <c r="P508">
        <v>4</v>
      </c>
      <c r="Q508">
        <v>3.5</v>
      </c>
      <c r="R508">
        <v>0</v>
      </c>
      <c r="S508">
        <v>0</v>
      </c>
      <c r="T508">
        <v>2</v>
      </c>
      <c r="U508">
        <v>4.8</v>
      </c>
      <c r="V508">
        <v>5</v>
      </c>
      <c r="W508">
        <v>4.333333333333333</v>
      </c>
      <c r="X508">
        <v>4</v>
      </c>
      <c r="Y508">
        <v>3.6</v>
      </c>
      <c r="Z508">
        <v>3.5</v>
      </c>
      <c r="AA508">
        <v>0</v>
      </c>
      <c r="AB508">
        <v>0</v>
      </c>
      <c r="AC508">
        <v>2</v>
      </c>
      <c r="AD508">
        <v>3.454545454545455</v>
      </c>
      <c r="AE508">
        <v>3.6</v>
      </c>
      <c r="AF508">
        <v>3</v>
      </c>
      <c r="AG508">
        <v>2</v>
      </c>
      <c r="AH508">
        <v>3</v>
      </c>
      <c r="AI508" s="1">
        <v>12</v>
      </c>
      <c r="AJ508" s="1">
        <v>1216</v>
      </c>
      <c r="AK508" s="1" t="s">
        <v>279</v>
      </c>
      <c r="AL508" t="s">
        <v>5</v>
      </c>
      <c r="AM508" t="s">
        <v>0</v>
      </c>
      <c r="AN508">
        <v>0</v>
      </c>
      <c r="AO508">
        <v>0</v>
      </c>
      <c r="AP508">
        <v>360</v>
      </c>
      <c r="AQ508">
        <v>360</v>
      </c>
      <c r="AR508">
        <v>360</v>
      </c>
      <c r="AS508">
        <v>360</v>
      </c>
      <c r="AT508">
        <v>360</v>
      </c>
      <c r="AU508">
        <v>360</v>
      </c>
      <c r="AV508">
        <v>360</v>
      </c>
      <c r="AW508">
        <v>360</v>
      </c>
      <c r="AX508">
        <v>360</v>
      </c>
      <c r="AY508">
        <v>315</v>
      </c>
      <c r="AZ508">
        <v>0</v>
      </c>
      <c r="BA508">
        <v>0</v>
      </c>
      <c r="BB508">
        <v>180</v>
      </c>
      <c r="BC508">
        <v>432</v>
      </c>
      <c r="BD508">
        <v>450</v>
      </c>
      <c r="BE508">
        <v>390</v>
      </c>
      <c r="BF508">
        <v>360</v>
      </c>
      <c r="BG508">
        <v>324</v>
      </c>
      <c r="BH508">
        <v>315</v>
      </c>
      <c r="BI508">
        <v>0</v>
      </c>
      <c r="BJ508">
        <v>0</v>
      </c>
      <c r="BK508">
        <v>180</v>
      </c>
      <c r="BL508">
        <v>310.90909090909088</v>
      </c>
      <c r="BM508">
        <v>324</v>
      </c>
      <c r="BN508">
        <v>270</v>
      </c>
      <c r="BO508">
        <v>180</v>
      </c>
      <c r="BP508">
        <v>270</v>
      </c>
      <c r="BQ508">
        <f>(I508+J508+N508+O508)/4</f>
        <v>4</v>
      </c>
      <c r="BR508">
        <f>(K508+L508+M508)/3</f>
        <v>4</v>
      </c>
      <c r="BS508">
        <f>BQ508/BR508</f>
        <v>1</v>
      </c>
      <c r="BT508">
        <f>AQ508/I508</f>
        <v>90</v>
      </c>
      <c r="BU508" t="str">
        <f>IF(OR(A508=2, A508=12), "Central", IF(A508=3, "Semi-Central", "Periférica"))</f>
        <v>Central</v>
      </c>
    </row>
    <row r="509" spans="1:73" x14ac:dyDescent="0.3">
      <c r="A509" s="1">
        <v>12</v>
      </c>
      <c r="B509" s="1">
        <v>1216</v>
      </c>
      <c r="C509" s="1" t="s">
        <v>279</v>
      </c>
      <c r="D509" t="s">
        <v>1</v>
      </c>
      <c r="E509" t="s">
        <v>0</v>
      </c>
      <c r="F509">
        <v>0</v>
      </c>
      <c r="G509">
        <v>0</v>
      </c>
      <c r="H509">
        <v>4</v>
      </c>
      <c r="I509">
        <v>4</v>
      </c>
      <c r="J509">
        <v>4</v>
      </c>
      <c r="K509">
        <v>4</v>
      </c>
      <c r="L509">
        <v>4</v>
      </c>
      <c r="M509">
        <v>4</v>
      </c>
      <c r="N509">
        <v>4</v>
      </c>
      <c r="O509">
        <v>4</v>
      </c>
      <c r="P509">
        <v>4</v>
      </c>
      <c r="Q509">
        <v>3.5</v>
      </c>
      <c r="R509">
        <v>0</v>
      </c>
      <c r="S509">
        <v>0</v>
      </c>
      <c r="T509">
        <v>2</v>
      </c>
      <c r="U509">
        <v>4.8</v>
      </c>
      <c r="V509">
        <v>5</v>
      </c>
      <c r="W509">
        <v>4.333333333333333</v>
      </c>
      <c r="X509">
        <v>4</v>
      </c>
      <c r="Y509">
        <v>3.6</v>
      </c>
      <c r="Z509">
        <v>3.5</v>
      </c>
      <c r="AA509">
        <v>0</v>
      </c>
      <c r="AB509">
        <v>0</v>
      </c>
      <c r="AC509">
        <v>2</v>
      </c>
      <c r="AD509">
        <v>3.454545454545455</v>
      </c>
      <c r="AE509">
        <v>3.8</v>
      </c>
      <c r="AF509">
        <v>3</v>
      </c>
      <c r="AG509">
        <v>2</v>
      </c>
      <c r="AH509">
        <v>3</v>
      </c>
      <c r="AI509" s="1">
        <v>12</v>
      </c>
      <c r="AJ509" s="1">
        <v>1216</v>
      </c>
      <c r="AK509" s="1" t="s">
        <v>279</v>
      </c>
      <c r="AL509" t="s">
        <v>1</v>
      </c>
      <c r="AM509" t="s">
        <v>0</v>
      </c>
      <c r="AN509">
        <v>0</v>
      </c>
      <c r="AO509">
        <v>0</v>
      </c>
      <c r="AP509">
        <v>360</v>
      </c>
      <c r="AQ509">
        <v>360</v>
      </c>
      <c r="AR509">
        <v>360</v>
      </c>
      <c r="AS509">
        <v>360</v>
      </c>
      <c r="AT509">
        <v>360</v>
      </c>
      <c r="AU509">
        <v>360</v>
      </c>
      <c r="AV509">
        <v>360</v>
      </c>
      <c r="AW509">
        <v>360</v>
      </c>
      <c r="AX509">
        <v>360</v>
      </c>
      <c r="AY509">
        <v>315</v>
      </c>
      <c r="AZ509">
        <v>0</v>
      </c>
      <c r="BA509">
        <v>0</v>
      </c>
      <c r="BB509">
        <v>180</v>
      </c>
      <c r="BC509">
        <v>432</v>
      </c>
      <c r="BD509">
        <v>450</v>
      </c>
      <c r="BE509">
        <v>390</v>
      </c>
      <c r="BF509">
        <v>360</v>
      </c>
      <c r="BG509">
        <v>324</v>
      </c>
      <c r="BH509">
        <v>315</v>
      </c>
      <c r="BI509">
        <v>0</v>
      </c>
      <c r="BJ509">
        <v>0</v>
      </c>
      <c r="BK509">
        <v>180</v>
      </c>
      <c r="BL509">
        <v>310.90909090909088</v>
      </c>
      <c r="BM509">
        <v>342</v>
      </c>
      <c r="BN509">
        <v>270</v>
      </c>
      <c r="BO509">
        <v>180</v>
      </c>
      <c r="BP509">
        <v>270</v>
      </c>
      <c r="BQ509">
        <f>(I509+J509+N509+O509)/4</f>
        <v>4</v>
      </c>
      <c r="BR509">
        <f>(K509+L509+M509)/3</f>
        <v>4</v>
      </c>
      <c r="BS509">
        <f>BQ509/BR509</f>
        <v>1</v>
      </c>
      <c r="BT509">
        <f>AQ509/I509</f>
        <v>90</v>
      </c>
      <c r="BU509" t="str">
        <f>IF(OR(A509=2, A509=12), "Central", IF(A509=3, "Semi-Central", "Periférica"))</f>
        <v>Central</v>
      </c>
    </row>
    <row r="510" spans="1:73" x14ac:dyDescent="0.3">
      <c r="A510" s="1">
        <v>13</v>
      </c>
      <c r="B510" s="1">
        <v>1345</v>
      </c>
      <c r="C510" s="1" t="s">
        <v>65</v>
      </c>
      <c r="D510" t="s">
        <v>5</v>
      </c>
      <c r="F510">
        <v>0</v>
      </c>
      <c r="G510">
        <v>0</v>
      </c>
      <c r="H510">
        <v>0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1</v>
      </c>
      <c r="R510">
        <v>0</v>
      </c>
      <c r="S510">
        <v>0</v>
      </c>
      <c r="T510">
        <v>0</v>
      </c>
      <c r="U510">
        <v>1.6</v>
      </c>
      <c r="V510">
        <v>2</v>
      </c>
      <c r="W510">
        <v>2</v>
      </c>
      <c r="X510">
        <v>2</v>
      </c>
      <c r="Y510">
        <v>2</v>
      </c>
      <c r="Z510">
        <v>1</v>
      </c>
      <c r="AA510">
        <v>0</v>
      </c>
      <c r="AB510">
        <v>0</v>
      </c>
      <c r="AC510">
        <v>0</v>
      </c>
      <c r="AD510">
        <v>1.8181818181818179</v>
      </c>
      <c r="AE510">
        <v>2</v>
      </c>
      <c r="AF510">
        <v>2</v>
      </c>
      <c r="AG510">
        <v>2</v>
      </c>
      <c r="AH510">
        <v>1</v>
      </c>
      <c r="AI510" s="1">
        <v>13</v>
      </c>
      <c r="AJ510" s="1">
        <v>1345</v>
      </c>
      <c r="AK510" s="1" t="s">
        <v>65</v>
      </c>
      <c r="AL510" t="s">
        <v>5</v>
      </c>
      <c r="AN510">
        <v>0</v>
      </c>
      <c r="AO510">
        <v>0</v>
      </c>
      <c r="AP510">
        <v>0</v>
      </c>
      <c r="AQ510">
        <v>180</v>
      </c>
      <c r="AR510">
        <v>180</v>
      </c>
      <c r="AS510">
        <v>180</v>
      </c>
      <c r="AT510">
        <v>180</v>
      </c>
      <c r="AU510">
        <v>180</v>
      </c>
      <c r="AV510">
        <v>180</v>
      </c>
      <c r="AW510">
        <v>180</v>
      </c>
      <c r="AX510">
        <v>180</v>
      </c>
      <c r="AY510">
        <v>90</v>
      </c>
      <c r="AZ510">
        <v>0</v>
      </c>
      <c r="BA510">
        <v>0</v>
      </c>
      <c r="BB510">
        <v>0</v>
      </c>
      <c r="BC510">
        <v>144</v>
      </c>
      <c r="BD510">
        <v>180</v>
      </c>
      <c r="BE510">
        <v>180</v>
      </c>
      <c r="BF510">
        <v>180</v>
      </c>
      <c r="BG510">
        <v>180</v>
      </c>
      <c r="BH510">
        <v>90</v>
      </c>
      <c r="BI510">
        <v>0</v>
      </c>
      <c r="BJ510">
        <v>0</v>
      </c>
      <c r="BK510">
        <v>0</v>
      </c>
      <c r="BL510">
        <v>163.6363636363636</v>
      </c>
      <c r="BM510">
        <v>180</v>
      </c>
      <c r="BN510">
        <v>180</v>
      </c>
      <c r="BO510">
        <v>180</v>
      </c>
      <c r="BP510">
        <v>90</v>
      </c>
      <c r="BQ510">
        <f>(I510+J510+N510+O510)/4</f>
        <v>2</v>
      </c>
      <c r="BR510">
        <f>(K510+L510+M510)/3</f>
        <v>2</v>
      </c>
      <c r="BS510">
        <f>BQ510/BR510</f>
        <v>1</v>
      </c>
      <c r="BT510">
        <f>AQ510/I510</f>
        <v>90</v>
      </c>
      <c r="BU510" t="str">
        <f>IF(OR(A510=2, A510=12), "Central", IF(A510=3, "Semi-Central", "Periférica"))</f>
        <v>Periférica</v>
      </c>
    </row>
    <row r="511" spans="1:73" x14ac:dyDescent="0.3">
      <c r="A511" s="1">
        <v>10</v>
      </c>
      <c r="B511" s="1">
        <v>1031</v>
      </c>
      <c r="C511" s="1" t="s">
        <v>278</v>
      </c>
      <c r="D511" t="s">
        <v>5</v>
      </c>
      <c r="E511" t="s">
        <v>0</v>
      </c>
      <c r="F511">
        <v>0</v>
      </c>
      <c r="G511">
        <v>0.22222222222222221</v>
      </c>
      <c r="H511">
        <v>4</v>
      </c>
      <c r="I511">
        <v>6</v>
      </c>
      <c r="J511">
        <v>4.666666666666667</v>
      </c>
      <c r="K511">
        <v>5</v>
      </c>
      <c r="L511">
        <v>5.333333333333333</v>
      </c>
      <c r="M511">
        <v>4.8</v>
      </c>
      <c r="N511">
        <v>4.5</v>
      </c>
      <c r="O511">
        <v>5</v>
      </c>
      <c r="P511">
        <v>4.666666666666667</v>
      </c>
      <c r="Q511">
        <v>3</v>
      </c>
      <c r="R511">
        <v>0</v>
      </c>
      <c r="S511">
        <v>0</v>
      </c>
      <c r="T511">
        <v>2</v>
      </c>
      <c r="U511">
        <v>3.6</v>
      </c>
      <c r="V511">
        <v>4</v>
      </c>
      <c r="W511">
        <v>4</v>
      </c>
      <c r="X511">
        <v>4</v>
      </c>
      <c r="Y511">
        <v>3.2</v>
      </c>
      <c r="Z511">
        <v>2.5</v>
      </c>
      <c r="AA511">
        <v>0</v>
      </c>
      <c r="AB511">
        <v>0</v>
      </c>
      <c r="AC511">
        <v>2</v>
      </c>
      <c r="AD511">
        <v>3.0909090909090908</v>
      </c>
      <c r="AE511">
        <v>3</v>
      </c>
      <c r="AF511">
        <v>3</v>
      </c>
      <c r="AG511">
        <v>3</v>
      </c>
      <c r="AH511">
        <v>3</v>
      </c>
      <c r="AI511" s="1">
        <v>10</v>
      </c>
      <c r="AJ511" s="1">
        <v>1031</v>
      </c>
      <c r="AK511" s="1" t="s">
        <v>278</v>
      </c>
      <c r="AL511" t="s">
        <v>5</v>
      </c>
      <c r="AM511" t="s">
        <v>0</v>
      </c>
      <c r="AN511">
        <v>0</v>
      </c>
      <c r="AO511">
        <v>20</v>
      </c>
      <c r="AP511">
        <v>360</v>
      </c>
      <c r="AQ511">
        <v>540</v>
      </c>
      <c r="AR511">
        <v>420</v>
      </c>
      <c r="AS511">
        <v>450</v>
      </c>
      <c r="AT511">
        <v>480</v>
      </c>
      <c r="AU511">
        <v>432</v>
      </c>
      <c r="AV511">
        <v>405</v>
      </c>
      <c r="AW511">
        <v>450</v>
      </c>
      <c r="AX511">
        <v>420</v>
      </c>
      <c r="AY511">
        <v>270</v>
      </c>
      <c r="AZ511">
        <v>0</v>
      </c>
      <c r="BA511">
        <v>0</v>
      </c>
      <c r="BB511">
        <v>180</v>
      </c>
      <c r="BC511">
        <v>324</v>
      </c>
      <c r="BD511">
        <v>360</v>
      </c>
      <c r="BE511">
        <v>360</v>
      </c>
      <c r="BF511">
        <v>360</v>
      </c>
      <c r="BG511">
        <v>288</v>
      </c>
      <c r="BH511">
        <v>225</v>
      </c>
      <c r="BI511">
        <v>0</v>
      </c>
      <c r="BJ511">
        <v>0</v>
      </c>
      <c r="BK511">
        <v>180</v>
      </c>
      <c r="BL511">
        <v>278.18181818181819</v>
      </c>
      <c r="BM511">
        <v>270</v>
      </c>
      <c r="BN511">
        <v>270</v>
      </c>
      <c r="BO511">
        <v>270</v>
      </c>
      <c r="BP511">
        <v>270</v>
      </c>
      <c r="BQ511">
        <f>(I511+J511+N511+O511)/4</f>
        <v>5.041666666666667</v>
      </c>
      <c r="BR511">
        <f>(K511+L511+M511)/3</f>
        <v>5.0444444444444443</v>
      </c>
      <c r="BS511">
        <f>BQ511/BR511</f>
        <v>0.99944933920704859</v>
      </c>
      <c r="BT511">
        <f>AQ511/I511</f>
        <v>90</v>
      </c>
      <c r="BU511" t="str">
        <f>IF(OR(A511=2, A511=12), "Central", IF(A511=3, "Semi-Central", "Periférica"))</f>
        <v>Periférica</v>
      </c>
    </row>
    <row r="512" spans="1:73" x14ac:dyDescent="0.3">
      <c r="A512" s="1">
        <v>5</v>
      </c>
      <c r="B512" s="1">
        <v>511</v>
      </c>
      <c r="C512" s="1">
        <v>511</v>
      </c>
      <c r="D512" t="s">
        <v>5</v>
      </c>
      <c r="E512" t="s">
        <v>0</v>
      </c>
      <c r="F512">
        <v>2</v>
      </c>
      <c r="G512">
        <v>0</v>
      </c>
      <c r="H512">
        <v>4</v>
      </c>
      <c r="I512">
        <v>5.333333333333333</v>
      </c>
      <c r="J512">
        <v>5.333333333333333</v>
      </c>
      <c r="K512">
        <v>5</v>
      </c>
      <c r="L512">
        <v>5.333333333333333</v>
      </c>
      <c r="M512">
        <v>5.2</v>
      </c>
      <c r="N512">
        <v>5.5</v>
      </c>
      <c r="O512">
        <v>4.5</v>
      </c>
      <c r="P512">
        <v>4.666666666666667</v>
      </c>
      <c r="Q512">
        <v>3</v>
      </c>
      <c r="R512">
        <v>2</v>
      </c>
      <c r="S512">
        <v>0</v>
      </c>
      <c r="T512">
        <v>4</v>
      </c>
      <c r="U512">
        <v>5.2</v>
      </c>
      <c r="V512">
        <v>4.666666666666667</v>
      </c>
      <c r="W512">
        <v>5</v>
      </c>
      <c r="X512">
        <v>4.8888888888888893</v>
      </c>
      <c r="Y512">
        <v>4.4000000000000004</v>
      </c>
      <c r="Z512">
        <v>2.5</v>
      </c>
      <c r="AA512">
        <v>2</v>
      </c>
      <c r="AB512">
        <v>0</v>
      </c>
      <c r="AC512">
        <v>4</v>
      </c>
      <c r="AD512">
        <v>4.5454545454545459</v>
      </c>
      <c r="AE512">
        <v>4.5999999999999996</v>
      </c>
      <c r="AF512">
        <v>4.333333333333333</v>
      </c>
      <c r="AG512">
        <v>5</v>
      </c>
      <c r="AH512">
        <v>2.5</v>
      </c>
      <c r="AI512" s="1">
        <v>5</v>
      </c>
      <c r="AJ512" s="1">
        <v>511</v>
      </c>
      <c r="AK512" s="1">
        <v>511</v>
      </c>
      <c r="AL512" t="s">
        <v>5</v>
      </c>
      <c r="AM512" t="s">
        <v>0</v>
      </c>
      <c r="AN512">
        <v>162</v>
      </c>
      <c r="AO512">
        <v>0</v>
      </c>
      <c r="AP512">
        <v>324</v>
      </c>
      <c r="AQ512">
        <v>432</v>
      </c>
      <c r="AR512">
        <v>432</v>
      </c>
      <c r="AS512">
        <v>405</v>
      </c>
      <c r="AT512">
        <v>432</v>
      </c>
      <c r="AU512">
        <v>421.2</v>
      </c>
      <c r="AV512">
        <v>445.5</v>
      </c>
      <c r="AW512">
        <v>364.5</v>
      </c>
      <c r="AX512">
        <v>378</v>
      </c>
      <c r="AY512">
        <v>243</v>
      </c>
      <c r="AZ512">
        <v>162</v>
      </c>
      <c r="BA512">
        <v>0</v>
      </c>
      <c r="BB512">
        <v>324</v>
      </c>
      <c r="BC512">
        <v>421.2</v>
      </c>
      <c r="BD512">
        <v>378</v>
      </c>
      <c r="BE512">
        <v>405</v>
      </c>
      <c r="BF512">
        <v>396</v>
      </c>
      <c r="BG512">
        <v>356.4</v>
      </c>
      <c r="BH512">
        <v>202.5</v>
      </c>
      <c r="BI512">
        <v>162</v>
      </c>
      <c r="BJ512">
        <v>0</v>
      </c>
      <c r="BK512">
        <v>324</v>
      </c>
      <c r="BL512">
        <v>368.18181818181819</v>
      </c>
      <c r="BM512">
        <v>372.6</v>
      </c>
      <c r="BN512">
        <v>351</v>
      </c>
      <c r="BO512">
        <v>405</v>
      </c>
      <c r="BP512">
        <v>202.5</v>
      </c>
      <c r="BQ512">
        <f>(I512+J512+N512+O512)/4</f>
        <v>5.1666666666666661</v>
      </c>
      <c r="BR512">
        <f>(K512+L512+M512)/3</f>
        <v>5.1777777777777771</v>
      </c>
      <c r="BS512">
        <f>BQ512/BR512</f>
        <v>0.99785407725321884</v>
      </c>
      <c r="BT512">
        <f>AQ512/I512</f>
        <v>81</v>
      </c>
      <c r="BU512" t="str">
        <f>IF(OR(A512=2, A512=12), "Central", IF(A512=3, "Semi-Central", "Periférica"))</f>
        <v>Periférica</v>
      </c>
    </row>
    <row r="513" spans="1:73" x14ac:dyDescent="0.3">
      <c r="A513" s="1">
        <v>5</v>
      </c>
      <c r="B513" s="1">
        <v>511</v>
      </c>
      <c r="C513" s="1">
        <v>511</v>
      </c>
      <c r="D513" t="s">
        <v>1</v>
      </c>
      <c r="E513" t="s">
        <v>0</v>
      </c>
      <c r="F513">
        <v>2</v>
      </c>
      <c r="G513">
        <v>0</v>
      </c>
      <c r="H513">
        <v>4</v>
      </c>
      <c r="I513">
        <v>5.333333333333333</v>
      </c>
      <c r="J513">
        <v>5.333333333333333</v>
      </c>
      <c r="K513">
        <v>5</v>
      </c>
      <c r="L513">
        <v>5.333333333333333</v>
      </c>
      <c r="M513">
        <v>5.2</v>
      </c>
      <c r="N513">
        <v>5.5</v>
      </c>
      <c r="O513">
        <v>4.5</v>
      </c>
      <c r="P513">
        <v>4</v>
      </c>
      <c r="Q513">
        <v>3.5</v>
      </c>
      <c r="R513">
        <v>2</v>
      </c>
      <c r="S513">
        <v>0</v>
      </c>
      <c r="T513">
        <v>4</v>
      </c>
      <c r="U513">
        <v>4.8</v>
      </c>
      <c r="V513">
        <v>5</v>
      </c>
      <c r="W513">
        <v>5</v>
      </c>
      <c r="X513">
        <v>4.666666666666667</v>
      </c>
      <c r="Y513">
        <v>4.4000000000000004</v>
      </c>
      <c r="Z513">
        <v>3.5</v>
      </c>
      <c r="AA513">
        <v>2</v>
      </c>
      <c r="AB513">
        <v>0</v>
      </c>
      <c r="AC513">
        <v>4</v>
      </c>
      <c r="AD513">
        <v>4.5454545454545459</v>
      </c>
      <c r="AE513">
        <v>4.5999999999999996</v>
      </c>
      <c r="AF513">
        <v>4.333333333333333</v>
      </c>
      <c r="AG513">
        <v>5</v>
      </c>
      <c r="AH513">
        <v>2.5</v>
      </c>
      <c r="AI513" s="1">
        <v>5</v>
      </c>
      <c r="AJ513" s="1">
        <v>511</v>
      </c>
      <c r="AK513" s="1">
        <v>511</v>
      </c>
      <c r="AL513" t="s">
        <v>1</v>
      </c>
      <c r="AM513" t="s">
        <v>0</v>
      </c>
      <c r="AN513">
        <v>162</v>
      </c>
      <c r="AO513">
        <v>0</v>
      </c>
      <c r="AP513">
        <v>324</v>
      </c>
      <c r="AQ513">
        <v>432</v>
      </c>
      <c r="AR513">
        <v>432</v>
      </c>
      <c r="AS513">
        <v>405</v>
      </c>
      <c r="AT513">
        <v>432</v>
      </c>
      <c r="AU513">
        <v>421.2</v>
      </c>
      <c r="AV513">
        <v>445.5</v>
      </c>
      <c r="AW513">
        <v>364.5</v>
      </c>
      <c r="AX513">
        <v>324</v>
      </c>
      <c r="AY513">
        <v>283.5</v>
      </c>
      <c r="AZ513">
        <v>162</v>
      </c>
      <c r="BA513">
        <v>0</v>
      </c>
      <c r="BB513">
        <v>324</v>
      </c>
      <c r="BC513">
        <v>388.8</v>
      </c>
      <c r="BD513">
        <v>405</v>
      </c>
      <c r="BE513">
        <v>405</v>
      </c>
      <c r="BF513">
        <v>378</v>
      </c>
      <c r="BG513">
        <v>356.4</v>
      </c>
      <c r="BH513">
        <v>283.5</v>
      </c>
      <c r="BI513">
        <v>162</v>
      </c>
      <c r="BJ513">
        <v>0</v>
      </c>
      <c r="BK513">
        <v>324</v>
      </c>
      <c r="BL513">
        <v>368.18181818181819</v>
      </c>
      <c r="BM513">
        <v>372.6</v>
      </c>
      <c r="BN513">
        <v>351</v>
      </c>
      <c r="BO513">
        <v>405</v>
      </c>
      <c r="BP513">
        <v>202.5</v>
      </c>
      <c r="BQ513">
        <f>(I513+J513+N513+O513)/4</f>
        <v>5.1666666666666661</v>
      </c>
      <c r="BR513">
        <f>(K513+L513+M513)/3</f>
        <v>5.1777777777777771</v>
      </c>
      <c r="BS513">
        <f>BQ513/BR513</f>
        <v>0.99785407725321884</v>
      </c>
      <c r="BT513">
        <f>AQ513/I513</f>
        <v>81</v>
      </c>
      <c r="BU513" t="str">
        <f>IF(OR(A513=2, A513=12), "Central", IF(A513=3, "Semi-Central", "Periférica"))</f>
        <v>Periférica</v>
      </c>
    </row>
    <row r="514" spans="1:73" x14ac:dyDescent="0.3">
      <c r="A514" s="1">
        <v>5</v>
      </c>
      <c r="B514" s="1">
        <v>537</v>
      </c>
      <c r="C514" s="1" t="s">
        <v>277</v>
      </c>
      <c r="D514" t="s">
        <v>5</v>
      </c>
      <c r="E514" t="s">
        <v>0</v>
      </c>
      <c r="F514">
        <v>0</v>
      </c>
      <c r="G514">
        <v>0</v>
      </c>
      <c r="H514">
        <v>0</v>
      </c>
      <c r="I514">
        <v>2</v>
      </c>
      <c r="J514">
        <v>2</v>
      </c>
      <c r="K514">
        <v>1.6666666666666667</v>
      </c>
      <c r="L514">
        <v>2</v>
      </c>
      <c r="M514">
        <v>1.6</v>
      </c>
      <c r="N514">
        <v>1.5</v>
      </c>
      <c r="O514">
        <v>1.5</v>
      </c>
      <c r="P514">
        <v>2</v>
      </c>
      <c r="Q514">
        <v>1</v>
      </c>
      <c r="R514">
        <v>0</v>
      </c>
      <c r="S514">
        <v>0</v>
      </c>
      <c r="T514">
        <v>0</v>
      </c>
      <c r="U514">
        <v>2</v>
      </c>
      <c r="V514">
        <v>2</v>
      </c>
      <c r="W514">
        <v>2</v>
      </c>
      <c r="X514">
        <v>2</v>
      </c>
      <c r="Y514">
        <v>2</v>
      </c>
      <c r="Z514">
        <v>1</v>
      </c>
      <c r="AA514">
        <v>0</v>
      </c>
      <c r="AB514">
        <v>0</v>
      </c>
      <c r="AC514">
        <v>0</v>
      </c>
      <c r="AD514">
        <v>2</v>
      </c>
      <c r="AE514">
        <v>2</v>
      </c>
      <c r="AF514">
        <v>2</v>
      </c>
      <c r="AG514">
        <v>2</v>
      </c>
      <c r="AH514">
        <v>1</v>
      </c>
      <c r="AI514" s="1">
        <v>5</v>
      </c>
      <c r="AJ514" s="1">
        <v>537</v>
      </c>
      <c r="AK514" s="1" t="s">
        <v>277</v>
      </c>
      <c r="AL514" t="s">
        <v>5</v>
      </c>
      <c r="AM514" t="s">
        <v>0</v>
      </c>
      <c r="AN514">
        <v>0</v>
      </c>
      <c r="AO514">
        <v>0</v>
      </c>
      <c r="AP514">
        <v>0</v>
      </c>
      <c r="AQ514">
        <v>94</v>
      </c>
      <c r="AR514">
        <v>94</v>
      </c>
      <c r="AS514">
        <v>78.333333333333329</v>
      </c>
      <c r="AT514">
        <v>94</v>
      </c>
      <c r="AU514">
        <v>75.2</v>
      </c>
      <c r="AV514">
        <v>70.5</v>
      </c>
      <c r="AW514">
        <v>70.5</v>
      </c>
      <c r="AX514">
        <v>94</v>
      </c>
      <c r="AY514">
        <v>47</v>
      </c>
      <c r="AZ514">
        <v>0</v>
      </c>
      <c r="BA514">
        <v>0</v>
      </c>
      <c r="BB514">
        <v>0</v>
      </c>
      <c r="BC514">
        <v>94</v>
      </c>
      <c r="BD514">
        <v>94</v>
      </c>
      <c r="BE514">
        <v>94</v>
      </c>
      <c r="BF514">
        <v>94</v>
      </c>
      <c r="BG514">
        <v>94</v>
      </c>
      <c r="BH514">
        <v>47</v>
      </c>
      <c r="BI514">
        <v>0</v>
      </c>
      <c r="BJ514">
        <v>0</v>
      </c>
      <c r="BK514">
        <v>0</v>
      </c>
      <c r="BL514">
        <v>94</v>
      </c>
      <c r="BM514">
        <v>94</v>
      </c>
      <c r="BN514">
        <v>94</v>
      </c>
      <c r="BO514">
        <v>94</v>
      </c>
      <c r="BP514">
        <v>47</v>
      </c>
      <c r="BQ514">
        <f>(I514+J514+N514+O514)/4</f>
        <v>1.75</v>
      </c>
      <c r="BR514">
        <f>(K514+L514+M514)/3</f>
        <v>1.7555555555555558</v>
      </c>
      <c r="BS514">
        <f>BQ514/BR514</f>
        <v>0.99683544303797456</v>
      </c>
      <c r="BT514">
        <f>AQ514/I514</f>
        <v>47</v>
      </c>
      <c r="BU514" t="str">
        <f>IF(OR(A514=2, A514=12), "Central", IF(A514=3, "Semi-Central", "Periférica"))</f>
        <v>Periférica</v>
      </c>
    </row>
    <row r="515" spans="1:73" x14ac:dyDescent="0.3">
      <c r="A515" s="1">
        <v>5</v>
      </c>
      <c r="B515" s="1">
        <v>537</v>
      </c>
      <c r="C515" s="1" t="s">
        <v>277</v>
      </c>
      <c r="D515" t="s">
        <v>1</v>
      </c>
      <c r="E515" t="s">
        <v>0</v>
      </c>
      <c r="F515">
        <v>0</v>
      </c>
      <c r="G515">
        <v>0</v>
      </c>
      <c r="H515">
        <v>0</v>
      </c>
      <c r="I515">
        <v>2</v>
      </c>
      <c r="J515">
        <v>2</v>
      </c>
      <c r="K515">
        <v>1.6666666666666667</v>
      </c>
      <c r="L515">
        <v>2</v>
      </c>
      <c r="M515">
        <v>1.6</v>
      </c>
      <c r="N515">
        <v>1.5</v>
      </c>
      <c r="O515">
        <v>1.5</v>
      </c>
      <c r="P515">
        <v>2</v>
      </c>
      <c r="Q515">
        <v>1</v>
      </c>
      <c r="R515">
        <v>0</v>
      </c>
      <c r="S515">
        <v>0</v>
      </c>
      <c r="T515">
        <v>0</v>
      </c>
      <c r="U515">
        <v>2</v>
      </c>
      <c r="V515">
        <v>2</v>
      </c>
      <c r="W515">
        <v>2</v>
      </c>
      <c r="X515">
        <v>2</v>
      </c>
      <c r="Y515">
        <v>2</v>
      </c>
      <c r="Z515">
        <v>1</v>
      </c>
      <c r="AA515">
        <v>0</v>
      </c>
      <c r="AB515">
        <v>0</v>
      </c>
      <c r="AC515">
        <v>0</v>
      </c>
      <c r="AD515">
        <v>2</v>
      </c>
      <c r="AE515">
        <v>2</v>
      </c>
      <c r="AF515">
        <v>2</v>
      </c>
      <c r="AG515">
        <v>2</v>
      </c>
      <c r="AH515">
        <v>1</v>
      </c>
      <c r="AI515" s="1">
        <v>5</v>
      </c>
      <c r="AJ515" s="1">
        <v>537</v>
      </c>
      <c r="AK515" s="1" t="s">
        <v>277</v>
      </c>
      <c r="AL515" t="s">
        <v>1</v>
      </c>
      <c r="AM515" t="s">
        <v>0</v>
      </c>
      <c r="AN515">
        <v>0</v>
      </c>
      <c r="AO515">
        <v>0</v>
      </c>
      <c r="AP515">
        <v>0</v>
      </c>
      <c r="AQ515">
        <v>94</v>
      </c>
      <c r="AR515">
        <v>94</v>
      </c>
      <c r="AS515">
        <v>78.333333333333329</v>
      </c>
      <c r="AT515">
        <v>94</v>
      </c>
      <c r="AU515">
        <v>75.2</v>
      </c>
      <c r="AV515">
        <v>70.5</v>
      </c>
      <c r="AW515">
        <v>70.5</v>
      </c>
      <c r="AX515">
        <v>94</v>
      </c>
      <c r="AY515">
        <v>47</v>
      </c>
      <c r="AZ515">
        <v>0</v>
      </c>
      <c r="BA515">
        <v>0</v>
      </c>
      <c r="BB515">
        <v>0</v>
      </c>
      <c r="BC515">
        <v>94</v>
      </c>
      <c r="BD515">
        <v>94</v>
      </c>
      <c r="BE515">
        <v>94</v>
      </c>
      <c r="BF515">
        <v>94</v>
      </c>
      <c r="BG515">
        <v>94</v>
      </c>
      <c r="BH515">
        <v>47</v>
      </c>
      <c r="BI515">
        <v>0</v>
      </c>
      <c r="BJ515">
        <v>0</v>
      </c>
      <c r="BK515">
        <v>0</v>
      </c>
      <c r="BL515">
        <v>94</v>
      </c>
      <c r="BM515">
        <v>94</v>
      </c>
      <c r="BN515">
        <v>94</v>
      </c>
      <c r="BO515">
        <v>94</v>
      </c>
      <c r="BP515">
        <v>47</v>
      </c>
      <c r="BQ515">
        <f>(I515+J515+N515+O515)/4</f>
        <v>1.75</v>
      </c>
      <c r="BR515">
        <f>(K515+L515+M515)/3</f>
        <v>1.7555555555555558</v>
      </c>
      <c r="BS515">
        <f>BQ515/BR515</f>
        <v>0.99683544303797456</v>
      </c>
      <c r="BT515">
        <f>AQ515/I515</f>
        <v>47</v>
      </c>
      <c r="BU515" t="str">
        <f>IF(OR(A515=2, A515=12), "Central", IF(A515=3, "Semi-Central", "Periférica"))</f>
        <v>Periférica</v>
      </c>
    </row>
    <row r="516" spans="1:73" x14ac:dyDescent="0.3">
      <c r="A516" s="1">
        <v>5</v>
      </c>
      <c r="B516" s="1">
        <v>509</v>
      </c>
      <c r="C516" s="1">
        <v>509</v>
      </c>
      <c r="D516" t="s">
        <v>1</v>
      </c>
      <c r="E516" t="s">
        <v>0</v>
      </c>
      <c r="F516">
        <v>0</v>
      </c>
      <c r="G516">
        <v>0</v>
      </c>
      <c r="H516">
        <v>3</v>
      </c>
      <c r="I516">
        <v>4.666666666666667</v>
      </c>
      <c r="J516">
        <v>5.333333333333333</v>
      </c>
      <c r="K516">
        <v>5.666666666666667</v>
      </c>
      <c r="L516">
        <v>5.333333333333333</v>
      </c>
      <c r="M516">
        <v>5.2</v>
      </c>
      <c r="N516">
        <v>6.5</v>
      </c>
      <c r="O516">
        <v>5</v>
      </c>
      <c r="P516">
        <v>4.666666666666667</v>
      </c>
      <c r="Q516">
        <v>2.5</v>
      </c>
      <c r="R516">
        <v>0</v>
      </c>
      <c r="S516">
        <v>0</v>
      </c>
      <c r="T516">
        <v>1</v>
      </c>
      <c r="U516">
        <v>3.6</v>
      </c>
      <c r="V516">
        <v>3.6666666666666665</v>
      </c>
      <c r="W516">
        <v>4</v>
      </c>
      <c r="X516">
        <v>4</v>
      </c>
      <c r="Y516">
        <v>3.2</v>
      </c>
      <c r="Z516">
        <v>2.5</v>
      </c>
      <c r="AA516">
        <v>0</v>
      </c>
      <c r="AB516">
        <v>0</v>
      </c>
      <c r="AC516">
        <v>2.5</v>
      </c>
      <c r="AD516">
        <v>3.0909090909090908</v>
      </c>
      <c r="AE516">
        <v>3</v>
      </c>
      <c r="AF516">
        <v>3</v>
      </c>
      <c r="AG516">
        <v>3</v>
      </c>
      <c r="AH516">
        <v>2.5</v>
      </c>
      <c r="AI516" s="1">
        <v>5</v>
      </c>
      <c r="AJ516" s="1">
        <v>509</v>
      </c>
      <c r="AK516" s="1">
        <v>509</v>
      </c>
      <c r="AL516" t="s">
        <v>1</v>
      </c>
      <c r="AM516" t="s">
        <v>0</v>
      </c>
      <c r="AN516">
        <v>0</v>
      </c>
      <c r="AO516">
        <v>0</v>
      </c>
      <c r="AP516">
        <v>276</v>
      </c>
      <c r="AQ516">
        <v>429.33333333333331</v>
      </c>
      <c r="AR516">
        <v>490.66666666666669</v>
      </c>
      <c r="AS516">
        <v>488.33333333333331</v>
      </c>
      <c r="AT516">
        <v>432</v>
      </c>
      <c r="AU516">
        <v>421.2</v>
      </c>
      <c r="AV516">
        <v>570.5</v>
      </c>
      <c r="AW516">
        <v>460</v>
      </c>
      <c r="AX516">
        <v>429.33333333333331</v>
      </c>
      <c r="AY516">
        <v>230</v>
      </c>
      <c r="AZ516">
        <v>0</v>
      </c>
      <c r="BA516">
        <v>0</v>
      </c>
      <c r="BB516">
        <v>81</v>
      </c>
      <c r="BC516">
        <v>291.60000000000002</v>
      </c>
      <c r="BD516">
        <v>297</v>
      </c>
      <c r="BE516">
        <v>324</v>
      </c>
      <c r="BF516">
        <v>324</v>
      </c>
      <c r="BG516">
        <v>259.2</v>
      </c>
      <c r="BH516">
        <v>202.5</v>
      </c>
      <c r="BI516">
        <v>0</v>
      </c>
      <c r="BJ516">
        <v>0</v>
      </c>
      <c r="BK516">
        <v>202.5</v>
      </c>
      <c r="BL516">
        <v>250.36363636363637</v>
      </c>
      <c r="BM516">
        <v>243</v>
      </c>
      <c r="BN516">
        <v>243</v>
      </c>
      <c r="BO516">
        <v>243</v>
      </c>
      <c r="BP516">
        <v>202.5</v>
      </c>
      <c r="BQ516">
        <f>(I516+J516+N516+O516)/4</f>
        <v>5.375</v>
      </c>
      <c r="BR516">
        <f>(K516+L516+M516)/3</f>
        <v>5.3999999999999995</v>
      </c>
      <c r="BS516">
        <f>BQ516/BR516</f>
        <v>0.99537037037037046</v>
      </c>
      <c r="BT516">
        <f>AQ516/I516</f>
        <v>91.999999999999986</v>
      </c>
      <c r="BU516" t="str">
        <f>IF(OR(A516=2, A516=12), "Central", IF(A516=3, "Semi-Central", "Periférica"))</f>
        <v>Periférica</v>
      </c>
    </row>
    <row r="517" spans="1:73" x14ac:dyDescent="0.3">
      <c r="A517" s="1">
        <v>3</v>
      </c>
      <c r="B517" s="1">
        <v>318</v>
      </c>
      <c r="C517" s="1">
        <v>111</v>
      </c>
      <c r="D517" t="s">
        <v>1</v>
      </c>
      <c r="E517" t="s">
        <v>0</v>
      </c>
      <c r="F517">
        <v>0</v>
      </c>
      <c r="G517">
        <v>0.66666666666666663</v>
      </c>
      <c r="H517">
        <v>6</v>
      </c>
      <c r="I517">
        <v>6</v>
      </c>
      <c r="J517">
        <v>6</v>
      </c>
      <c r="K517">
        <v>5.666666666666667</v>
      </c>
      <c r="L517">
        <v>5.333333333333333</v>
      </c>
      <c r="M517">
        <v>5.6</v>
      </c>
      <c r="N517">
        <v>5.5</v>
      </c>
      <c r="O517">
        <v>4.5</v>
      </c>
      <c r="P517">
        <v>4</v>
      </c>
      <c r="Q517">
        <v>2</v>
      </c>
      <c r="R517">
        <v>0</v>
      </c>
      <c r="S517">
        <v>0</v>
      </c>
      <c r="T517">
        <v>3</v>
      </c>
      <c r="U517">
        <v>5.2</v>
      </c>
      <c r="V517">
        <v>4.333333333333333</v>
      </c>
      <c r="W517">
        <v>5.333333333333333</v>
      </c>
      <c r="X517">
        <v>4.2222222222222223</v>
      </c>
      <c r="Y517">
        <v>4</v>
      </c>
      <c r="Z517">
        <v>2</v>
      </c>
      <c r="AA517">
        <v>0</v>
      </c>
      <c r="AB517">
        <v>0</v>
      </c>
      <c r="AC517">
        <v>3</v>
      </c>
      <c r="AD517">
        <v>4</v>
      </c>
      <c r="AE517">
        <v>4</v>
      </c>
      <c r="AF517">
        <v>4</v>
      </c>
      <c r="AG517">
        <v>3</v>
      </c>
      <c r="AH517">
        <v>1.5</v>
      </c>
      <c r="AI517" s="1">
        <v>3</v>
      </c>
      <c r="AJ517" s="1">
        <v>318</v>
      </c>
      <c r="AK517" s="1">
        <v>111</v>
      </c>
      <c r="AL517" t="s">
        <v>1</v>
      </c>
      <c r="AM517" t="s">
        <v>0</v>
      </c>
      <c r="AN517">
        <v>0</v>
      </c>
      <c r="AO517">
        <v>65.333333333333329</v>
      </c>
      <c r="AP517">
        <v>588</v>
      </c>
      <c r="AQ517">
        <v>588</v>
      </c>
      <c r="AR517">
        <v>588</v>
      </c>
      <c r="AS517">
        <v>555.33333333333337</v>
      </c>
      <c r="AT517">
        <v>522.66666666666663</v>
      </c>
      <c r="AU517">
        <v>548.79999999999995</v>
      </c>
      <c r="AV517">
        <v>539</v>
      </c>
      <c r="AW517">
        <v>441</v>
      </c>
      <c r="AX517">
        <v>392</v>
      </c>
      <c r="AY517">
        <v>196</v>
      </c>
      <c r="AZ517">
        <v>0</v>
      </c>
      <c r="BA517">
        <v>0</v>
      </c>
      <c r="BB517">
        <v>294</v>
      </c>
      <c r="BC517">
        <v>509.6</v>
      </c>
      <c r="BD517">
        <v>424.66666666666669</v>
      </c>
      <c r="BE517">
        <v>522.66666666666663</v>
      </c>
      <c r="BF517">
        <v>413.77777777777777</v>
      </c>
      <c r="BG517">
        <v>392</v>
      </c>
      <c r="BH517">
        <v>196</v>
      </c>
      <c r="BI517">
        <v>0</v>
      </c>
      <c r="BJ517">
        <v>0</v>
      </c>
      <c r="BK517">
        <v>294</v>
      </c>
      <c r="BL517">
        <v>392</v>
      </c>
      <c r="BM517">
        <v>392</v>
      </c>
      <c r="BN517">
        <v>392</v>
      </c>
      <c r="BO517">
        <v>294</v>
      </c>
      <c r="BP517">
        <v>147</v>
      </c>
      <c r="BQ517">
        <f>(I517+J517+N517+O517)/4</f>
        <v>5.5</v>
      </c>
      <c r="BR517">
        <f>(K517+L517+M517)/3</f>
        <v>5.5333333333333341</v>
      </c>
      <c r="BS517">
        <f>BQ517/BR517</f>
        <v>0.99397590361445765</v>
      </c>
      <c r="BT517">
        <f>AQ517/I517</f>
        <v>98</v>
      </c>
      <c r="BU517" t="str">
        <f>IF(OR(A517=2, A517=12), "Central", IF(A517=3, "Semi-Central", "Periférica"))</f>
        <v>Semi-Central</v>
      </c>
    </row>
    <row r="518" spans="1:73" x14ac:dyDescent="0.3">
      <c r="A518" s="1">
        <v>13</v>
      </c>
      <c r="B518" s="1">
        <v>1312</v>
      </c>
      <c r="C518" s="1">
        <v>412</v>
      </c>
      <c r="D518" t="s">
        <v>5</v>
      </c>
      <c r="F518">
        <v>2</v>
      </c>
      <c r="G518">
        <v>0.44444444444444442</v>
      </c>
      <c r="H518">
        <v>6</v>
      </c>
      <c r="I518">
        <v>6</v>
      </c>
      <c r="J518">
        <v>6</v>
      </c>
      <c r="K518">
        <v>5.666666666666667</v>
      </c>
      <c r="L518">
        <v>5.333333333333333</v>
      </c>
      <c r="M518">
        <v>5.6</v>
      </c>
      <c r="N518">
        <v>5.5</v>
      </c>
      <c r="O518">
        <v>4.5</v>
      </c>
      <c r="P518">
        <v>4</v>
      </c>
      <c r="Q518">
        <v>2.5</v>
      </c>
      <c r="R518">
        <v>2</v>
      </c>
      <c r="S518">
        <v>0</v>
      </c>
      <c r="T518">
        <v>4</v>
      </c>
      <c r="U518">
        <v>4.8</v>
      </c>
      <c r="V518">
        <v>5</v>
      </c>
      <c r="W518">
        <v>5</v>
      </c>
      <c r="X518">
        <v>4.666666666666667</v>
      </c>
      <c r="Y518">
        <v>2.8</v>
      </c>
      <c r="Z518">
        <v>2</v>
      </c>
      <c r="AA518">
        <v>2</v>
      </c>
      <c r="AB518">
        <v>0</v>
      </c>
      <c r="AC518">
        <v>5</v>
      </c>
      <c r="AD518">
        <v>4.1818181818181817</v>
      </c>
      <c r="AE518">
        <v>4.4000000000000004</v>
      </c>
      <c r="AF518">
        <v>3.333333333333333</v>
      </c>
      <c r="AG518">
        <v>2</v>
      </c>
      <c r="AH518">
        <v>2</v>
      </c>
      <c r="AI518" s="1">
        <v>13</v>
      </c>
      <c r="AJ518" s="1">
        <v>1312</v>
      </c>
      <c r="AK518" s="1">
        <v>412</v>
      </c>
      <c r="AL518" t="s">
        <v>5</v>
      </c>
      <c r="AN518">
        <v>300</v>
      </c>
      <c r="AO518">
        <v>66.666666666666671</v>
      </c>
      <c r="AP518">
        <v>900</v>
      </c>
      <c r="AQ518">
        <v>900</v>
      </c>
      <c r="AR518">
        <v>900</v>
      </c>
      <c r="AS518">
        <v>850</v>
      </c>
      <c r="AT518">
        <v>800</v>
      </c>
      <c r="AU518">
        <v>840</v>
      </c>
      <c r="AV518">
        <v>825</v>
      </c>
      <c r="AW518">
        <v>675</v>
      </c>
      <c r="AX518">
        <v>600</v>
      </c>
      <c r="AY518">
        <v>375</v>
      </c>
      <c r="AZ518">
        <v>180</v>
      </c>
      <c r="BA518">
        <v>0</v>
      </c>
      <c r="BB518">
        <v>360</v>
      </c>
      <c r="BC518">
        <v>432</v>
      </c>
      <c r="BD518">
        <v>450</v>
      </c>
      <c r="BE518">
        <v>450</v>
      </c>
      <c r="BF518">
        <v>420</v>
      </c>
      <c r="BG518">
        <v>252</v>
      </c>
      <c r="BH518">
        <v>180</v>
      </c>
      <c r="BI518">
        <v>180</v>
      </c>
      <c r="BJ518">
        <v>0</v>
      </c>
      <c r="BK518">
        <v>450</v>
      </c>
      <c r="BL518">
        <v>376.36363636363637</v>
      </c>
      <c r="BM518">
        <v>396</v>
      </c>
      <c r="BN518">
        <v>300</v>
      </c>
      <c r="BO518">
        <v>180</v>
      </c>
      <c r="BP518">
        <v>180</v>
      </c>
      <c r="BQ518">
        <f>(I518+J518+N518+O518)/4</f>
        <v>5.5</v>
      </c>
      <c r="BR518">
        <f>(K518+L518+M518)/3</f>
        <v>5.5333333333333341</v>
      </c>
      <c r="BS518">
        <f>BQ518/BR518</f>
        <v>0.99397590361445765</v>
      </c>
      <c r="BT518">
        <f>AQ518/I518</f>
        <v>150</v>
      </c>
      <c r="BU518" t="str">
        <f>IF(OR(A518=2, A518=12), "Central", IF(A518=3, "Semi-Central", "Periférica"))</f>
        <v>Periférica</v>
      </c>
    </row>
    <row r="519" spans="1:73" x14ac:dyDescent="0.3">
      <c r="A519" s="1">
        <v>3</v>
      </c>
      <c r="B519" s="1">
        <v>383</v>
      </c>
      <c r="C519" s="1" t="s">
        <v>219</v>
      </c>
      <c r="D519" t="s">
        <v>5</v>
      </c>
      <c r="E519" t="s">
        <v>0</v>
      </c>
      <c r="F519">
        <v>0</v>
      </c>
      <c r="G519">
        <v>0.44444444444444442</v>
      </c>
      <c r="H519">
        <v>5</v>
      </c>
      <c r="I519">
        <v>5.333333333333333</v>
      </c>
      <c r="J519">
        <v>4.666666666666667</v>
      </c>
      <c r="K519">
        <v>5</v>
      </c>
      <c r="L519">
        <v>5.333333333333333</v>
      </c>
      <c r="M519">
        <v>4.4000000000000004</v>
      </c>
      <c r="N519">
        <v>4.5</v>
      </c>
      <c r="O519">
        <v>5</v>
      </c>
      <c r="P519">
        <v>4</v>
      </c>
      <c r="Q519">
        <v>2</v>
      </c>
      <c r="R519">
        <v>0</v>
      </c>
      <c r="S519">
        <v>0.22222222222222221</v>
      </c>
      <c r="T519">
        <v>3</v>
      </c>
      <c r="U519">
        <v>4</v>
      </c>
      <c r="V519">
        <v>4</v>
      </c>
      <c r="W519">
        <v>4</v>
      </c>
      <c r="X519">
        <v>3.7777777777777777</v>
      </c>
      <c r="Y519">
        <v>3.2</v>
      </c>
      <c r="Z519">
        <v>1.5</v>
      </c>
      <c r="AA519">
        <v>0</v>
      </c>
      <c r="AB519">
        <v>0</v>
      </c>
      <c r="AC519">
        <v>3</v>
      </c>
      <c r="AD519">
        <v>4</v>
      </c>
      <c r="AE519">
        <v>4</v>
      </c>
      <c r="AF519">
        <v>4</v>
      </c>
      <c r="AG519">
        <v>3</v>
      </c>
      <c r="AH519">
        <v>1</v>
      </c>
      <c r="AI519" s="1">
        <v>3</v>
      </c>
      <c r="AJ519" s="1">
        <v>383</v>
      </c>
      <c r="AK519" s="1" t="s">
        <v>219</v>
      </c>
      <c r="AL519" t="s">
        <v>5</v>
      </c>
      <c r="AM519" t="s">
        <v>0</v>
      </c>
      <c r="AN519">
        <v>0</v>
      </c>
      <c r="AO519">
        <v>20.444444444444443</v>
      </c>
      <c r="AP519">
        <v>465</v>
      </c>
      <c r="AQ519">
        <v>496</v>
      </c>
      <c r="AR519">
        <v>434</v>
      </c>
      <c r="AS519">
        <v>465</v>
      </c>
      <c r="AT519">
        <v>496</v>
      </c>
      <c r="AU519">
        <v>409.2</v>
      </c>
      <c r="AV519">
        <v>418.5</v>
      </c>
      <c r="AW519">
        <v>465</v>
      </c>
      <c r="AX519">
        <v>372</v>
      </c>
      <c r="AY519">
        <v>186</v>
      </c>
      <c r="AZ519">
        <v>0</v>
      </c>
      <c r="BA519">
        <v>20.666666666666668</v>
      </c>
      <c r="BB519">
        <v>279</v>
      </c>
      <c r="BC519">
        <v>372</v>
      </c>
      <c r="BD519">
        <v>372</v>
      </c>
      <c r="BE519">
        <v>372</v>
      </c>
      <c r="BF519">
        <v>351.33333333333331</v>
      </c>
      <c r="BG519">
        <v>297.60000000000002</v>
      </c>
      <c r="BH519">
        <v>139.5</v>
      </c>
      <c r="BI519">
        <v>0</v>
      </c>
      <c r="BJ519">
        <v>0</v>
      </c>
      <c r="BK519">
        <v>279</v>
      </c>
      <c r="BL519">
        <v>372</v>
      </c>
      <c r="BM519">
        <v>372</v>
      </c>
      <c r="BN519">
        <v>372</v>
      </c>
      <c r="BO519">
        <v>279</v>
      </c>
      <c r="BP519">
        <v>93</v>
      </c>
      <c r="BQ519">
        <f>(I519+J519+N519+O519)/4</f>
        <v>4.875</v>
      </c>
      <c r="BR519">
        <f>(K519+L519+M519)/3</f>
        <v>4.9111111111111105</v>
      </c>
      <c r="BS519">
        <f>BQ519/BR519</f>
        <v>0.99264705882352955</v>
      </c>
      <c r="BT519">
        <f>AQ519/I519</f>
        <v>93</v>
      </c>
      <c r="BU519" t="str">
        <f>IF(OR(A519=2, A519=12), "Central", IF(A519=3, "Semi-Central", "Periférica"))</f>
        <v>Semi-Central</v>
      </c>
    </row>
    <row r="520" spans="1:73" x14ac:dyDescent="0.3">
      <c r="A520" s="1">
        <v>5</v>
      </c>
      <c r="B520" s="1">
        <v>510</v>
      </c>
      <c r="C520" s="1">
        <v>510</v>
      </c>
      <c r="D520" t="s">
        <v>1</v>
      </c>
      <c r="E520" t="s">
        <v>0</v>
      </c>
      <c r="F520">
        <v>0</v>
      </c>
      <c r="G520">
        <v>0</v>
      </c>
      <c r="H520">
        <v>5</v>
      </c>
      <c r="I520">
        <v>5.333333333333333</v>
      </c>
      <c r="J520">
        <v>4.666666666666667</v>
      </c>
      <c r="K520">
        <v>5.333333333333333</v>
      </c>
      <c r="L520">
        <v>5.333333333333333</v>
      </c>
      <c r="M520">
        <v>5.6</v>
      </c>
      <c r="N520">
        <v>6.5</v>
      </c>
      <c r="O520">
        <v>5</v>
      </c>
      <c r="P520">
        <v>4.666666666666667</v>
      </c>
      <c r="Q520">
        <v>3</v>
      </c>
      <c r="R520">
        <v>0</v>
      </c>
      <c r="S520">
        <v>0</v>
      </c>
      <c r="T520">
        <v>3</v>
      </c>
      <c r="U520">
        <v>4.8</v>
      </c>
      <c r="V520">
        <v>4.666666666666667</v>
      </c>
      <c r="W520">
        <v>4.333333333333333</v>
      </c>
      <c r="X520">
        <v>4.4444444444444446</v>
      </c>
      <c r="Y520">
        <v>3.6</v>
      </c>
      <c r="Z520">
        <v>3</v>
      </c>
      <c r="AA520">
        <v>0</v>
      </c>
      <c r="AB520">
        <v>0</v>
      </c>
      <c r="AC520">
        <v>3.5</v>
      </c>
      <c r="AD520">
        <v>3.6363636363636362</v>
      </c>
      <c r="AE520">
        <v>3.8</v>
      </c>
      <c r="AF520">
        <v>4</v>
      </c>
      <c r="AG520">
        <v>4</v>
      </c>
      <c r="AH520">
        <v>3</v>
      </c>
      <c r="AI520" s="1">
        <v>5</v>
      </c>
      <c r="AJ520" s="1">
        <v>510</v>
      </c>
      <c r="AK520" s="1">
        <v>510</v>
      </c>
      <c r="AL520" t="s">
        <v>1</v>
      </c>
      <c r="AM520" t="s">
        <v>0</v>
      </c>
      <c r="AN520">
        <v>0</v>
      </c>
      <c r="AO520">
        <v>0</v>
      </c>
      <c r="AP520">
        <v>405</v>
      </c>
      <c r="AQ520">
        <v>432</v>
      </c>
      <c r="AR520">
        <v>378</v>
      </c>
      <c r="AS520">
        <v>432</v>
      </c>
      <c r="AT520">
        <v>432</v>
      </c>
      <c r="AU520">
        <v>453.6</v>
      </c>
      <c r="AV520">
        <v>526.5</v>
      </c>
      <c r="AW520">
        <v>405</v>
      </c>
      <c r="AX520">
        <v>378</v>
      </c>
      <c r="AY520">
        <v>243</v>
      </c>
      <c r="AZ520">
        <v>0</v>
      </c>
      <c r="BA520">
        <v>0</v>
      </c>
      <c r="BB520">
        <v>243</v>
      </c>
      <c r="BC520">
        <v>388.8</v>
      </c>
      <c r="BD520">
        <v>378</v>
      </c>
      <c r="BE520">
        <v>351</v>
      </c>
      <c r="BF520">
        <v>360</v>
      </c>
      <c r="BG520">
        <v>291.60000000000002</v>
      </c>
      <c r="BH520">
        <v>243</v>
      </c>
      <c r="BI520">
        <v>0</v>
      </c>
      <c r="BJ520">
        <v>0</v>
      </c>
      <c r="BK520">
        <v>283.5</v>
      </c>
      <c r="BL520">
        <v>294.54545454545456</v>
      </c>
      <c r="BM520">
        <v>307.8</v>
      </c>
      <c r="BN520">
        <v>324</v>
      </c>
      <c r="BO520">
        <v>324</v>
      </c>
      <c r="BP520">
        <v>243</v>
      </c>
      <c r="BQ520">
        <f>(I520+J520+N520+O520)/4</f>
        <v>5.375</v>
      </c>
      <c r="BR520">
        <f>(K520+L520+M520)/3</f>
        <v>5.4222222222222216</v>
      </c>
      <c r="BS520">
        <f>BQ520/BR520</f>
        <v>0.99129098360655754</v>
      </c>
      <c r="BT520">
        <f>AQ520/I520</f>
        <v>81</v>
      </c>
      <c r="BU520" t="str">
        <f>IF(OR(A520=2, A520=12), "Central", IF(A520=3, "Semi-Central", "Periférica"))</f>
        <v>Periférica</v>
      </c>
    </row>
    <row r="521" spans="1:73" x14ac:dyDescent="0.3">
      <c r="A521" s="1">
        <v>9</v>
      </c>
      <c r="B521" s="1">
        <v>919</v>
      </c>
      <c r="C521" s="1" t="s">
        <v>147</v>
      </c>
      <c r="D521" t="s">
        <v>1</v>
      </c>
      <c r="F521">
        <v>0</v>
      </c>
      <c r="G521">
        <v>0.22222222222222221</v>
      </c>
      <c r="H521">
        <v>4</v>
      </c>
      <c r="I521">
        <v>5.333333333333333</v>
      </c>
      <c r="J521">
        <v>4.666666666666667</v>
      </c>
      <c r="K521">
        <v>5</v>
      </c>
      <c r="L521">
        <v>5.333333333333333</v>
      </c>
      <c r="M521">
        <v>4.8</v>
      </c>
      <c r="N521">
        <v>5</v>
      </c>
      <c r="O521">
        <v>5</v>
      </c>
      <c r="P521">
        <v>4</v>
      </c>
      <c r="Q521">
        <v>1.5</v>
      </c>
      <c r="R521">
        <v>0</v>
      </c>
      <c r="S521">
        <v>0.22222222222222221</v>
      </c>
      <c r="T521">
        <v>3</v>
      </c>
      <c r="U521">
        <v>3.6</v>
      </c>
      <c r="V521">
        <v>3.666666666666667</v>
      </c>
      <c r="W521">
        <v>3</v>
      </c>
      <c r="X521">
        <v>3.1111111111111112</v>
      </c>
      <c r="Y521">
        <v>2.8</v>
      </c>
      <c r="Z521">
        <v>1.5</v>
      </c>
      <c r="AA521">
        <v>0</v>
      </c>
      <c r="AB521">
        <v>0.22222222222222221</v>
      </c>
      <c r="AC521">
        <v>2.5</v>
      </c>
      <c r="AD521">
        <v>3.0909090909090908</v>
      </c>
      <c r="AE521">
        <v>3</v>
      </c>
      <c r="AF521">
        <v>3</v>
      </c>
      <c r="AG521">
        <v>3</v>
      </c>
      <c r="AH521">
        <v>2</v>
      </c>
      <c r="AI521" s="1">
        <v>9</v>
      </c>
      <c r="AJ521" s="1">
        <v>919</v>
      </c>
      <c r="AK521" s="1" t="s">
        <v>147</v>
      </c>
      <c r="AL521" t="s">
        <v>1</v>
      </c>
      <c r="AN521">
        <v>0</v>
      </c>
      <c r="AO521">
        <v>13.33333333333333</v>
      </c>
      <c r="AP521">
        <v>240</v>
      </c>
      <c r="AQ521">
        <v>320</v>
      </c>
      <c r="AR521">
        <v>280</v>
      </c>
      <c r="AS521">
        <v>300</v>
      </c>
      <c r="AT521">
        <v>320</v>
      </c>
      <c r="AU521">
        <v>288</v>
      </c>
      <c r="AV521">
        <v>300</v>
      </c>
      <c r="AW521">
        <v>300</v>
      </c>
      <c r="AX521">
        <v>240</v>
      </c>
      <c r="AY521">
        <v>90</v>
      </c>
      <c r="AZ521">
        <v>0</v>
      </c>
      <c r="BA521">
        <v>13.33333333333333</v>
      </c>
      <c r="BB521">
        <v>180</v>
      </c>
      <c r="BC521">
        <v>216</v>
      </c>
      <c r="BD521">
        <v>220</v>
      </c>
      <c r="BE521">
        <v>180</v>
      </c>
      <c r="BF521">
        <v>186.66666666666671</v>
      </c>
      <c r="BG521">
        <v>168</v>
      </c>
      <c r="BH521">
        <v>90</v>
      </c>
      <c r="BI521">
        <v>0</v>
      </c>
      <c r="BJ521">
        <v>13.33333333333333</v>
      </c>
      <c r="BK521">
        <v>150</v>
      </c>
      <c r="BL521">
        <v>185.4545454545455</v>
      </c>
      <c r="BM521">
        <v>180</v>
      </c>
      <c r="BN521">
        <v>180</v>
      </c>
      <c r="BO521">
        <v>180</v>
      </c>
      <c r="BP521">
        <v>120</v>
      </c>
      <c r="BQ521">
        <f>(I521+J521+N521+O521)/4</f>
        <v>5</v>
      </c>
      <c r="BR521">
        <f>(K521+L521+M521)/3</f>
        <v>5.0444444444444443</v>
      </c>
      <c r="BS521">
        <f>BQ521/BR521</f>
        <v>0.99118942731277537</v>
      </c>
      <c r="BT521">
        <f>AQ521/I521</f>
        <v>60</v>
      </c>
      <c r="BU521" t="str">
        <f>IF(OR(A521=2, A521=12), "Central", IF(A521=3, "Semi-Central", "Periférica"))</f>
        <v>Periférica</v>
      </c>
    </row>
    <row r="522" spans="1:73" x14ac:dyDescent="0.3">
      <c r="A522" s="1">
        <v>9</v>
      </c>
      <c r="B522" s="1">
        <v>922</v>
      </c>
      <c r="C522" s="1" t="s">
        <v>145</v>
      </c>
      <c r="D522" t="s">
        <v>5</v>
      </c>
      <c r="F522">
        <v>0</v>
      </c>
      <c r="G522">
        <v>0</v>
      </c>
      <c r="H522">
        <v>5</v>
      </c>
      <c r="I522">
        <v>5.333333333333333</v>
      </c>
      <c r="J522">
        <v>4.666666666666667</v>
      </c>
      <c r="K522">
        <v>5</v>
      </c>
      <c r="L522">
        <v>5.333333333333333</v>
      </c>
      <c r="M522">
        <v>4.8</v>
      </c>
      <c r="N522">
        <v>5</v>
      </c>
      <c r="O522">
        <v>5</v>
      </c>
      <c r="P522">
        <v>5.333333333333333</v>
      </c>
      <c r="Q522">
        <v>2</v>
      </c>
      <c r="R522">
        <v>0</v>
      </c>
      <c r="S522">
        <v>0</v>
      </c>
      <c r="T522">
        <v>2</v>
      </c>
      <c r="U522">
        <v>4</v>
      </c>
      <c r="V522">
        <v>4</v>
      </c>
      <c r="W522">
        <v>4</v>
      </c>
      <c r="X522">
        <v>3.1111111111111112</v>
      </c>
      <c r="Y522">
        <v>2.8</v>
      </c>
      <c r="Z522">
        <v>1</v>
      </c>
      <c r="AA522">
        <v>0</v>
      </c>
      <c r="AB522">
        <v>0</v>
      </c>
      <c r="AC522">
        <v>2</v>
      </c>
      <c r="AD522">
        <v>3.0909090909090908</v>
      </c>
      <c r="AE522">
        <v>3</v>
      </c>
      <c r="AF522">
        <v>3</v>
      </c>
      <c r="AG522">
        <v>3</v>
      </c>
      <c r="AH522">
        <v>2</v>
      </c>
      <c r="AI522" s="1">
        <v>9</v>
      </c>
      <c r="AJ522" s="1">
        <v>922</v>
      </c>
      <c r="AK522" s="1" t="s">
        <v>145</v>
      </c>
      <c r="AL522" t="s">
        <v>5</v>
      </c>
      <c r="AN522">
        <v>0</v>
      </c>
      <c r="AO522">
        <v>0</v>
      </c>
      <c r="AP522">
        <v>300</v>
      </c>
      <c r="AQ522">
        <v>320</v>
      </c>
      <c r="AR522">
        <v>280</v>
      </c>
      <c r="AS522">
        <v>300</v>
      </c>
      <c r="AT522">
        <v>320</v>
      </c>
      <c r="AU522">
        <v>288</v>
      </c>
      <c r="AV522">
        <v>300</v>
      </c>
      <c r="AW522">
        <v>300</v>
      </c>
      <c r="AX522">
        <v>320</v>
      </c>
      <c r="AY522">
        <v>120</v>
      </c>
      <c r="AZ522">
        <v>0</v>
      </c>
      <c r="BA522">
        <v>0</v>
      </c>
      <c r="BB522">
        <v>120</v>
      </c>
      <c r="BC522">
        <v>240</v>
      </c>
      <c r="BD522">
        <v>240</v>
      </c>
      <c r="BE522">
        <v>240</v>
      </c>
      <c r="BF522">
        <v>186.66666666666671</v>
      </c>
      <c r="BG522">
        <v>168</v>
      </c>
      <c r="BH522">
        <v>60</v>
      </c>
      <c r="BI522">
        <v>0</v>
      </c>
      <c r="BJ522">
        <v>0</v>
      </c>
      <c r="BK522">
        <v>120</v>
      </c>
      <c r="BL522">
        <v>185.4545454545455</v>
      </c>
      <c r="BM522">
        <v>180</v>
      </c>
      <c r="BN522">
        <v>180</v>
      </c>
      <c r="BO522">
        <v>180</v>
      </c>
      <c r="BP522">
        <v>120</v>
      </c>
      <c r="BQ522">
        <f>(I522+J522+N522+O522)/4</f>
        <v>5</v>
      </c>
      <c r="BR522">
        <f>(K522+L522+M522)/3</f>
        <v>5.0444444444444443</v>
      </c>
      <c r="BS522">
        <f>BQ522/BR522</f>
        <v>0.99118942731277537</v>
      </c>
      <c r="BT522">
        <f>AQ522/I522</f>
        <v>60</v>
      </c>
      <c r="BU522" t="str">
        <f>IF(OR(A522=2, A522=12), "Central", IF(A522=3, "Semi-Central", "Periférica"))</f>
        <v>Periférica</v>
      </c>
    </row>
    <row r="523" spans="1:73" x14ac:dyDescent="0.3">
      <c r="A523" s="1">
        <v>9</v>
      </c>
      <c r="B523" s="1">
        <v>945</v>
      </c>
      <c r="C523" s="1" t="s">
        <v>276</v>
      </c>
      <c r="D523" t="s">
        <v>5</v>
      </c>
      <c r="F523">
        <v>1</v>
      </c>
      <c r="G523">
        <v>0.88888888888888884</v>
      </c>
      <c r="H523">
        <v>5</v>
      </c>
      <c r="I523">
        <v>5.333333333333333</v>
      </c>
      <c r="J523">
        <v>4.666666666666667</v>
      </c>
      <c r="K523">
        <v>5</v>
      </c>
      <c r="L523">
        <v>5.333333333333333</v>
      </c>
      <c r="M523">
        <v>4.8</v>
      </c>
      <c r="N523">
        <v>5</v>
      </c>
      <c r="O523">
        <v>5</v>
      </c>
      <c r="P523">
        <v>5.333333333333333</v>
      </c>
      <c r="Q523">
        <v>2.5</v>
      </c>
      <c r="R523">
        <v>1</v>
      </c>
      <c r="S523">
        <v>0.22222222222222221</v>
      </c>
      <c r="T523">
        <v>3</v>
      </c>
      <c r="U523">
        <v>5.6</v>
      </c>
      <c r="V523">
        <v>4</v>
      </c>
      <c r="W523">
        <v>4</v>
      </c>
      <c r="X523">
        <v>4</v>
      </c>
      <c r="Y523">
        <v>2.8</v>
      </c>
      <c r="Z523">
        <v>2</v>
      </c>
      <c r="AA523">
        <v>1</v>
      </c>
      <c r="AB523">
        <v>0</v>
      </c>
      <c r="AC523">
        <v>2</v>
      </c>
      <c r="AD523">
        <v>3.454545454545455</v>
      </c>
      <c r="AE523">
        <v>4</v>
      </c>
      <c r="AF523">
        <v>3</v>
      </c>
      <c r="AG523">
        <v>2</v>
      </c>
      <c r="AH523">
        <v>2</v>
      </c>
      <c r="AI523" s="1">
        <v>9</v>
      </c>
      <c r="AJ523" s="1">
        <v>945</v>
      </c>
      <c r="AK523" s="1" t="s">
        <v>276</v>
      </c>
      <c r="AL523" t="s">
        <v>5</v>
      </c>
      <c r="AN523">
        <v>90</v>
      </c>
      <c r="AO523">
        <v>80</v>
      </c>
      <c r="AP523">
        <v>450</v>
      </c>
      <c r="AQ523">
        <v>480</v>
      </c>
      <c r="AR523">
        <v>420</v>
      </c>
      <c r="AS523">
        <v>450</v>
      </c>
      <c r="AT523">
        <v>480</v>
      </c>
      <c r="AU523">
        <v>432</v>
      </c>
      <c r="AV523">
        <v>450</v>
      </c>
      <c r="AW523">
        <v>450</v>
      </c>
      <c r="AX523">
        <v>480</v>
      </c>
      <c r="AY523">
        <v>225</v>
      </c>
      <c r="AZ523">
        <v>90</v>
      </c>
      <c r="BA523">
        <v>20</v>
      </c>
      <c r="BB523">
        <v>270</v>
      </c>
      <c r="BC523">
        <v>504</v>
      </c>
      <c r="BD523">
        <v>360</v>
      </c>
      <c r="BE523">
        <v>360</v>
      </c>
      <c r="BF523">
        <v>360</v>
      </c>
      <c r="BG523">
        <v>252</v>
      </c>
      <c r="BH523">
        <v>180</v>
      </c>
      <c r="BI523">
        <v>90</v>
      </c>
      <c r="BJ523">
        <v>0</v>
      </c>
      <c r="BK523">
        <v>180</v>
      </c>
      <c r="BL523">
        <v>310.90909090909088</v>
      </c>
      <c r="BM523">
        <v>360</v>
      </c>
      <c r="BN523">
        <v>270</v>
      </c>
      <c r="BO523">
        <v>180</v>
      </c>
      <c r="BP523">
        <v>180</v>
      </c>
      <c r="BQ523">
        <f>(I523+J523+N523+O523)/4</f>
        <v>5</v>
      </c>
      <c r="BR523">
        <f>(K523+L523+M523)/3</f>
        <v>5.0444444444444443</v>
      </c>
      <c r="BS523">
        <f>BQ523/BR523</f>
        <v>0.99118942731277537</v>
      </c>
      <c r="BT523">
        <f>AQ523/I523</f>
        <v>90</v>
      </c>
      <c r="BU523" t="str">
        <f>IF(OR(A523=2, A523=12), "Central", IF(A523=3, "Semi-Central", "Periférica"))</f>
        <v>Periférica</v>
      </c>
    </row>
    <row r="524" spans="1:73" x14ac:dyDescent="0.3">
      <c r="A524" s="1">
        <v>11</v>
      </c>
      <c r="B524" s="1">
        <v>1135</v>
      </c>
      <c r="C524" s="1" t="s">
        <v>109</v>
      </c>
      <c r="D524" t="s">
        <v>5</v>
      </c>
      <c r="F524">
        <v>0</v>
      </c>
      <c r="G524">
        <v>0.22222222222222221</v>
      </c>
      <c r="H524">
        <v>3</v>
      </c>
      <c r="I524">
        <v>5.333333333333333</v>
      </c>
      <c r="J524">
        <v>4.666666666666667</v>
      </c>
      <c r="K524">
        <v>5</v>
      </c>
      <c r="L524">
        <v>5.333333333333333</v>
      </c>
      <c r="M524">
        <v>4.8</v>
      </c>
      <c r="N524">
        <v>5</v>
      </c>
      <c r="O524">
        <v>5</v>
      </c>
      <c r="P524">
        <v>3.333333333333333</v>
      </c>
      <c r="Q524">
        <v>1.5</v>
      </c>
      <c r="R524">
        <v>0</v>
      </c>
      <c r="S524">
        <v>0.22222222222222221</v>
      </c>
      <c r="T524">
        <v>2</v>
      </c>
      <c r="U524">
        <v>3.2</v>
      </c>
      <c r="V524">
        <v>4</v>
      </c>
      <c r="W524">
        <v>4</v>
      </c>
      <c r="X524">
        <v>3.333333333333333</v>
      </c>
      <c r="Y524">
        <v>3.2</v>
      </c>
      <c r="Z524">
        <v>1</v>
      </c>
      <c r="AA524">
        <v>0</v>
      </c>
      <c r="AB524">
        <v>0.22222222222222221</v>
      </c>
      <c r="AC524">
        <v>2</v>
      </c>
      <c r="AD524">
        <v>3.2727272727272729</v>
      </c>
      <c r="AE524">
        <v>3</v>
      </c>
      <c r="AF524">
        <v>3</v>
      </c>
      <c r="AG524">
        <v>3</v>
      </c>
      <c r="AH524">
        <v>2</v>
      </c>
      <c r="AI524" s="1">
        <v>11</v>
      </c>
      <c r="AJ524" s="1">
        <v>1135</v>
      </c>
      <c r="AK524" s="1" t="s">
        <v>109</v>
      </c>
      <c r="AL524" t="s">
        <v>5</v>
      </c>
      <c r="AN524">
        <v>0</v>
      </c>
      <c r="AO524">
        <v>20</v>
      </c>
      <c r="AP524">
        <v>270</v>
      </c>
      <c r="AQ524">
        <v>480</v>
      </c>
      <c r="AR524">
        <v>420</v>
      </c>
      <c r="AS524">
        <v>450</v>
      </c>
      <c r="AT524">
        <v>480</v>
      </c>
      <c r="AU524">
        <v>432</v>
      </c>
      <c r="AV524">
        <v>450</v>
      </c>
      <c r="AW524">
        <v>450</v>
      </c>
      <c r="AX524">
        <v>300</v>
      </c>
      <c r="AY524">
        <v>135</v>
      </c>
      <c r="AZ524">
        <v>0</v>
      </c>
      <c r="BA524">
        <v>20</v>
      </c>
      <c r="BB524">
        <v>180</v>
      </c>
      <c r="BC524">
        <v>288</v>
      </c>
      <c r="BD524">
        <v>360</v>
      </c>
      <c r="BE524">
        <v>360</v>
      </c>
      <c r="BF524">
        <v>300</v>
      </c>
      <c r="BG524">
        <v>288</v>
      </c>
      <c r="BH524">
        <v>90</v>
      </c>
      <c r="BI524">
        <v>0</v>
      </c>
      <c r="BJ524">
        <v>20</v>
      </c>
      <c r="BK524">
        <v>180</v>
      </c>
      <c r="BL524">
        <v>294.54545454545462</v>
      </c>
      <c r="BM524">
        <v>270</v>
      </c>
      <c r="BN524">
        <v>270</v>
      </c>
      <c r="BO524">
        <v>270</v>
      </c>
      <c r="BP524">
        <v>180</v>
      </c>
      <c r="BQ524">
        <f>(I524+J524+N524+O524)/4</f>
        <v>5</v>
      </c>
      <c r="BR524">
        <f>(K524+L524+M524)/3</f>
        <v>5.0444444444444443</v>
      </c>
      <c r="BS524">
        <f>BQ524/BR524</f>
        <v>0.99118942731277537</v>
      </c>
      <c r="BT524">
        <f>AQ524/I524</f>
        <v>90</v>
      </c>
      <c r="BU524" t="str">
        <f>IF(OR(A524=2, A524=12), "Central", IF(A524=3, "Semi-Central", "Periférica"))</f>
        <v>Periférica</v>
      </c>
    </row>
    <row r="525" spans="1:73" x14ac:dyDescent="0.3">
      <c r="A525" s="1">
        <v>14</v>
      </c>
      <c r="B525" s="1">
        <v>1423</v>
      </c>
      <c r="C525" s="1">
        <v>423</v>
      </c>
      <c r="D525" t="s">
        <v>1</v>
      </c>
      <c r="F525">
        <v>0</v>
      </c>
      <c r="G525">
        <v>0</v>
      </c>
      <c r="H525">
        <v>2</v>
      </c>
      <c r="I525">
        <v>4</v>
      </c>
      <c r="J525">
        <v>4</v>
      </c>
      <c r="K525">
        <v>5</v>
      </c>
      <c r="L525">
        <v>5.333333333333333</v>
      </c>
      <c r="M525">
        <v>5.2</v>
      </c>
      <c r="N525">
        <v>7</v>
      </c>
      <c r="O525">
        <v>5.5</v>
      </c>
      <c r="P525">
        <v>4</v>
      </c>
      <c r="Q525">
        <v>4</v>
      </c>
      <c r="R525">
        <v>0</v>
      </c>
      <c r="S525">
        <v>0</v>
      </c>
      <c r="T525">
        <v>0</v>
      </c>
      <c r="U525">
        <v>3.6</v>
      </c>
      <c r="V525">
        <v>3.666666666666667</v>
      </c>
      <c r="W525">
        <v>4</v>
      </c>
      <c r="X525">
        <v>3.1111111111111112</v>
      </c>
      <c r="Y525">
        <v>3.2</v>
      </c>
      <c r="Z525">
        <v>2.5</v>
      </c>
      <c r="AA525">
        <v>0</v>
      </c>
      <c r="AB525">
        <v>0</v>
      </c>
      <c r="AC525">
        <v>1.5</v>
      </c>
      <c r="AD525">
        <v>3.0909090909090908</v>
      </c>
      <c r="AE525">
        <v>3.6</v>
      </c>
      <c r="AF525">
        <v>3</v>
      </c>
      <c r="AG525">
        <v>2</v>
      </c>
      <c r="AH525">
        <v>2</v>
      </c>
      <c r="AI525" s="1">
        <v>14</v>
      </c>
      <c r="AJ525" s="1">
        <v>1423</v>
      </c>
      <c r="AK525" s="1">
        <v>423</v>
      </c>
      <c r="AL525" t="s">
        <v>1</v>
      </c>
      <c r="AN525">
        <v>0</v>
      </c>
      <c r="AO525">
        <v>0</v>
      </c>
      <c r="AP525">
        <v>180</v>
      </c>
      <c r="AQ525">
        <v>360</v>
      </c>
      <c r="AR525">
        <v>360</v>
      </c>
      <c r="AS525">
        <v>450</v>
      </c>
      <c r="AT525">
        <v>480</v>
      </c>
      <c r="AU525">
        <v>468</v>
      </c>
      <c r="AV525">
        <v>630</v>
      </c>
      <c r="AW525">
        <v>495</v>
      </c>
      <c r="AX525">
        <v>360</v>
      </c>
      <c r="AY525">
        <v>360</v>
      </c>
      <c r="AZ525">
        <v>0</v>
      </c>
      <c r="BA525">
        <v>0</v>
      </c>
      <c r="BB525">
        <v>0</v>
      </c>
      <c r="BC525">
        <v>324</v>
      </c>
      <c r="BD525">
        <v>330</v>
      </c>
      <c r="BE525">
        <v>360</v>
      </c>
      <c r="BF525">
        <v>280</v>
      </c>
      <c r="BG525">
        <v>288</v>
      </c>
      <c r="BH525">
        <v>225</v>
      </c>
      <c r="BI525">
        <v>0</v>
      </c>
      <c r="BJ525">
        <v>0</v>
      </c>
      <c r="BK525">
        <v>135</v>
      </c>
      <c r="BL525">
        <v>278.18181818181819</v>
      </c>
      <c r="BM525">
        <v>324</v>
      </c>
      <c r="BN525">
        <v>270</v>
      </c>
      <c r="BO525">
        <v>180</v>
      </c>
      <c r="BP525">
        <v>180</v>
      </c>
      <c r="BQ525">
        <f>(I525+J525+N525+O525)/4</f>
        <v>5.125</v>
      </c>
      <c r="BR525">
        <f>(K525+L525+M525)/3</f>
        <v>5.1777777777777771</v>
      </c>
      <c r="BS525">
        <f>BQ525/BR525</f>
        <v>0.98980686695278985</v>
      </c>
      <c r="BT525">
        <f>AQ525/I525</f>
        <v>90</v>
      </c>
      <c r="BU525" t="str">
        <f>IF(OR(A525=2, A525=12), "Central", IF(A525=3, "Semi-Central", "Periférica"))</f>
        <v>Periférica</v>
      </c>
    </row>
    <row r="526" spans="1:73" x14ac:dyDescent="0.3">
      <c r="A526" s="1">
        <v>9</v>
      </c>
      <c r="B526" s="1">
        <v>925</v>
      </c>
      <c r="C526" s="1" t="s">
        <v>275</v>
      </c>
      <c r="D526" t="s">
        <v>5</v>
      </c>
      <c r="F526">
        <v>2</v>
      </c>
      <c r="G526">
        <v>0</v>
      </c>
      <c r="H526">
        <v>6</v>
      </c>
      <c r="I526">
        <v>7.333333333333333</v>
      </c>
      <c r="J526">
        <v>6.666666666666667</v>
      </c>
      <c r="K526">
        <v>7</v>
      </c>
      <c r="L526">
        <v>6.666666666666667</v>
      </c>
      <c r="M526">
        <v>7.2</v>
      </c>
      <c r="N526">
        <v>6.5</v>
      </c>
      <c r="O526">
        <v>7</v>
      </c>
      <c r="P526">
        <v>6.666666666666667</v>
      </c>
      <c r="Q526">
        <v>4.5</v>
      </c>
      <c r="R526">
        <v>2</v>
      </c>
      <c r="S526">
        <v>0</v>
      </c>
      <c r="T526">
        <v>3</v>
      </c>
      <c r="U526">
        <v>4.4000000000000004</v>
      </c>
      <c r="V526">
        <v>5</v>
      </c>
      <c r="W526">
        <v>5.333333333333333</v>
      </c>
      <c r="X526">
        <v>4.4444444444444446</v>
      </c>
      <c r="Y526">
        <v>4.8</v>
      </c>
      <c r="Z526">
        <v>3.5</v>
      </c>
      <c r="AA526">
        <v>2</v>
      </c>
      <c r="AB526">
        <v>0</v>
      </c>
      <c r="AC526">
        <v>3.5</v>
      </c>
      <c r="AD526">
        <v>4</v>
      </c>
      <c r="AE526">
        <v>4</v>
      </c>
      <c r="AF526">
        <v>4.333333333333333</v>
      </c>
      <c r="AG526">
        <v>5</v>
      </c>
      <c r="AH526">
        <v>2.5</v>
      </c>
      <c r="AI526" s="1">
        <v>9</v>
      </c>
      <c r="AJ526" s="1">
        <v>925</v>
      </c>
      <c r="AK526" s="1" t="s">
        <v>275</v>
      </c>
      <c r="AL526" t="s">
        <v>5</v>
      </c>
      <c r="AN526">
        <v>180</v>
      </c>
      <c r="AO526">
        <v>0</v>
      </c>
      <c r="AP526">
        <v>540</v>
      </c>
      <c r="AQ526">
        <v>660</v>
      </c>
      <c r="AR526">
        <v>600</v>
      </c>
      <c r="AS526">
        <v>630</v>
      </c>
      <c r="AT526">
        <v>600</v>
      </c>
      <c r="AU526">
        <v>648</v>
      </c>
      <c r="AV526">
        <v>585</v>
      </c>
      <c r="AW526">
        <v>630</v>
      </c>
      <c r="AX526">
        <v>600</v>
      </c>
      <c r="AY526">
        <v>405</v>
      </c>
      <c r="AZ526">
        <v>180</v>
      </c>
      <c r="BA526">
        <v>0</v>
      </c>
      <c r="BB526">
        <v>270</v>
      </c>
      <c r="BC526">
        <v>396</v>
      </c>
      <c r="BD526">
        <v>450</v>
      </c>
      <c r="BE526">
        <v>480</v>
      </c>
      <c r="BF526">
        <v>400</v>
      </c>
      <c r="BG526">
        <v>432</v>
      </c>
      <c r="BH526">
        <v>315</v>
      </c>
      <c r="BI526">
        <v>180</v>
      </c>
      <c r="BJ526">
        <v>0</v>
      </c>
      <c r="BK526">
        <v>315</v>
      </c>
      <c r="BL526">
        <v>360</v>
      </c>
      <c r="BM526">
        <v>360</v>
      </c>
      <c r="BN526">
        <v>390</v>
      </c>
      <c r="BO526">
        <v>450</v>
      </c>
      <c r="BP526">
        <v>225</v>
      </c>
      <c r="BQ526">
        <f>(I526+J526+N526+O526)/4</f>
        <v>6.875</v>
      </c>
      <c r="BR526">
        <f>(K526+L526+M526)/3</f>
        <v>6.9555555555555557</v>
      </c>
      <c r="BS526">
        <f>BQ526/BR526</f>
        <v>0.98841853035143767</v>
      </c>
      <c r="BT526">
        <f>AQ526/I526</f>
        <v>90</v>
      </c>
      <c r="BU526" t="str">
        <f>IF(OR(A526=2, A526=12), "Central", IF(A526=3, "Semi-Central", "Periférica"))</f>
        <v>Periférica</v>
      </c>
    </row>
    <row r="527" spans="1:73" x14ac:dyDescent="0.3">
      <c r="A527" s="1">
        <v>19</v>
      </c>
      <c r="B527" s="1">
        <v>1927</v>
      </c>
      <c r="C527" s="1">
        <v>227</v>
      </c>
      <c r="D527" t="s">
        <v>5</v>
      </c>
      <c r="E527" t="s">
        <v>0</v>
      </c>
      <c r="F527">
        <v>0</v>
      </c>
      <c r="G527">
        <v>0</v>
      </c>
      <c r="H527">
        <v>4</v>
      </c>
      <c r="I527">
        <v>6</v>
      </c>
      <c r="J527">
        <v>6</v>
      </c>
      <c r="K527">
        <v>4.333333333333333</v>
      </c>
      <c r="L527">
        <v>6</v>
      </c>
      <c r="M527">
        <v>6</v>
      </c>
      <c r="N527">
        <v>4.5</v>
      </c>
      <c r="O527">
        <v>5</v>
      </c>
      <c r="P527">
        <v>4.666666666666667</v>
      </c>
      <c r="Q527">
        <v>3.5</v>
      </c>
      <c r="R527">
        <v>0</v>
      </c>
      <c r="S527">
        <v>0</v>
      </c>
      <c r="T527">
        <v>3</v>
      </c>
      <c r="U527">
        <v>4</v>
      </c>
      <c r="V527">
        <v>4.333333333333333</v>
      </c>
      <c r="W527">
        <v>5</v>
      </c>
      <c r="X527">
        <v>4.666666666666667</v>
      </c>
      <c r="Y527">
        <v>4</v>
      </c>
      <c r="Z527">
        <v>3.5</v>
      </c>
      <c r="AA527">
        <v>0</v>
      </c>
      <c r="AB527">
        <v>0</v>
      </c>
      <c r="AC527">
        <v>3.5</v>
      </c>
      <c r="AD527">
        <v>4</v>
      </c>
      <c r="AE527">
        <v>4.4000000000000004</v>
      </c>
      <c r="AF527">
        <v>4.333333333333333</v>
      </c>
      <c r="AG527">
        <v>4</v>
      </c>
      <c r="AH527">
        <v>3</v>
      </c>
      <c r="AI527" s="1">
        <v>19</v>
      </c>
      <c r="AJ527" s="1">
        <v>1927</v>
      </c>
      <c r="AK527" s="1">
        <v>227</v>
      </c>
      <c r="AL527" t="s">
        <v>5</v>
      </c>
      <c r="AM527" t="s">
        <v>0</v>
      </c>
      <c r="AN527">
        <v>0</v>
      </c>
      <c r="AO527">
        <v>0</v>
      </c>
      <c r="AP527">
        <v>360</v>
      </c>
      <c r="AQ527">
        <v>540</v>
      </c>
      <c r="AR527">
        <v>540</v>
      </c>
      <c r="AS527">
        <v>390</v>
      </c>
      <c r="AT527">
        <v>540</v>
      </c>
      <c r="AU527">
        <v>540</v>
      </c>
      <c r="AV527">
        <v>405</v>
      </c>
      <c r="AW527">
        <v>450</v>
      </c>
      <c r="AX527">
        <v>420</v>
      </c>
      <c r="AY527">
        <v>315</v>
      </c>
      <c r="AZ527">
        <v>0</v>
      </c>
      <c r="BA527">
        <v>0</v>
      </c>
      <c r="BB527">
        <v>270</v>
      </c>
      <c r="BC527">
        <v>360</v>
      </c>
      <c r="BD527">
        <v>390</v>
      </c>
      <c r="BE527">
        <v>450</v>
      </c>
      <c r="BF527">
        <v>420</v>
      </c>
      <c r="BG527">
        <v>360</v>
      </c>
      <c r="BH527">
        <v>315</v>
      </c>
      <c r="BI527">
        <v>0</v>
      </c>
      <c r="BJ527">
        <v>0</v>
      </c>
      <c r="BK527">
        <v>315</v>
      </c>
      <c r="BL527">
        <v>360</v>
      </c>
      <c r="BM527">
        <v>396</v>
      </c>
      <c r="BN527">
        <v>390</v>
      </c>
      <c r="BO527">
        <v>360</v>
      </c>
      <c r="BP527">
        <v>270</v>
      </c>
      <c r="BQ527">
        <f>(I527+J527+N527+O527)/4</f>
        <v>5.375</v>
      </c>
      <c r="BR527">
        <f>(K527+L527+M527)/3</f>
        <v>5.4444444444444438</v>
      </c>
      <c r="BS527">
        <f>BQ527/BR527</f>
        <v>0.9872448979591838</v>
      </c>
      <c r="BT527">
        <f>AQ527/I527</f>
        <v>90</v>
      </c>
      <c r="BU527" t="str">
        <f>IF(OR(A527=2, A527=12), "Central", IF(A527=3, "Semi-Central", "Periférica"))</f>
        <v>Periférica</v>
      </c>
    </row>
    <row r="528" spans="1:73" x14ac:dyDescent="0.3">
      <c r="A528" s="1">
        <v>3</v>
      </c>
      <c r="B528" s="1">
        <v>377</v>
      </c>
      <c r="C528" s="1" t="s">
        <v>274</v>
      </c>
      <c r="D528" t="s">
        <v>1</v>
      </c>
      <c r="E528" t="s">
        <v>0</v>
      </c>
      <c r="F528">
        <v>0</v>
      </c>
      <c r="G528">
        <v>0</v>
      </c>
      <c r="H528">
        <v>3</v>
      </c>
      <c r="I528">
        <v>5.333333333333333</v>
      </c>
      <c r="J528">
        <v>4.666666666666667</v>
      </c>
      <c r="K528">
        <v>4.666666666666667</v>
      </c>
      <c r="L528">
        <v>5.333333333333333</v>
      </c>
      <c r="M528">
        <v>5.2</v>
      </c>
      <c r="N528">
        <v>5</v>
      </c>
      <c r="O528">
        <v>5</v>
      </c>
      <c r="P528">
        <v>4</v>
      </c>
      <c r="Q528">
        <v>2</v>
      </c>
      <c r="R528">
        <v>0</v>
      </c>
      <c r="S528">
        <v>0</v>
      </c>
      <c r="T528">
        <v>2</v>
      </c>
      <c r="U528">
        <v>3.2</v>
      </c>
      <c r="V528">
        <v>4</v>
      </c>
      <c r="W528">
        <v>4</v>
      </c>
      <c r="X528">
        <v>4</v>
      </c>
      <c r="Y528">
        <v>3.2</v>
      </c>
      <c r="Z528">
        <v>1</v>
      </c>
      <c r="AA528">
        <v>0</v>
      </c>
      <c r="AB528">
        <v>0</v>
      </c>
      <c r="AC528">
        <v>2</v>
      </c>
      <c r="AD528">
        <v>4</v>
      </c>
      <c r="AE528">
        <v>4</v>
      </c>
      <c r="AF528">
        <v>4</v>
      </c>
      <c r="AG528">
        <v>3</v>
      </c>
      <c r="AH528">
        <v>1</v>
      </c>
      <c r="AI528" s="1">
        <v>3</v>
      </c>
      <c r="AJ528" s="1">
        <v>377</v>
      </c>
      <c r="AK528" s="1" t="s">
        <v>274</v>
      </c>
      <c r="AL528" t="s">
        <v>1</v>
      </c>
      <c r="AM528" t="s">
        <v>0</v>
      </c>
      <c r="AN528">
        <v>0</v>
      </c>
      <c r="AO528">
        <v>0</v>
      </c>
      <c r="AP528">
        <v>279</v>
      </c>
      <c r="AQ528">
        <v>496</v>
      </c>
      <c r="AR528">
        <v>434</v>
      </c>
      <c r="AS528">
        <v>434</v>
      </c>
      <c r="AT528">
        <v>496</v>
      </c>
      <c r="AU528">
        <v>483.6</v>
      </c>
      <c r="AV528">
        <v>465</v>
      </c>
      <c r="AW528">
        <v>465</v>
      </c>
      <c r="AX528">
        <v>372</v>
      </c>
      <c r="AY528">
        <v>186</v>
      </c>
      <c r="AZ528">
        <v>0</v>
      </c>
      <c r="BA528">
        <v>0</v>
      </c>
      <c r="BB528">
        <v>180</v>
      </c>
      <c r="BC528">
        <v>288</v>
      </c>
      <c r="BD528">
        <v>360</v>
      </c>
      <c r="BE528">
        <v>360</v>
      </c>
      <c r="BF528">
        <v>360</v>
      </c>
      <c r="BG528">
        <v>288</v>
      </c>
      <c r="BH528">
        <v>90</v>
      </c>
      <c r="BI528">
        <v>0</v>
      </c>
      <c r="BJ528">
        <v>0</v>
      </c>
      <c r="BK528">
        <v>180</v>
      </c>
      <c r="BL528">
        <v>360</v>
      </c>
      <c r="BM528">
        <v>360</v>
      </c>
      <c r="BN528">
        <v>360</v>
      </c>
      <c r="BO528">
        <v>270</v>
      </c>
      <c r="BP528">
        <v>90</v>
      </c>
      <c r="BQ528">
        <f>(I528+J528+N528+O528)/4</f>
        <v>5</v>
      </c>
      <c r="BR528">
        <f>(K528+L528+M528)/3</f>
        <v>5.0666666666666664</v>
      </c>
      <c r="BS528">
        <f>BQ528/BR528</f>
        <v>0.98684210526315796</v>
      </c>
      <c r="BT528">
        <f>AQ528/I528</f>
        <v>93</v>
      </c>
      <c r="BU528" t="str">
        <f>IF(OR(A528=2, A528=12), "Central", IF(A528=3, "Semi-Central", "Periférica"))</f>
        <v>Semi-Central</v>
      </c>
    </row>
    <row r="529" spans="1:73" x14ac:dyDescent="0.3">
      <c r="A529" s="1">
        <v>12</v>
      </c>
      <c r="B529" s="1" t="s">
        <v>103</v>
      </c>
      <c r="C529" s="1" t="s">
        <v>102</v>
      </c>
      <c r="D529" t="s">
        <v>5</v>
      </c>
      <c r="E529" t="s">
        <v>0</v>
      </c>
      <c r="F529">
        <v>0</v>
      </c>
      <c r="G529">
        <v>0</v>
      </c>
      <c r="H529">
        <v>0</v>
      </c>
      <c r="I529">
        <v>3.333333333333333</v>
      </c>
      <c r="J529">
        <v>2.666666666666667</v>
      </c>
      <c r="K529">
        <v>3</v>
      </c>
      <c r="L529">
        <v>3.333333333333333</v>
      </c>
      <c r="M529">
        <v>2.8</v>
      </c>
      <c r="N529">
        <v>3</v>
      </c>
      <c r="O529">
        <v>3</v>
      </c>
      <c r="P529">
        <v>3.333333333333333</v>
      </c>
      <c r="Q529">
        <v>3</v>
      </c>
      <c r="R529">
        <v>0</v>
      </c>
      <c r="S529">
        <v>0</v>
      </c>
      <c r="T529">
        <v>0</v>
      </c>
      <c r="U529">
        <v>3.2</v>
      </c>
      <c r="V529">
        <v>3</v>
      </c>
      <c r="W529">
        <v>3</v>
      </c>
      <c r="X529">
        <v>2.8888888888888888</v>
      </c>
      <c r="Y529">
        <v>3.2</v>
      </c>
      <c r="Z529">
        <v>3</v>
      </c>
      <c r="AA529">
        <v>0</v>
      </c>
      <c r="AB529">
        <v>0</v>
      </c>
      <c r="AC529">
        <v>1.5</v>
      </c>
      <c r="AD529">
        <v>3.0909090909090908</v>
      </c>
      <c r="AE529">
        <v>3</v>
      </c>
      <c r="AF529">
        <v>3</v>
      </c>
      <c r="AG529">
        <v>3</v>
      </c>
      <c r="AH529">
        <v>3</v>
      </c>
      <c r="AI529" s="1">
        <v>12</v>
      </c>
      <c r="AJ529" s="1" t="s">
        <v>103</v>
      </c>
      <c r="AK529" s="1" t="s">
        <v>102</v>
      </c>
      <c r="AL529" t="s">
        <v>5</v>
      </c>
      <c r="AM529" t="s">
        <v>0</v>
      </c>
      <c r="AN529">
        <v>0</v>
      </c>
      <c r="AO529">
        <v>0</v>
      </c>
      <c r="AP529">
        <v>0</v>
      </c>
      <c r="AQ529">
        <v>300</v>
      </c>
      <c r="AR529">
        <v>240</v>
      </c>
      <c r="AS529">
        <v>270</v>
      </c>
      <c r="AT529">
        <v>300</v>
      </c>
      <c r="AU529">
        <v>252</v>
      </c>
      <c r="AV529">
        <v>270</v>
      </c>
      <c r="AW529">
        <v>270</v>
      </c>
      <c r="AX529">
        <v>300</v>
      </c>
      <c r="AY529">
        <v>270</v>
      </c>
      <c r="AZ529">
        <v>0</v>
      </c>
      <c r="BA529">
        <v>0</v>
      </c>
      <c r="BB529">
        <v>0</v>
      </c>
      <c r="BC529">
        <v>288</v>
      </c>
      <c r="BD529">
        <v>270</v>
      </c>
      <c r="BE529">
        <v>270</v>
      </c>
      <c r="BF529">
        <v>260</v>
      </c>
      <c r="BG529">
        <v>288</v>
      </c>
      <c r="BH529">
        <v>270</v>
      </c>
      <c r="BI529">
        <v>0</v>
      </c>
      <c r="BJ529">
        <v>0</v>
      </c>
      <c r="BK529">
        <v>135</v>
      </c>
      <c r="BL529">
        <v>278.18181818181819</v>
      </c>
      <c r="BM529">
        <v>270</v>
      </c>
      <c r="BN529">
        <v>270</v>
      </c>
      <c r="BO529">
        <v>270</v>
      </c>
      <c r="BP529">
        <v>270</v>
      </c>
      <c r="BQ529">
        <f>(I529+J529+N529+O529)/4</f>
        <v>3</v>
      </c>
      <c r="BR529">
        <f>(K529+L529+M529)/3</f>
        <v>3.0444444444444443</v>
      </c>
      <c r="BS529">
        <f>BQ529/BR529</f>
        <v>0.98540145985401462</v>
      </c>
      <c r="BT529">
        <f>AQ529/I529</f>
        <v>90.000000000000014</v>
      </c>
      <c r="BU529" t="str">
        <f>IF(OR(A529=2, A529=12), "Central", IF(A529=3, "Semi-Central", "Periférica"))</f>
        <v>Central</v>
      </c>
    </row>
    <row r="530" spans="1:73" x14ac:dyDescent="0.3">
      <c r="A530" s="1">
        <v>11</v>
      </c>
      <c r="B530" s="1">
        <v>1121</v>
      </c>
      <c r="C530" s="1" t="s">
        <v>265</v>
      </c>
      <c r="D530" t="s">
        <v>1</v>
      </c>
      <c r="F530">
        <v>0</v>
      </c>
      <c r="G530">
        <v>0.44444444444444442</v>
      </c>
      <c r="H530">
        <v>5</v>
      </c>
      <c r="I530">
        <v>5.333333333333333</v>
      </c>
      <c r="J530">
        <v>4.666666666666667</v>
      </c>
      <c r="K530">
        <v>4.333333333333333</v>
      </c>
      <c r="L530">
        <v>5.333333333333333</v>
      </c>
      <c r="M530">
        <v>4.8</v>
      </c>
      <c r="N530">
        <v>5</v>
      </c>
      <c r="O530">
        <v>4</v>
      </c>
      <c r="P530">
        <v>3.333333333333333</v>
      </c>
      <c r="Q530">
        <v>1</v>
      </c>
      <c r="R530">
        <v>0</v>
      </c>
      <c r="S530">
        <v>0.22222222222222221</v>
      </c>
      <c r="T530">
        <v>3</v>
      </c>
      <c r="U530">
        <v>3.2</v>
      </c>
      <c r="V530">
        <v>3.666666666666667</v>
      </c>
      <c r="W530">
        <v>3.666666666666667</v>
      </c>
      <c r="X530">
        <v>3.1111111111111112</v>
      </c>
      <c r="Y530">
        <v>3.2</v>
      </c>
      <c r="Z530">
        <v>1.5</v>
      </c>
      <c r="AA530">
        <v>0</v>
      </c>
      <c r="AB530">
        <v>0.22222222222222221</v>
      </c>
      <c r="AC530">
        <v>2</v>
      </c>
      <c r="AD530">
        <v>3.0909090909090908</v>
      </c>
      <c r="AE530">
        <v>3</v>
      </c>
      <c r="AF530">
        <v>3</v>
      </c>
      <c r="AG530">
        <v>3</v>
      </c>
      <c r="AH530">
        <v>1.5</v>
      </c>
      <c r="AI530" s="1">
        <v>11</v>
      </c>
      <c r="AJ530" s="1">
        <v>1121</v>
      </c>
      <c r="AK530" s="1" t="s">
        <v>265</v>
      </c>
      <c r="AL530" t="s">
        <v>1</v>
      </c>
      <c r="AN530">
        <v>0</v>
      </c>
      <c r="AO530">
        <v>40</v>
      </c>
      <c r="AP530">
        <v>450</v>
      </c>
      <c r="AQ530">
        <v>480</v>
      </c>
      <c r="AR530">
        <v>420</v>
      </c>
      <c r="AS530">
        <v>390</v>
      </c>
      <c r="AT530">
        <v>480</v>
      </c>
      <c r="AU530">
        <v>432</v>
      </c>
      <c r="AV530">
        <v>450</v>
      </c>
      <c r="AW530">
        <v>360</v>
      </c>
      <c r="AX530">
        <v>300</v>
      </c>
      <c r="AY530">
        <v>90</v>
      </c>
      <c r="AZ530">
        <v>0</v>
      </c>
      <c r="BA530">
        <v>20</v>
      </c>
      <c r="BB530">
        <v>270</v>
      </c>
      <c r="BC530">
        <v>288</v>
      </c>
      <c r="BD530">
        <v>330</v>
      </c>
      <c r="BE530">
        <v>330</v>
      </c>
      <c r="BF530">
        <v>280</v>
      </c>
      <c r="BG530">
        <v>288</v>
      </c>
      <c r="BH530">
        <v>135</v>
      </c>
      <c r="BI530">
        <v>0</v>
      </c>
      <c r="BJ530">
        <v>20</v>
      </c>
      <c r="BK530">
        <v>180</v>
      </c>
      <c r="BL530">
        <v>278.18181818181819</v>
      </c>
      <c r="BM530">
        <v>270</v>
      </c>
      <c r="BN530">
        <v>270</v>
      </c>
      <c r="BO530">
        <v>270</v>
      </c>
      <c r="BP530">
        <v>135</v>
      </c>
      <c r="BQ530">
        <f>(I530+J530+N530+O530)/4</f>
        <v>4.75</v>
      </c>
      <c r="BR530">
        <f>(K530+L530+M530)/3</f>
        <v>4.822222222222222</v>
      </c>
      <c r="BS530">
        <f>BQ530/BR530</f>
        <v>0.98502304147465447</v>
      </c>
      <c r="BT530">
        <f>AQ530/I530</f>
        <v>90</v>
      </c>
      <c r="BU530" t="str">
        <f>IF(OR(A530=2, A530=12), "Central", IF(A530=3, "Semi-Central", "Periférica"))</f>
        <v>Periférica</v>
      </c>
    </row>
    <row r="531" spans="1:73" x14ac:dyDescent="0.3">
      <c r="A531" s="1">
        <v>8</v>
      </c>
      <c r="B531" s="1">
        <v>812</v>
      </c>
      <c r="C531" s="1">
        <v>120</v>
      </c>
      <c r="D531" t="s">
        <v>1</v>
      </c>
      <c r="F531">
        <v>2</v>
      </c>
      <c r="G531">
        <v>0</v>
      </c>
      <c r="H531">
        <v>6</v>
      </c>
      <c r="I531">
        <v>5.333333333333333</v>
      </c>
      <c r="J531">
        <v>4.666666666666667</v>
      </c>
      <c r="K531">
        <v>5</v>
      </c>
      <c r="L531">
        <v>4.666666666666667</v>
      </c>
      <c r="M531">
        <v>5.6</v>
      </c>
      <c r="N531">
        <v>5</v>
      </c>
      <c r="O531">
        <v>5</v>
      </c>
      <c r="P531">
        <v>5.333333333333333</v>
      </c>
      <c r="Q531">
        <v>3</v>
      </c>
      <c r="R531">
        <v>2</v>
      </c>
      <c r="S531">
        <v>0</v>
      </c>
      <c r="T531">
        <v>3</v>
      </c>
      <c r="U531">
        <v>4</v>
      </c>
      <c r="V531">
        <v>4</v>
      </c>
      <c r="W531">
        <v>4.333333333333333</v>
      </c>
      <c r="X531">
        <v>4.2222222222222223</v>
      </c>
      <c r="Y531">
        <v>2.8</v>
      </c>
      <c r="Z531">
        <v>2.5</v>
      </c>
      <c r="AA531">
        <v>2</v>
      </c>
      <c r="AB531">
        <v>0</v>
      </c>
      <c r="AC531">
        <v>3</v>
      </c>
      <c r="AD531">
        <v>3.6363636363636358</v>
      </c>
      <c r="AE531">
        <v>3.6</v>
      </c>
      <c r="AF531">
        <v>3</v>
      </c>
      <c r="AG531">
        <v>3</v>
      </c>
      <c r="AH531">
        <v>2.5</v>
      </c>
      <c r="AI531" s="1">
        <v>8</v>
      </c>
      <c r="AJ531" s="1">
        <v>812</v>
      </c>
      <c r="AK531" s="1">
        <v>120</v>
      </c>
      <c r="AL531" t="s">
        <v>1</v>
      </c>
      <c r="AN531">
        <v>180</v>
      </c>
      <c r="AO531">
        <v>0</v>
      </c>
      <c r="AP531">
        <v>540</v>
      </c>
      <c r="AQ531">
        <v>480</v>
      </c>
      <c r="AR531">
        <v>420</v>
      </c>
      <c r="AS531">
        <v>450</v>
      </c>
      <c r="AT531">
        <v>420</v>
      </c>
      <c r="AU531">
        <v>504</v>
      </c>
      <c r="AV531">
        <v>450</v>
      </c>
      <c r="AW531">
        <v>450</v>
      </c>
      <c r="AX531">
        <v>480</v>
      </c>
      <c r="AY531">
        <v>270</v>
      </c>
      <c r="AZ531">
        <v>180</v>
      </c>
      <c r="BA531">
        <v>0</v>
      </c>
      <c r="BB531">
        <v>270</v>
      </c>
      <c r="BC531">
        <v>360</v>
      </c>
      <c r="BD531">
        <v>360</v>
      </c>
      <c r="BE531">
        <v>390</v>
      </c>
      <c r="BF531">
        <v>380</v>
      </c>
      <c r="BG531">
        <v>252</v>
      </c>
      <c r="BH531">
        <v>225</v>
      </c>
      <c r="BI531">
        <v>180</v>
      </c>
      <c r="BJ531">
        <v>0</v>
      </c>
      <c r="BK531">
        <v>270</v>
      </c>
      <c r="BL531">
        <v>327.27272727272731</v>
      </c>
      <c r="BM531">
        <v>324</v>
      </c>
      <c r="BN531">
        <v>270</v>
      </c>
      <c r="BO531">
        <v>270</v>
      </c>
      <c r="BP531">
        <v>225</v>
      </c>
      <c r="BQ531">
        <f>(I531+J531+N531+O531)/4</f>
        <v>5</v>
      </c>
      <c r="BR531">
        <f>(K531+L531+M531)/3</f>
        <v>5.0888888888888895</v>
      </c>
      <c r="BS531">
        <f>BQ531/BR531</f>
        <v>0.98253275109170291</v>
      </c>
      <c r="BT531">
        <f>AQ531/I531</f>
        <v>90</v>
      </c>
      <c r="BU531" t="str">
        <f>IF(OR(A531=2, A531=12), "Central", IF(A531=3, "Semi-Central", "Periférica"))</f>
        <v>Periférica</v>
      </c>
    </row>
    <row r="532" spans="1:73" x14ac:dyDescent="0.3">
      <c r="A532" s="1">
        <v>3</v>
      </c>
      <c r="B532" s="1">
        <v>371</v>
      </c>
      <c r="C532" s="1" t="s">
        <v>273</v>
      </c>
      <c r="D532" t="s">
        <v>1</v>
      </c>
      <c r="E532" t="s">
        <v>0</v>
      </c>
      <c r="F532">
        <v>2</v>
      </c>
      <c r="G532">
        <v>0</v>
      </c>
      <c r="H532">
        <v>4</v>
      </c>
      <c r="I532">
        <v>5.333333333333333</v>
      </c>
      <c r="J532">
        <v>5.333333333333333</v>
      </c>
      <c r="K532">
        <v>5.333333333333333</v>
      </c>
      <c r="L532">
        <v>6</v>
      </c>
      <c r="M532">
        <v>6</v>
      </c>
      <c r="N532">
        <v>6</v>
      </c>
      <c r="O532">
        <v>6</v>
      </c>
      <c r="P532">
        <v>4.666666666666667</v>
      </c>
      <c r="Q532">
        <v>3</v>
      </c>
      <c r="R532">
        <v>2</v>
      </c>
      <c r="S532">
        <v>0</v>
      </c>
      <c r="T532">
        <v>2</v>
      </c>
      <c r="U532">
        <v>4</v>
      </c>
      <c r="V532">
        <v>4</v>
      </c>
      <c r="W532">
        <v>4</v>
      </c>
      <c r="X532">
        <v>4.2222222222222223</v>
      </c>
      <c r="Y532">
        <v>4</v>
      </c>
      <c r="Z532">
        <v>3</v>
      </c>
      <c r="AA532">
        <v>2</v>
      </c>
      <c r="AB532">
        <v>0</v>
      </c>
      <c r="AC532">
        <v>3</v>
      </c>
      <c r="AD532">
        <v>3.0909090909090908</v>
      </c>
      <c r="AE532">
        <v>3.2</v>
      </c>
      <c r="AF532">
        <v>3</v>
      </c>
      <c r="AG532">
        <v>3</v>
      </c>
      <c r="AH532">
        <v>2.5</v>
      </c>
      <c r="AI532" s="1">
        <v>3</v>
      </c>
      <c r="AJ532" s="1">
        <v>371</v>
      </c>
      <c r="AK532" s="1" t="s">
        <v>273</v>
      </c>
      <c r="AL532" t="s">
        <v>1</v>
      </c>
      <c r="AM532" t="s">
        <v>0</v>
      </c>
      <c r="AN532">
        <v>186</v>
      </c>
      <c r="AO532">
        <v>0</v>
      </c>
      <c r="AP532">
        <v>372</v>
      </c>
      <c r="AQ532">
        <v>496</v>
      </c>
      <c r="AR532">
        <v>496</v>
      </c>
      <c r="AS532">
        <v>496</v>
      </c>
      <c r="AT532">
        <v>558</v>
      </c>
      <c r="AU532">
        <v>558</v>
      </c>
      <c r="AV532">
        <v>558</v>
      </c>
      <c r="AW532">
        <v>558</v>
      </c>
      <c r="AX532">
        <v>434</v>
      </c>
      <c r="AY532">
        <v>279</v>
      </c>
      <c r="AZ532">
        <v>186</v>
      </c>
      <c r="BA532">
        <v>0</v>
      </c>
      <c r="BB532">
        <v>186</v>
      </c>
      <c r="BC532">
        <v>372</v>
      </c>
      <c r="BD532">
        <v>372</v>
      </c>
      <c r="BE532">
        <v>372</v>
      </c>
      <c r="BF532">
        <v>392.66666666666669</v>
      </c>
      <c r="BG532">
        <v>372</v>
      </c>
      <c r="BH532">
        <v>279</v>
      </c>
      <c r="BI532">
        <v>186</v>
      </c>
      <c r="BJ532">
        <v>0</v>
      </c>
      <c r="BK532">
        <v>279</v>
      </c>
      <c r="BL532">
        <v>287.45454545454544</v>
      </c>
      <c r="BM532">
        <v>297.60000000000002</v>
      </c>
      <c r="BN532">
        <v>279</v>
      </c>
      <c r="BO532">
        <v>279</v>
      </c>
      <c r="BP532">
        <v>232.5</v>
      </c>
      <c r="BQ532">
        <f>(I532+J532+N532+O532)/4</f>
        <v>5.6666666666666661</v>
      </c>
      <c r="BR532">
        <f>(K532+L532+M532)/3</f>
        <v>5.7777777777777777</v>
      </c>
      <c r="BS532">
        <f>BQ532/BR532</f>
        <v>0.98076923076923073</v>
      </c>
      <c r="BT532">
        <f>AQ532/I532</f>
        <v>93</v>
      </c>
      <c r="BU532" t="str">
        <f>IF(OR(A532=2, A532=12), "Central", IF(A532=3, "Semi-Central", "Periférica"))</f>
        <v>Semi-Central</v>
      </c>
    </row>
    <row r="533" spans="1:73" x14ac:dyDescent="0.3">
      <c r="A533" s="1">
        <v>11</v>
      </c>
      <c r="B533" s="1">
        <v>1141</v>
      </c>
      <c r="C533" s="1" t="s">
        <v>272</v>
      </c>
      <c r="D533" t="s">
        <v>5</v>
      </c>
      <c r="F533">
        <v>0</v>
      </c>
      <c r="G533">
        <v>0</v>
      </c>
      <c r="H533">
        <v>3</v>
      </c>
      <c r="I533">
        <v>4.666666666666667</v>
      </c>
      <c r="J533">
        <v>4.666666666666667</v>
      </c>
      <c r="K533">
        <v>4.666666666666667</v>
      </c>
      <c r="L533">
        <v>5.333333333333333</v>
      </c>
      <c r="M533">
        <v>4.8</v>
      </c>
      <c r="N533">
        <v>5</v>
      </c>
      <c r="O533">
        <v>5</v>
      </c>
      <c r="P533">
        <v>4</v>
      </c>
      <c r="Q533">
        <v>1.5</v>
      </c>
      <c r="R533">
        <v>0</v>
      </c>
      <c r="S533">
        <v>0</v>
      </c>
      <c r="T533">
        <v>2</v>
      </c>
      <c r="U533">
        <v>3.2</v>
      </c>
      <c r="V533">
        <v>4</v>
      </c>
      <c r="W533">
        <v>4</v>
      </c>
      <c r="X533">
        <v>3.333333333333333</v>
      </c>
      <c r="Y533">
        <v>3.2</v>
      </c>
      <c r="Z533">
        <v>1.5</v>
      </c>
      <c r="AA533">
        <v>0</v>
      </c>
      <c r="AB533">
        <v>0</v>
      </c>
      <c r="AC533">
        <v>2.5</v>
      </c>
      <c r="AD533">
        <v>2.9090909090909092</v>
      </c>
      <c r="AE533">
        <v>3</v>
      </c>
      <c r="AF533">
        <v>3</v>
      </c>
      <c r="AG533">
        <v>3</v>
      </c>
      <c r="AH533">
        <v>1.5</v>
      </c>
      <c r="AI533" s="1">
        <v>11</v>
      </c>
      <c r="AJ533" s="1">
        <v>1141</v>
      </c>
      <c r="AK533" s="1" t="s">
        <v>272</v>
      </c>
      <c r="AL533" t="s">
        <v>5</v>
      </c>
      <c r="AN533">
        <v>0</v>
      </c>
      <c r="AO533">
        <v>0</v>
      </c>
      <c r="AP533">
        <v>270</v>
      </c>
      <c r="AQ533">
        <v>420</v>
      </c>
      <c r="AR533">
        <v>420</v>
      </c>
      <c r="AS533">
        <v>420</v>
      </c>
      <c r="AT533">
        <v>480</v>
      </c>
      <c r="AU533">
        <v>432</v>
      </c>
      <c r="AV533">
        <v>450</v>
      </c>
      <c r="AW533">
        <v>450</v>
      </c>
      <c r="AX533">
        <v>360</v>
      </c>
      <c r="AY533">
        <v>135</v>
      </c>
      <c r="AZ533">
        <v>0</v>
      </c>
      <c r="BA533">
        <v>0</v>
      </c>
      <c r="BB533">
        <v>180</v>
      </c>
      <c r="BC533">
        <v>288</v>
      </c>
      <c r="BD533">
        <v>360</v>
      </c>
      <c r="BE533">
        <v>360</v>
      </c>
      <c r="BF533">
        <v>300</v>
      </c>
      <c r="BG533">
        <v>288</v>
      </c>
      <c r="BH533">
        <v>135</v>
      </c>
      <c r="BI533">
        <v>0</v>
      </c>
      <c r="BJ533">
        <v>0</v>
      </c>
      <c r="BK533">
        <v>225</v>
      </c>
      <c r="BL533">
        <v>261.81818181818181</v>
      </c>
      <c r="BM533">
        <v>270</v>
      </c>
      <c r="BN533">
        <v>270</v>
      </c>
      <c r="BO533">
        <v>270</v>
      </c>
      <c r="BP533">
        <v>135</v>
      </c>
      <c r="BQ533">
        <f>(I533+J533+N533+O533)/4</f>
        <v>4.8333333333333339</v>
      </c>
      <c r="BR533">
        <f>(K533+L533+M533)/3</f>
        <v>4.9333333333333336</v>
      </c>
      <c r="BS533">
        <f>BQ533/BR533</f>
        <v>0.97972972972972983</v>
      </c>
      <c r="BT533">
        <f>AQ533/I533</f>
        <v>90</v>
      </c>
      <c r="BU533" t="str">
        <f>IF(OR(A533=2, A533=12), "Central", IF(A533=3, "Semi-Central", "Periférica"))</f>
        <v>Periférica</v>
      </c>
    </row>
    <row r="534" spans="1:73" x14ac:dyDescent="0.3">
      <c r="A534" s="1">
        <v>11</v>
      </c>
      <c r="B534" s="1">
        <v>1105</v>
      </c>
      <c r="C534" s="1" t="s">
        <v>271</v>
      </c>
      <c r="D534" t="s">
        <v>5</v>
      </c>
      <c r="F534">
        <v>0</v>
      </c>
      <c r="G534">
        <v>0</v>
      </c>
      <c r="H534">
        <v>4</v>
      </c>
      <c r="I534">
        <v>5.333333333333333</v>
      </c>
      <c r="J534">
        <v>4.666666666666667</v>
      </c>
      <c r="K534">
        <v>6</v>
      </c>
      <c r="L534">
        <v>6</v>
      </c>
      <c r="M534">
        <v>6</v>
      </c>
      <c r="N534">
        <v>8</v>
      </c>
      <c r="O534">
        <v>5.5</v>
      </c>
      <c r="P534">
        <v>4.666666666666667</v>
      </c>
      <c r="Q534">
        <v>1.5</v>
      </c>
      <c r="R534">
        <v>0</v>
      </c>
      <c r="S534">
        <v>0</v>
      </c>
      <c r="T534">
        <v>3</v>
      </c>
      <c r="U534">
        <v>4.4000000000000004</v>
      </c>
      <c r="V534">
        <v>4.666666666666667</v>
      </c>
      <c r="W534">
        <v>5</v>
      </c>
      <c r="X534">
        <v>3.7777777777777781</v>
      </c>
      <c r="Y534">
        <v>2.8</v>
      </c>
      <c r="Z534">
        <v>1.5</v>
      </c>
      <c r="AA534">
        <v>0</v>
      </c>
      <c r="AB534">
        <v>0</v>
      </c>
      <c r="AC534">
        <v>1</v>
      </c>
      <c r="AD534">
        <v>3.6363636363636358</v>
      </c>
      <c r="AE534">
        <v>4</v>
      </c>
      <c r="AF534">
        <v>3</v>
      </c>
      <c r="AG534">
        <v>3</v>
      </c>
      <c r="AH534">
        <v>2.5</v>
      </c>
      <c r="AI534" s="1">
        <v>11</v>
      </c>
      <c r="AJ534" s="1">
        <v>1105</v>
      </c>
      <c r="AK534" s="1" t="s">
        <v>271</v>
      </c>
      <c r="AL534" t="s">
        <v>5</v>
      </c>
      <c r="AN534">
        <v>0</v>
      </c>
      <c r="AO534">
        <v>0</v>
      </c>
      <c r="AP534">
        <v>360</v>
      </c>
      <c r="AQ534">
        <v>480</v>
      </c>
      <c r="AR534">
        <v>420</v>
      </c>
      <c r="AS534">
        <v>540</v>
      </c>
      <c r="AT534">
        <v>540</v>
      </c>
      <c r="AU534">
        <v>540</v>
      </c>
      <c r="AV534">
        <v>720</v>
      </c>
      <c r="AW534">
        <v>495</v>
      </c>
      <c r="AX534">
        <v>420</v>
      </c>
      <c r="AY534">
        <v>135</v>
      </c>
      <c r="AZ534">
        <v>0</v>
      </c>
      <c r="BA534">
        <v>0</v>
      </c>
      <c r="BB534">
        <v>270</v>
      </c>
      <c r="BC534">
        <v>396</v>
      </c>
      <c r="BD534">
        <v>420</v>
      </c>
      <c r="BE534">
        <v>450</v>
      </c>
      <c r="BF534">
        <v>340</v>
      </c>
      <c r="BG534">
        <v>252</v>
      </c>
      <c r="BH534">
        <v>135</v>
      </c>
      <c r="BI534">
        <v>0</v>
      </c>
      <c r="BJ534">
        <v>0</v>
      </c>
      <c r="BK534">
        <v>90</v>
      </c>
      <c r="BL534">
        <v>327.27272727272731</v>
      </c>
      <c r="BM534">
        <v>360</v>
      </c>
      <c r="BN534">
        <v>270</v>
      </c>
      <c r="BO534">
        <v>270</v>
      </c>
      <c r="BP534">
        <v>225</v>
      </c>
      <c r="BQ534">
        <f>(I534+J534+N534+O534)/4</f>
        <v>5.875</v>
      </c>
      <c r="BR534">
        <f>(K534+L534+M534)/3</f>
        <v>6</v>
      </c>
      <c r="BS534">
        <f>BQ534/BR534</f>
        <v>0.97916666666666663</v>
      </c>
      <c r="BT534">
        <f>AQ534/I534</f>
        <v>90</v>
      </c>
      <c r="BU534" t="str">
        <f>IF(OR(A534=2, A534=12), "Central", IF(A534=3, "Semi-Central", "Periférica"))</f>
        <v>Periférica</v>
      </c>
    </row>
    <row r="535" spans="1:73" x14ac:dyDescent="0.3">
      <c r="A535" s="1">
        <v>3</v>
      </c>
      <c r="B535" s="1">
        <v>388</v>
      </c>
      <c r="C535" s="1" t="s">
        <v>270</v>
      </c>
      <c r="D535" t="s">
        <v>1</v>
      </c>
      <c r="E535" t="s">
        <v>0</v>
      </c>
      <c r="F535">
        <v>0</v>
      </c>
      <c r="G535">
        <v>0</v>
      </c>
      <c r="H535">
        <v>3</v>
      </c>
      <c r="I535">
        <v>4.666666666666667</v>
      </c>
      <c r="J535">
        <v>4.666666666666667</v>
      </c>
      <c r="K535">
        <v>5</v>
      </c>
      <c r="L535">
        <v>4.666666666666667</v>
      </c>
      <c r="M535">
        <v>5.2</v>
      </c>
      <c r="N535">
        <v>5</v>
      </c>
      <c r="O535">
        <v>5</v>
      </c>
      <c r="P535">
        <v>4.666666666666667</v>
      </c>
      <c r="Q535">
        <v>3</v>
      </c>
      <c r="R535">
        <v>0</v>
      </c>
      <c r="S535">
        <v>0</v>
      </c>
      <c r="T535">
        <v>3</v>
      </c>
      <c r="U535">
        <v>3.6</v>
      </c>
      <c r="V535">
        <v>4</v>
      </c>
      <c r="W535">
        <v>4</v>
      </c>
      <c r="X535">
        <v>3.7777777777777777</v>
      </c>
      <c r="Y535">
        <v>3.2</v>
      </c>
      <c r="Z535">
        <v>2.5</v>
      </c>
      <c r="AA535">
        <v>0</v>
      </c>
      <c r="AB535">
        <v>0</v>
      </c>
      <c r="AC535">
        <v>3</v>
      </c>
      <c r="AD535">
        <v>3.0909090909090908</v>
      </c>
      <c r="AE535">
        <v>3.2</v>
      </c>
      <c r="AF535">
        <v>3</v>
      </c>
      <c r="AG535">
        <v>3</v>
      </c>
      <c r="AH535">
        <v>2.5</v>
      </c>
      <c r="AI535" s="1">
        <v>3</v>
      </c>
      <c r="AJ535" s="1">
        <v>388</v>
      </c>
      <c r="AK535" s="1" t="s">
        <v>270</v>
      </c>
      <c r="AL535" t="s">
        <v>1</v>
      </c>
      <c r="AM535" t="s">
        <v>0</v>
      </c>
      <c r="AN535">
        <v>0</v>
      </c>
      <c r="AO535">
        <v>0</v>
      </c>
      <c r="AP535">
        <v>279</v>
      </c>
      <c r="AQ535">
        <v>434</v>
      </c>
      <c r="AR535">
        <v>434</v>
      </c>
      <c r="AS535">
        <v>465</v>
      </c>
      <c r="AT535">
        <v>434</v>
      </c>
      <c r="AU535">
        <v>483.6</v>
      </c>
      <c r="AV535">
        <v>465</v>
      </c>
      <c r="AW535">
        <v>465</v>
      </c>
      <c r="AX535">
        <v>434</v>
      </c>
      <c r="AY535">
        <v>279</v>
      </c>
      <c r="AZ535">
        <v>0</v>
      </c>
      <c r="BA535">
        <v>0</v>
      </c>
      <c r="BB535">
        <v>270</v>
      </c>
      <c r="BC535">
        <v>324</v>
      </c>
      <c r="BD535">
        <v>360</v>
      </c>
      <c r="BE535">
        <v>360</v>
      </c>
      <c r="BF535">
        <v>340</v>
      </c>
      <c r="BG535">
        <v>288</v>
      </c>
      <c r="BH535">
        <v>225</v>
      </c>
      <c r="BI535">
        <v>0</v>
      </c>
      <c r="BJ535">
        <v>0</v>
      </c>
      <c r="BK535">
        <v>270</v>
      </c>
      <c r="BL535">
        <v>278.18181818181819</v>
      </c>
      <c r="BM535">
        <v>288</v>
      </c>
      <c r="BN535">
        <v>270</v>
      </c>
      <c r="BO535">
        <v>270</v>
      </c>
      <c r="BP535">
        <v>225</v>
      </c>
      <c r="BQ535">
        <f>(I535+J535+N535+O535)/4</f>
        <v>4.8333333333333339</v>
      </c>
      <c r="BR535">
        <f>(K535+L535+M535)/3</f>
        <v>4.9555555555555557</v>
      </c>
      <c r="BS535">
        <f>BQ535/BR535</f>
        <v>0.9753363228699552</v>
      </c>
      <c r="BT535">
        <f>AQ535/I535</f>
        <v>93</v>
      </c>
      <c r="BU535" t="str">
        <f>IF(OR(A535=2, A535=12), "Central", IF(A535=3, "Semi-Central", "Periférica"))</f>
        <v>Semi-Central</v>
      </c>
    </row>
    <row r="536" spans="1:73" x14ac:dyDescent="0.3">
      <c r="A536" s="1">
        <v>10</v>
      </c>
      <c r="B536" s="1">
        <v>1054</v>
      </c>
      <c r="C536" s="1" t="s">
        <v>269</v>
      </c>
      <c r="D536" t="s">
        <v>5</v>
      </c>
      <c r="E536" t="s">
        <v>0</v>
      </c>
      <c r="F536">
        <v>0</v>
      </c>
      <c r="G536">
        <v>0.44444444444444442</v>
      </c>
      <c r="H536">
        <v>4</v>
      </c>
      <c r="I536">
        <v>4.666666666666667</v>
      </c>
      <c r="J536">
        <v>4.666666666666667</v>
      </c>
      <c r="K536">
        <v>5</v>
      </c>
      <c r="L536">
        <v>4.666666666666667</v>
      </c>
      <c r="M536">
        <v>5.2</v>
      </c>
      <c r="N536">
        <v>5</v>
      </c>
      <c r="O536">
        <v>5</v>
      </c>
      <c r="P536">
        <v>4.666666666666667</v>
      </c>
      <c r="Q536">
        <v>2</v>
      </c>
      <c r="R536">
        <v>0</v>
      </c>
      <c r="S536">
        <v>0.44444444444444442</v>
      </c>
      <c r="T536">
        <v>2</v>
      </c>
      <c r="U536">
        <v>3.6</v>
      </c>
      <c r="V536">
        <v>4</v>
      </c>
      <c r="W536">
        <v>4</v>
      </c>
      <c r="X536">
        <v>3.7777777777777781</v>
      </c>
      <c r="Y536">
        <v>3.2</v>
      </c>
      <c r="Z536">
        <v>1.5</v>
      </c>
      <c r="AA536">
        <v>0</v>
      </c>
      <c r="AB536">
        <v>0.44444444444444442</v>
      </c>
      <c r="AC536">
        <v>2</v>
      </c>
      <c r="AD536">
        <v>3.0909090909090908</v>
      </c>
      <c r="AE536">
        <v>3</v>
      </c>
      <c r="AF536">
        <v>3</v>
      </c>
      <c r="AG536">
        <v>3</v>
      </c>
      <c r="AH536">
        <v>2.5</v>
      </c>
      <c r="AI536" s="1">
        <v>10</v>
      </c>
      <c r="AJ536" s="1">
        <v>1054</v>
      </c>
      <c r="AK536" s="1" t="s">
        <v>269</v>
      </c>
      <c r="AL536" t="s">
        <v>5</v>
      </c>
      <c r="AM536" t="s">
        <v>0</v>
      </c>
      <c r="AN536">
        <v>0</v>
      </c>
      <c r="AO536">
        <v>26.666666666666671</v>
      </c>
      <c r="AP536">
        <v>240</v>
      </c>
      <c r="AQ536">
        <v>280</v>
      </c>
      <c r="AR536">
        <v>280</v>
      </c>
      <c r="AS536">
        <v>300</v>
      </c>
      <c r="AT536">
        <v>280</v>
      </c>
      <c r="AU536">
        <v>312</v>
      </c>
      <c r="AV536">
        <v>300</v>
      </c>
      <c r="AW536">
        <v>300</v>
      </c>
      <c r="AX536">
        <v>280</v>
      </c>
      <c r="AY536">
        <v>120</v>
      </c>
      <c r="AZ536">
        <v>0</v>
      </c>
      <c r="BA536">
        <v>26.666666666666671</v>
      </c>
      <c r="BB536">
        <v>120</v>
      </c>
      <c r="BC536">
        <v>216</v>
      </c>
      <c r="BD536">
        <v>240</v>
      </c>
      <c r="BE536">
        <v>240</v>
      </c>
      <c r="BF536">
        <v>226.66666666666671</v>
      </c>
      <c r="BG536">
        <v>192</v>
      </c>
      <c r="BH536">
        <v>90</v>
      </c>
      <c r="BI536">
        <v>0</v>
      </c>
      <c r="BJ536">
        <v>26.666666666666671</v>
      </c>
      <c r="BK536">
        <v>120</v>
      </c>
      <c r="BL536">
        <v>185.4545454545455</v>
      </c>
      <c r="BM536">
        <v>180</v>
      </c>
      <c r="BN536">
        <v>180</v>
      </c>
      <c r="BO536">
        <v>180</v>
      </c>
      <c r="BP536">
        <v>150</v>
      </c>
      <c r="BQ536">
        <f>(I536+J536+N536+O536)/4</f>
        <v>4.8333333333333339</v>
      </c>
      <c r="BR536">
        <f>(K536+L536+M536)/3</f>
        <v>4.9555555555555557</v>
      </c>
      <c r="BS536">
        <f>BQ536/BR536</f>
        <v>0.9753363228699552</v>
      </c>
      <c r="BT536">
        <f>AQ536/I536</f>
        <v>59.999999999999993</v>
      </c>
      <c r="BU536" t="str">
        <f>IF(OR(A536=2, A536=12), "Central", IF(A536=3, "Semi-Central", "Periférica"))</f>
        <v>Periférica</v>
      </c>
    </row>
    <row r="537" spans="1:73" x14ac:dyDescent="0.3">
      <c r="A537" s="1">
        <v>10</v>
      </c>
      <c r="B537" s="1">
        <v>1046</v>
      </c>
      <c r="C537" s="1" t="s">
        <v>268</v>
      </c>
      <c r="D537" t="s">
        <v>1</v>
      </c>
      <c r="E537" t="s">
        <v>0</v>
      </c>
      <c r="F537">
        <v>0</v>
      </c>
      <c r="G537">
        <v>0</v>
      </c>
      <c r="H537">
        <v>5</v>
      </c>
      <c r="I537">
        <v>5.333333333333333</v>
      </c>
      <c r="J537">
        <v>5.333333333333333</v>
      </c>
      <c r="K537">
        <v>5</v>
      </c>
      <c r="L537">
        <v>5.333333333333333</v>
      </c>
      <c r="M537">
        <v>4.8</v>
      </c>
      <c r="N537">
        <v>4.5</v>
      </c>
      <c r="O537">
        <v>4.5</v>
      </c>
      <c r="P537">
        <v>4.666666666666667</v>
      </c>
      <c r="Q537">
        <v>3.5</v>
      </c>
      <c r="R537">
        <v>0</v>
      </c>
      <c r="S537">
        <v>0</v>
      </c>
      <c r="T537">
        <v>2</v>
      </c>
      <c r="U537">
        <v>4</v>
      </c>
      <c r="V537">
        <v>4</v>
      </c>
      <c r="W537">
        <v>4</v>
      </c>
      <c r="X537">
        <v>3.7777777777777781</v>
      </c>
      <c r="Y537">
        <v>2.8</v>
      </c>
      <c r="Z537">
        <v>2.5</v>
      </c>
      <c r="AA537">
        <v>0</v>
      </c>
      <c r="AB537">
        <v>0</v>
      </c>
      <c r="AC537">
        <v>2</v>
      </c>
      <c r="AD537">
        <v>3.0909090909090908</v>
      </c>
      <c r="AE537">
        <v>3</v>
      </c>
      <c r="AF537">
        <v>3</v>
      </c>
      <c r="AG537">
        <v>2</v>
      </c>
      <c r="AH537">
        <v>2</v>
      </c>
      <c r="AI537" s="1">
        <v>10</v>
      </c>
      <c r="AJ537" s="1">
        <v>1046</v>
      </c>
      <c r="AK537" s="1" t="s">
        <v>268</v>
      </c>
      <c r="AL537" t="s">
        <v>1</v>
      </c>
      <c r="AM537" t="s">
        <v>0</v>
      </c>
      <c r="AN537">
        <v>0</v>
      </c>
      <c r="AO537">
        <v>0</v>
      </c>
      <c r="AP537">
        <v>300</v>
      </c>
      <c r="AQ537">
        <v>320</v>
      </c>
      <c r="AR537">
        <v>320</v>
      </c>
      <c r="AS537">
        <v>300</v>
      </c>
      <c r="AT537">
        <v>320</v>
      </c>
      <c r="AU537">
        <v>288</v>
      </c>
      <c r="AV537">
        <v>270</v>
      </c>
      <c r="AW537">
        <v>270</v>
      </c>
      <c r="AX537">
        <v>280</v>
      </c>
      <c r="AY537">
        <v>210</v>
      </c>
      <c r="AZ537">
        <v>0</v>
      </c>
      <c r="BA537">
        <v>0</v>
      </c>
      <c r="BB537">
        <v>120</v>
      </c>
      <c r="BC537">
        <v>240</v>
      </c>
      <c r="BD537">
        <v>240</v>
      </c>
      <c r="BE537">
        <v>240</v>
      </c>
      <c r="BF537">
        <v>226.66666666666671</v>
      </c>
      <c r="BG537">
        <v>168</v>
      </c>
      <c r="BH537">
        <v>150</v>
      </c>
      <c r="BI537">
        <v>0</v>
      </c>
      <c r="BJ537">
        <v>0</v>
      </c>
      <c r="BK537">
        <v>120</v>
      </c>
      <c r="BL537">
        <v>185.4545454545455</v>
      </c>
      <c r="BM537">
        <v>180</v>
      </c>
      <c r="BN537">
        <v>180</v>
      </c>
      <c r="BO537">
        <v>120</v>
      </c>
      <c r="BP537">
        <v>120</v>
      </c>
      <c r="BQ537">
        <f>(I537+J537+N537+O537)/4</f>
        <v>4.9166666666666661</v>
      </c>
      <c r="BR537">
        <f>(K537+L537+M537)/3</f>
        <v>5.0444444444444443</v>
      </c>
      <c r="BS537">
        <f>BQ537/BR537</f>
        <v>0.97466960352422893</v>
      </c>
      <c r="BT537">
        <f>AQ537/I537</f>
        <v>60</v>
      </c>
      <c r="BU537" t="str">
        <f>IF(OR(A537=2, A537=12), "Central", IF(A537=3, "Semi-Central", "Periférica"))</f>
        <v>Periférica</v>
      </c>
    </row>
    <row r="538" spans="1:73" x14ac:dyDescent="0.3">
      <c r="A538" s="1">
        <v>12</v>
      </c>
      <c r="B538" s="1">
        <v>1211</v>
      </c>
      <c r="C538" s="1" t="s">
        <v>260</v>
      </c>
      <c r="D538" t="s">
        <v>1</v>
      </c>
      <c r="E538" t="s">
        <v>0</v>
      </c>
      <c r="F538">
        <v>2</v>
      </c>
      <c r="G538">
        <v>0</v>
      </c>
      <c r="H538">
        <v>4</v>
      </c>
      <c r="I538">
        <v>6</v>
      </c>
      <c r="J538">
        <v>5.333333333333333</v>
      </c>
      <c r="K538">
        <v>6</v>
      </c>
      <c r="L538">
        <v>6</v>
      </c>
      <c r="M538">
        <v>6</v>
      </c>
      <c r="N538">
        <v>6</v>
      </c>
      <c r="O538">
        <v>6</v>
      </c>
      <c r="P538">
        <v>6</v>
      </c>
      <c r="Q538">
        <v>3.5</v>
      </c>
      <c r="R538">
        <v>2</v>
      </c>
      <c r="S538">
        <v>0</v>
      </c>
      <c r="T538">
        <v>2</v>
      </c>
      <c r="U538">
        <v>5.2</v>
      </c>
      <c r="V538">
        <v>5</v>
      </c>
      <c r="W538">
        <v>5</v>
      </c>
      <c r="X538">
        <v>4.8888888888888893</v>
      </c>
      <c r="Y538">
        <v>4</v>
      </c>
      <c r="Z538">
        <v>2</v>
      </c>
      <c r="AA538">
        <v>2</v>
      </c>
      <c r="AB538">
        <v>0</v>
      </c>
      <c r="AC538">
        <v>2</v>
      </c>
      <c r="AD538">
        <v>3.8181818181818179</v>
      </c>
      <c r="AE538">
        <v>4.5999999999999996</v>
      </c>
      <c r="AF538">
        <v>4</v>
      </c>
      <c r="AG538">
        <v>3</v>
      </c>
      <c r="AH538">
        <v>2.5</v>
      </c>
      <c r="AI538" s="1">
        <v>12</v>
      </c>
      <c r="AJ538" s="1">
        <v>1211</v>
      </c>
      <c r="AK538" s="1" t="s">
        <v>260</v>
      </c>
      <c r="AL538" t="s">
        <v>1</v>
      </c>
      <c r="AM538" t="s">
        <v>0</v>
      </c>
      <c r="AN538">
        <v>180</v>
      </c>
      <c r="AO538">
        <v>0</v>
      </c>
      <c r="AP538">
        <v>360</v>
      </c>
      <c r="AQ538">
        <v>540</v>
      </c>
      <c r="AR538">
        <v>480</v>
      </c>
      <c r="AS538">
        <v>540</v>
      </c>
      <c r="AT538">
        <v>540</v>
      </c>
      <c r="AU538">
        <v>540</v>
      </c>
      <c r="AV538">
        <v>540</v>
      </c>
      <c r="AW538">
        <v>540</v>
      </c>
      <c r="AX538">
        <v>540</v>
      </c>
      <c r="AY538">
        <v>315</v>
      </c>
      <c r="AZ538">
        <v>180</v>
      </c>
      <c r="BA538">
        <v>0</v>
      </c>
      <c r="BB538">
        <v>180</v>
      </c>
      <c r="BC538">
        <v>468</v>
      </c>
      <c r="BD538">
        <v>450</v>
      </c>
      <c r="BE538">
        <v>450</v>
      </c>
      <c r="BF538">
        <v>440</v>
      </c>
      <c r="BG538">
        <v>360</v>
      </c>
      <c r="BH538">
        <v>180</v>
      </c>
      <c r="BI538">
        <v>180</v>
      </c>
      <c r="BJ538">
        <v>0</v>
      </c>
      <c r="BK538">
        <v>180</v>
      </c>
      <c r="BL538">
        <v>343.63636363636363</v>
      </c>
      <c r="BM538">
        <v>414</v>
      </c>
      <c r="BN538">
        <v>360</v>
      </c>
      <c r="BO538">
        <v>270</v>
      </c>
      <c r="BP538">
        <v>225</v>
      </c>
      <c r="BQ538">
        <f>(I538+J538+N538+O538)/4</f>
        <v>5.833333333333333</v>
      </c>
      <c r="BR538">
        <f>(K538+L538+M538)/3</f>
        <v>6</v>
      </c>
      <c r="BS538">
        <f>BQ538/BR538</f>
        <v>0.97222222222222221</v>
      </c>
      <c r="BT538">
        <f>AQ538/I538</f>
        <v>90</v>
      </c>
      <c r="BU538" t="str">
        <f>IF(OR(A538=2, A538=12), "Central", IF(A538=3, "Semi-Central", "Periférica"))</f>
        <v>Central</v>
      </c>
    </row>
    <row r="539" spans="1:73" x14ac:dyDescent="0.3">
      <c r="A539" s="1">
        <v>9</v>
      </c>
      <c r="B539" s="1">
        <v>935</v>
      </c>
      <c r="C539" s="1" t="s">
        <v>252</v>
      </c>
      <c r="D539" t="s">
        <v>5</v>
      </c>
      <c r="F539">
        <v>0</v>
      </c>
      <c r="G539">
        <v>0.66666666666666663</v>
      </c>
      <c r="H539">
        <v>5</v>
      </c>
      <c r="I539">
        <v>5.333333333333333</v>
      </c>
      <c r="J539">
        <v>4.666666666666667</v>
      </c>
      <c r="K539">
        <v>5.333333333333333</v>
      </c>
      <c r="L539">
        <v>5.333333333333333</v>
      </c>
      <c r="M539">
        <v>4.8</v>
      </c>
      <c r="N539">
        <v>5</v>
      </c>
      <c r="O539">
        <v>5</v>
      </c>
      <c r="P539">
        <v>4</v>
      </c>
      <c r="Q539">
        <v>2</v>
      </c>
      <c r="R539">
        <v>0</v>
      </c>
      <c r="S539">
        <v>0.66666666666666663</v>
      </c>
      <c r="T539">
        <v>4</v>
      </c>
      <c r="U539">
        <v>4</v>
      </c>
      <c r="V539">
        <v>4</v>
      </c>
      <c r="W539">
        <v>4</v>
      </c>
      <c r="X539">
        <v>4</v>
      </c>
      <c r="Y539">
        <v>3.2</v>
      </c>
      <c r="Z539">
        <v>1</v>
      </c>
      <c r="AA539">
        <v>0</v>
      </c>
      <c r="AB539">
        <v>0.44444444444444442</v>
      </c>
      <c r="AC539">
        <v>3</v>
      </c>
      <c r="AD539">
        <v>3.0909090909090908</v>
      </c>
      <c r="AE539">
        <v>3</v>
      </c>
      <c r="AF539">
        <v>3</v>
      </c>
      <c r="AG539">
        <v>3</v>
      </c>
      <c r="AH539">
        <v>2.5</v>
      </c>
      <c r="AI539" s="1">
        <v>9</v>
      </c>
      <c r="AJ539" s="1">
        <v>935</v>
      </c>
      <c r="AK539" s="1" t="s">
        <v>252</v>
      </c>
      <c r="AL539" t="s">
        <v>5</v>
      </c>
      <c r="AN539">
        <v>0</v>
      </c>
      <c r="AO539">
        <v>60</v>
      </c>
      <c r="AP539">
        <v>450</v>
      </c>
      <c r="AQ539">
        <v>480</v>
      </c>
      <c r="AR539">
        <v>420</v>
      </c>
      <c r="AS539">
        <v>480</v>
      </c>
      <c r="AT539">
        <v>480</v>
      </c>
      <c r="AU539">
        <v>432</v>
      </c>
      <c r="AV539">
        <v>450</v>
      </c>
      <c r="AW539">
        <v>450</v>
      </c>
      <c r="AX539">
        <v>360</v>
      </c>
      <c r="AY539">
        <v>180</v>
      </c>
      <c r="AZ539">
        <v>0</v>
      </c>
      <c r="BA539">
        <v>60</v>
      </c>
      <c r="BB539">
        <v>360</v>
      </c>
      <c r="BC539">
        <v>360</v>
      </c>
      <c r="BD539">
        <v>360</v>
      </c>
      <c r="BE539">
        <v>360</v>
      </c>
      <c r="BF539">
        <v>360</v>
      </c>
      <c r="BG539">
        <v>288</v>
      </c>
      <c r="BH539">
        <v>90</v>
      </c>
      <c r="BI539">
        <v>0</v>
      </c>
      <c r="BJ539">
        <v>40</v>
      </c>
      <c r="BK539">
        <v>270</v>
      </c>
      <c r="BL539">
        <v>278.18181818181819</v>
      </c>
      <c r="BM539">
        <v>270</v>
      </c>
      <c r="BN539">
        <v>270</v>
      </c>
      <c r="BO539">
        <v>270</v>
      </c>
      <c r="BP539">
        <v>225</v>
      </c>
      <c r="BQ539">
        <f>(I539+J539+N539+O539)/4</f>
        <v>5</v>
      </c>
      <c r="BR539">
        <f>(K539+L539+M539)/3</f>
        <v>5.155555555555555</v>
      </c>
      <c r="BS539">
        <f>BQ539/BR539</f>
        <v>0.96982758620689669</v>
      </c>
      <c r="BT539">
        <f>AQ539/I539</f>
        <v>90</v>
      </c>
      <c r="BU539" t="str">
        <f>IF(OR(A539=2, A539=12), "Central", IF(A539=3, "Semi-Central", "Periférica"))</f>
        <v>Periférica</v>
      </c>
    </row>
    <row r="540" spans="1:73" x14ac:dyDescent="0.3">
      <c r="A540" s="1">
        <v>9</v>
      </c>
      <c r="B540" s="1">
        <v>902</v>
      </c>
      <c r="C540" s="1" t="s">
        <v>151</v>
      </c>
      <c r="D540" t="s">
        <v>5</v>
      </c>
      <c r="F540">
        <v>0</v>
      </c>
      <c r="G540">
        <v>0</v>
      </c>
      <c r="H540">
        <v>5</v>
      </c>
      <c r="I540">
        <v>4.666666666666667</v>
      </c>
      <c r="J540">
        <v>4</v>
      </c>
      <c r="K540">
        <v>5</v>
      </c>
      <c r="L540">
        <v>4.666666666666667</v>
      </c>
      <c r="M540">
        <v>4</v>
      </c>
      <c r="N540">
        <v>5</v>
      </c>
      <c r="O540">
        <v>4</v>
      </c>
      <c r="P540">
        <v>4</v>
      </c>
      <c r="Q540">
        <v>1</v>
      </c>
      <c r="R540">
        <v>0</v>
      </c>
      <c r="S540">
        <v>0</v>
      </c>
      <c r="T540">
        <v>3</v>
      </c>
      <c r="U540">
        <v>4.8</v>
      </c>
      <c r="V540">
        <v>5</v>
      </c>
      <c r="W540">
        <v>3.666666666666667</v>
      </c>
      <c r="X540">
        <v>3.1111111111111112</v>
      </c>
      <c r="Y540">
        <v>2.8</v>
      </c>
      <c r="Z540">
        <v>1</v>
      </c>
      <c r="AA540">
        <v>0</v>
      </c>
      <c r="AB540">
        <v>0</v>
      </c>
      <c r="AC540">
        <v>3</v>
      </c>
      <c r="AD540">
        <v>3.0909090909090908</v>
      </c>
      <c r="AE540">
        <v>3</v>
      </c>
      <c r="AF540">
        <v>3</v>
      </c>
      <c r="AG540">
        <v>2</v>
      </c>
      <c r="AH540">
        <v>1</v>
      </c>
      <c r="AI540" s="1">
        <v>9</v>
      </c>
      <c r="AJ540" s="1">
        <v>902</v>
      </c>
      <c r="AK540" s="1" t="s">
        <v>151</v>
      </c>
      <c r="AL540" t="s">
        <v>5</v>
      </c>
      <c r="AN540">
        <v>0</v>
      </c>
      <c r="AO540">
        <v>0</v>
      </c>
      <c r="AP540">
        <v>450</v>
      </c>
      <c r="AQ540">
        <v>420</v>
      </c>
      <c r="AR540">
        <v>360</v>
      </c>
      <c r="AS540">
        <v>450</v>
      </c>
      <c r="AT540">
        <v>420</v>
      </c>
      <c r="AU540">
        <v>360</v>
      </c>
      <c r="AV540">
        <v>450</v>
      </c>
      <c r="AW540">
        <v>360</v>
      </c>
      <c r="AX540">
        <v>360</v>
      </c>
      <c r="AY540">
        <v>90</v>
      </c>
      <c r="AZ540">
        <v>0</v>
      </c>
      <c r="BA540">
        <v>0</v>
      </c>
      <c r="BB540">
        <v>270</v>
      </c>
      <c r="BC540">
        <v>432</v>
      </c>
      <c r="BD540">
        <v>450</v>
      </c>
      <c r="BE540">
        <v>330</v>
      </c>
      <c r="BF540">
        <v>280</v>
      </c>
      <c r="BG540">
        <v>252</v>
      </c>
      <c r="BH540">
        <v>90</v>
      </c>
      <c r="BI540">
        <v>0</v>
      </c>
      <c r="BJ540">
        <v>0</v>
      </c>
      <c r="BK540">
        <v>270</v>
      </c>
      <c r="BL540">
        <v>278.18181818181819</v>
      </c>
      <c r="BM540">
        <v>270</v>
      </c>
      <c r="BN540">
        <v>270</v>
      </c>
      <c r="BO540">
        <v>180</v>
      </c>
      <c r="BP540">
        <v>90</v>
      </c>
      <c r="BQ540">
        <f>(I540+J540+N540+O540)/4</f>
        <v>4.416666666666667</v>
      </c>
      <c r="BR540">
        <f>(K540+L540+M540)/3</f>
        <v>4.5555555555555562</v>
      </c>
      <c r="BS540">
        <f>BQ540/BR540</f>
        <v>0.96951219512195119</v>
      </c>
      <c r="BT540">
        <f>AQ540/I540</f>
        <v>90</v>
      </c>
      <c r="BU540" t="str">
        <f>IF(OR(A540=2, A540=12), "Central", IF(A540=3, "Semi-Central", "Periférica"))</f>
        <v>Periférica</v>
      </c>
    </row>
    <row r="541" spans="1:73" x14ac:dyDescent="0.3">
      <c r="A541" s="1">
        <v>5</v>
      </c>
      <c r="B541" s="1">
        <v>542</v>
      </c>
      <c r="C541" s="1">
        <v>542</v>
      </c>
      <c r="D541" t="s">
        <v>5</v>
      </c>
      <c r="F541">
        <v>0</v>
      </c>
      <c r="G541">
        <v>0</v>
      </c>
      <c r="H541">
        <v>4</v>
      </c>
      <c r="I541">
        <v>4</v>
      </c>
      <c r="J541">
        <v>4</v>
      </c>
      <c r="K541">
        <v>4</v>
      </c>
      <c r="L541">
        <v>4</v>
      </c>
      <c r="M541">
        <v>4</v>
      </c>
      <c r="N541">
        <v>4</v>
      </c>
      <c r="O541">
        <v>3.5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3.2</v>
      </c>
      <c r="V541">
        <v>3.3333333333333335</v>
      </c>
      <c r="W541">
        <v>3</v>
      </c>
      <c r="X541">
        <v>3.1111111111111112</v>
      </c>
      <c r="Y541">
        <v>0.8</v>
      </c>
      <c r="Z541">
        <v>0</v>
      </c>
      <c r="AA541">
        <v>0</v>
      </c>
      <c r="AB541">
        <v>0</v>
      </c>
      <c r="AC541">
        <v>0</v>
      </c>
      <c r="AD541">
        <v>3.2727272727272729</v>
      </c>
      <c r="AE541">
        <v>3</v>
      </c>
      <c r="AF541">
        <v>2</v>
      </c>
      <c r="AG541">
        <v>0</v>
      </c>
      <c r="AH541">
        <v>0</v>
      </c>
      <c r="AI541" s="1">
        <v>5</v>
      </c>
      <c r="AJ541" s="1">
        <v>542</v>
      </c>
      <c r="AK541" s="1">
        <v>542</v>
      </c>
      <c r="AL541" t="s">
        <v>5</v>
      </c>
      <c r="AN541">
        <v>0</v>
      </c>
      <c r="AO541">
        <v>0</v>
      </c>
      <c r="AP541">
        <v>324</v>
      </c>
      <c r="AQ541">
        <v>324</v>
      </c>
      <c r="AR541">
        <v>324</v>
      </c>
      <c r="AS541">
        <v>324</v>
      </c>
      <c r="AT541">
        <v>324</v>
      </c>
      <c r="AU541">
        <v>324</v>
      </c>
      <c r="AV541">
        <v>324</v>
      </c>
      <c r="AW541">
        <v>283.5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259.2</v>
      </c>
      <c r="BD541">
        <v>270</v>
      </c>
      <c r="BE541">
        <v>243</v>
      </c>
      <c r="BF541">
        <v>252</v>
      </c>
      <c r="BG541">
        <v>64.8</v>
      </c>
      <c r="BH541">
        <v>0</v>
      </c>
      <c r="BI541">
        <v>0</v>
      </c>
      <c r="BJ541">
        <v>0</v>
      </c>
      <c r="BK541">
        <v>0</v>
      </c>
      <c r="BL541">
        <v>265.09090909090907</v>
      </c>
      <c r="BM541">
        <v>243</v>
      </c>
      <c r="BN541">
        <v>162</v>
      </c>
      <c r="BO541">
        <v>0</v>
      </c>
      <c r="BP541">
        <v>0</v>
      </c>
      <c r="BQ541">
        <f>(I541+J541+N541+O541)/4</f>
        <v>3.875</v>
      </c>
      <c r="BR541">
        <f>(K541+L541+M541)/3</f>
        <v>4</v>
      </c>
      <c r="BS541">
        <f>BQ541/BR541</f>
        <v>0.96875</v>
      </c>
      <c r="BT541">
        <f>AQ541/I541</f>
        <v>81</v>
      </c>
      <c r="BU541" t="str">
        <f>IF(OR(A541=2, A541=12), "Central", IF(A541=3, "Semi-Central", "Periférica"))</f>
        <v>Periférica</v>
      </c>
    </row>
    <row r="542" spans="1:73" x14ac:dyDescent="0.3">
      <c r="A542" s="1">
        <v>18</v>
      </c>
      <c r="B542" s="1">
        <v>1832</v>
      </c>
      <c r="C542" s="1" t="s">
        <v>267</v>
      </c>
      <c r="D542" t="s">
        <v>5</v>
      </c>
      <c r="E542" t="s">
        <v>0</v>
      </c>
      <c r="F542">
        <v>0</v>
      </c>
      <c r="G542">
        <v>0</v>
      </c>
      <c r="H542">
        <v>4</v>
      </c>
      <c r="I542">
        <v>4</v>
      </c>
      <c r="J542">
        <v>4</v>
      </c>
      <c r="K542">
        <v>4</v>
      </c>
      <c r="L542">
        <v>4</v>
      </c>
      <c r="M542">
        <v>4</v>
      </c>
      <c r="N542">
        <v>4</v>
      </c>
      <c r="O542">
        <v>3.5</v>
      </c>
      <c r="P542">
        <v>4</v>
      </c>
      <c r="Q542">
        <v>1.5</v>
      </c>
      <c r="R542">
        <v>0</v>
      </c>
      <c r="S542">
        <v>0</v>
      </c>
      <c r="T542">
        <v>3</v>
      </c>
      <c r="U542">
        <v>4</v>
      </c>
      <c r="V542">
        <v>4</v>
      </c>
      <c r="W542">
        <v>4</v>
      </c>
      <c r="X542">
        <v>4</v>
      </c>
      <c r="Y542">
        <v>3.2</v>
      </c>
      <c r="Z542">
        <v>1.5</v>
      </c>
      <c r="AA542">
        <v>0</v>
      </c>
      <c r="AB542">
        <v>0</v>
      </c>
      <c r="AC542">
        <v>3</v>
      </c>
      <c r="AD542">
        <v>3.2727272727272729</v>
      </c>
      <c r="AE542">
        <v>3.2</v>
      </c>
      <c r="AF542">
        <v>3</v>
      </c>
      <c r="AG542">
        <v>3</v>
      </c>
      <c r="AH542">
        <v>1.5</v>
      </c>
      <c r="AI542" s="1">
        <v>18</v>
      </c>
      <c r="AJ542" s="1">
        <v>1832</v>
      </c>
      <c r="AK542" s="1" t="s">
        <v>267</v>
      </c>
      <c r="AL542" t="s">
        <v>5</v>
      </c>
      <c r="AM542" t="s">
        <v>0</v>
      </c>
      <c r="AN542">
        <v>0</v>
      </c>
      <c r="AO542">
        <v>0</v>
      </c>
      <c r="AP542">
        <v>360</v>
      </c>
      <c r="AQ542">
        <v>360</v>
      </c>
      <c r="AR542">
        <v>360</v>
      </c>
      <c r="AS542">
        <v>360</v>
      </c>
      <c r="AT542">
        <v>360</v>
      </c>
      <c r="AU542">
        <v>360</v>
      </c>
      <c r="AV542">
        <v>360</v>
      </c>
      <c r="AW542">
        <v>315</v>
      </c>
      <c r="AX542">
        <v>360</v>
      </c>
      <c r="AY542">
        <v>135</v>
      </c>
      <c r="AZ542">
        <v>0</v>
      </c>
      <c r="BA542">
        <v>0</v>
      </c>
      <c r="BB542">
        <v>270</v>
      </c>
      <c r="BC542">
        <v>360</v>
      </c>
      <c r="BD542">
        <v>360</v>
      </c>
      <c r="BE542">
        <v>360</v>
      </c>
      <c r="BF542">
        <v>360</v>
      </c>
      <c r="BG542">
        <v>288</v>
      </c>
      <c r="BH542">
        <v>135</v>
      </c>
      <c r="BI542">
        <v>0</v>
      </c>
      <c r="BJ542">
        <v>0</v>
      </c>
      <c r="BK542">
        <v>270</v>
      </c>
      <c r="BL542">
        <v>294.54545454545462</v>
      </c>
      <c r="BM542">
        <v>288</v>
      </c>
      <c r="BN542">
        <v>270</v>
      </c>
      <c r="BO542">
        <v>270</v>
      </c>
      <c r="BP542">
        <v>135</v>
      </c>
      <c r="BQ542">
        <f>(I542+J542+N542+O542)/4</f>
        <v>3.875</v>
      </c>
      <c r="BR542">
        <f>(K542+L542+M542)/3</f>
        <v>4</v>
      </c>
      <c r="BS542">
        <f>BQ542/BR542</f>
        <v>0.96875</v>
      </c>
      <c r="BT542">
        <f>AQ542/I542</f>
        <v>90</v>
      </c>
      <c r="BU542" t="str">
        <f>IF(OR(A542=2, A542=12), "Central", IF(A542=3, "Semi-Central", "Periférica"))</f>
        <v>Periférica</v>
      </c>
    </row>
    <row r="543" spans="1:73" x14ac:dyDescent="0.3">
      <c r="A543" s="1">
        <v>18</v>
      </c>
      <c r="B543" s="1">
        <v>1832</v>
      </c>
      <c r="C543" s="1" t="s">
        <v>267</v>
      </c>
      <c r="D543" t="s">
        <v>1</v>
      </c>
      <c r="E543" t="s">
        <v>0</v>
      </c>
      <c r="F543">
        <v>0</v>
      </c>
      <c r="G543">
        <v>0</v>
      </c>
      <c r="H543">
        <v>4</v>
      </c>
      <c r="I543">
        <v>4</v>
      </c>
      <c r="J543">
        <v>4</v>
      </c>
      <c r="K543">
        <v>4</v>
      </c>
      <c r="L543">
        <v>4</v>
      </c>
      <c r="M543">
        <v>4</v>
      </c>
      <c r="N543">
        <v>4</v>
      </c>
      <c r="O543">
        <v>3.5</v>
      </c>
      <c r="P543">
        <v>4</v>
      </c>
      <c r="Q543">
        <v>2.5</v>
      </c>
      <c r="R543">
        <v>0</v>
      </c>
      <c r="S543">
        <v>0</v>
      </c>
      <c r="T543">
        <v>3</v>
      </c>
      <c r="U543">
        <v>4</v>
      </c>
      <c r="V543">
        <v>4</v>
      </c>
      <c r="W543">
        <v>4</v>
      </c>
      <c r="X543">
        <v>4</v>
      </c>
      <c r="Y543">
        <v>3.2</v>
      </c>
      <c r="Z543">
        <v>2.5</v>
      </c>
      <c r="AA543">
        <v>0</v>
      </c>
      <c r="AB543">
        <v>0</v>
      </c>
      <c r="AC543">
        <v>3</v>
      </c>
      <c r="AD543">
        <v>3.2727272727272729</v>
      </c>
      <c r="AE543">
        <v>3.2</v>
      </c>
      <c r="AF543">
        <v>3</v>
      </c>
      <c r="AG543">
        <v>3</v>
      </c>
      <c r="AH543">
        <v>2.5</v>
      </c>
      <c r="AI543" s="1">
        <v>18</v>
      </c>
      <c r="AJ543" s="1">
        <v>1832</v>
      </c>
      <c r="AK543" s="1" t="s">
        <v>267</v>
      </c>
      <c r="AL543" t="s">
        <v>1</v>
      </c>
      <c r="AM543" t="s">
        <v>0</v>
      </c>
      <c r="AN543">
        <v>0</v>
      </c>
      <c r="AO543">
        <v>0</v>
      </c>
      <c r="AP543">
        <v>360</v>
      </c>
      <c r="AQ543">
        <v>360</v>
      </c>
      <c r="AR543">
        <v>360</v>
      </c>
      <c r="AS543">
        <v>360</v>
      </c>
      <c r="AT543">
        <v>360</v>
      </c>
      <c r="AU543">
        <v>360</v>
      </c>
      <c r="AV543">
        <v>360</v>
      </c>
      <c r="AW543">
        <v>315</v>
      </c>
      <c r="AX543">
        <v>360</v>
      </c>
      <c r="AY543">
        <v>225</v>
      </c>
      <c r="AZ543">
        <v>0</v>
      </c>
      <c r="BA543">
        <v>0</v>
      </c>
      <c r="BB543">
        <v>270</v>
      </c>
      <c r="BC543">
        <v>360</v>
      </c>
      <c r="BD543">
        <v>360</v>
      </c>
      <c r="BE543">
        <v>360</v>
      </c>
      <c r="BF543">
        <v>360</v>
      </c>
      <c r="BG543">
        <v>288</v>
      </c>
      <c r="BH543">
        <v>225</v>
      </c>
      <c r="BI543">
        <v>0</v>
      </c>
      <c r="BJ543">
        <v>0</v>
      </c>
      <c r="BK543">
        <v>270</v>
      </c>
      <c r="BL543">
        <v>294.54545454545462</v>
      </c>
      <c r="BM543">
        <v>288</v>
      </c>
      <c r="BN543">
        <v>270</v>
      </c>
      <c r="BO543">
        <v>270</v>
      </c>
      <c r="BP543">
        <v>225</v>
      </c>
      <c r="BQ543">
        <f>(I543+J543+N543+O543)/4</f>
        <v>3.875</v>
      </c>
      <c r="BR543">
        <f>(K543+L543+M543)/3</f>
        <v>4</v>
      </c>
      <c r="BS543">
        <f>BQ543/BR543</f>
        <v>0.96875</v>
      </c>
      <c r="BT543">
        <f>AQ543/I543</f>
        <v>90</v>
      </c>
      <c r="BU543" t="str">
        <f>IF(OR(A543=2, A543=12), "Central", IF(A543=3, "Semi-Central", "Periférica"))</f>
        <v>Periférica</v>
      </c>
    </row>
    <row r="544" spans="1:73" x14ac:dyDescent="0.3">
      <c r="A544" s="1">
        <v>9</v>
      </c>
      <c r="B544" s="1">
        <v>904</v>
      </c>
      <c r="C544" s="1" t="s">
        <v>148</v>
      </c>
      <c r="D544" t="s">
        <v>5</v>
      </c>
      <c r="F544">
        <v>0</v>
      </c>
      <c r="G544">
        <v>0.44444444444444442</v>
      </c>
      <c r="H544">
        <v>5</v>
      </c>
      <c r="I544">
        <v>4</v>
      </c>
      <c r="J544">
        <v>4.666666666666667</v>
      </c>
      <c r="K544">
        <v>5</v>
      </c>
      <c r="L544">
        <v>4.666666666666667</v>
      </c>
      <c r="M544">
        <v>4.8</v>
      </c>
      <c r="N544">
        <v>5</v>
      </c>
      <c r="O544">
        <v>5</v>
      </c>
      <c r="P544">
        <v>5.333333333333333</v>
      </c>
      <c r="Q544">
        <v>3</v>
      </c>
      <c r="R544">
        <v>0</v>
      </c>
      <c r="S544">
        <v>0.22222222222222221</v>
      </c>
      <c r="T544">
        <v>4</v>
      </c>
      <c r="U544">
        <v>4.4000000000000004</v>
      </c>
      <c r="V544">
        <v>4.333333333333333</v>
      </c>
      <c r="W544">
        <v>3.666666666666667</v>
      </c>
      <c r="X544">
        <v>3.1111111111111112</v>
      </c>
      <c r="Y544">
        <v>2.8</v>
      </c>
      <c r="Z544">
        <v>2</v>
      </c>
      <c r="AA544">
        <v>0</v>
      </c>
      <c r="AB544">
        <v>0.22222222222222221</v>
      </c>
      <c r="AC544">
        <v>3</v>
      </c>
      <c r="AD544">
        <v>3.0909090909090908</v>
      </c>
      <c r="AE544">
        <v>3</v>
      </c>
      <c r="AF544">
        <v>3</v>
      </c>
      <c r="AG544">
        <v>2</v>
      </c>
      <c r="AH544">
        <v>1.5</v>
      </c>
      <c r="AI544" s="1">
        <v>9</v>
      </c>
      <c r="AJ544" s="1">
        <v>904</v>
      </c>
      <c r="AK544" s="1" t="s">
        <v>148</v>
      </c>
      <c r="AL544" t="s">
        <v>5</v>
      </c>
      <c r="AN544">
        <v>0</v>
      </c>
      <c r="AO544">
        <v>40</v>
      </c>
      <c r="AP544">
        <v>450</v>
      </c>
      <c r="AQ544">
        <v>360</v>
      </c>
      <c r="AR544">
        <v>420</v>
      </c>
      <c r="AS544">
        <v>450</v>
      </c>
      <c r="AT544">
        <v>420</v>
      </c>
      <c r="AU544">
        <v>432</v>
      </c>
      <c r="AV544">
        <v>450</v>
      </c>
      <c r="AW544">
        <v>450</v>
      </c>
      <c r="AX544">
        <v>480</v>
      </c>
      <c r="AY544">
        <v>270</v>
      </c>
      <c r="AZ544">
        <v>0</v>
      </c>
      <c r="BA544">
        <v>20</v>
      </c>
      <c r="BB544">
        <v>360</v>
      </c>
      <c r="BC544">
        <v>396</v>
      </c>
      <c r="BD544">
        <v>390</v>
      </c>
      <c r="BE544">
        <v>330</v>
      </c>
      <c r="BF544">
        <v>280</v>
      </c>
      <c r="BG544">
        <v>252</v>
      </c>
      <c r="BH544">
        <v>180</v>
      </c>
      <c r="BI544">
        <v>0</v>
      </c>
      <c r="BJ544">
        <v>20</v>
      </c>
      <c r="BK544">
        <v>270</v>
      </c>
      <c r="BL544">
        <v>278.18181818181819</v>
      </c>
      <c r="BM544">
        <v>270</v>
      </c>
      <c r="BN544">
        <v>270</v>
      </c>
      <c r="BO544">
        <v>180</v>
      </c>
      <c r="BP544">
        <v>135</v>
      </c>
      <c r="BQ544">
        <f>(I544+J544+N544+O544)/4</f>
        <v>4.666666666666667</v>
      </c>
      <c r="BR544">
        <f>(K544+L544+M544)/3</f>
        <v>4.8222222222222229</v>
      </c>
      <c r="BS544">
        <f>BQ544/BR544</f>
        <v>0.96774193548387089</v>
      </c>
      <c r="BT544">
        <f>AQ544/I544</f>
        <v>90</v>
      </c>
      <c r="BU544" t="str">
        <f>IF(OR(A544=2, A544=12), "Central", IF(A544=3, "Semi-Central", "Periférica"))</f>
        <v>Periférica</v>
      </c>
    </row>
    <row r="545" spans="1:73" x14ac:dyDescent="0.3">
      <c r="A545" s="1">
        <v>14</v>
      </c>
      <c r="B545" s="1">
        <v>1415</v>
      </c>
      <c r="C545" s="1">
        <v>405</v>
      </c>
      <c r="D545" t="s">
        <v>1</v>
      </c>
      <c r="F545">
        <v>3</v>
      </c>
      <c r="G545">
        <v>2</v>
      </c>
      <c r="H545">
        <v>4</v>
      </c>
      <c r="I545">
        <v>4.666666666666667</v>
      </c>
      <c r="J545">
        <v>5.333333333333333</v>
      </c>
      <c r="K545">
        <v>6.666666666666667</v>
      </c>
      <c r="L545">
        <v>6.666666666666667</v>
      </c>
      <c r="M545">
        <v>8.8000000000000007</v>
      </c>
      <c r="N545">
        <v>10.5</v>
      </c>
      <c r="O545">
        <v>8</v>
      </c>
      <c r="P545">
        <v>4.666666666666667</v>
      </c>
      <c r="Q545">
        <v>5</v>
      </c>
      <c r="R545">
        <v>3</v>
      </c>
      <c r="S545">
        <v>2</v>
      </c>
      <c r="T545">
        <v>4</v>
      </c>
      <c r="U545">
        <v>6</v>
      </c>
      <c r="V545">
        <v>5.333333333333333</v>
      </c>
      <c r="W545">
        <v>7.333333333333333</v>
      </c>
      <c r="X545">
        <v>5.1111111111111107</v>
      </c>
      <c r="Y545">
        <v>5.2</v>
      </c>
      <c r="Z545">
        <v>4.5</v>
      </c>
      <c r="AA545">
        <v>3</v>
      </c>
      <c r="AB545">
        <v>2</v>
      </c>
      <c r="AC545">
        <v>4</v>
      </c>
      <c r="AD545">
        <v>5.0909090909090908</v>
      </c>
      <c r="AE545">
        <v>6</v>
      </c>
      <c r="AF545">
        <v>6.666666666666667</v>
      </c>
      <c r="AG545">
        <v>4</v>
      </c>
      <c r="AH545">
        <v>3.5</v>
      </c>
      <c r="AI545" s="1">
        <v>14</v>
      </c>
      <c r="AJ545" s="1">
        <v>1415</v>
      </c>
      <c r="AK545" s="1">
        <v>405</v>
      </c>
      <c r="AL545" t="s">
        <v>1</v>
      </c>
      <c r="AN545">
        <v>450</v>
      </c>
      <c r="AO545">
        <v>300</v>
      </c>
      <c r="AP545">
        <v>600</v>
      </c>
      <c r="AQ545">
        <v>700</v>
      </c>
      <c r="AR545">
        <v>800</v>
      </c>
      <c r="AS545">
        <v>1000</v>
      </c>
      <c r="AT545">
        <v>1000</v>
      </c>
      <c r="AU545">
        <v>1320</v>
      </c>
      <c r="AV545">
        <v>1575</v>
      </c>
      <c r="AW545">
        <v>1200</v>
      </c>
      <c r="AX545">
        <v>700</v>
      </c>
      <c r="AY545">
        <v>750</v>
      </c>
      <c r="AZ545">
        <v>450</v>
      </c>
      <c r="BA545">
        <v>300</v>
      </c>
      <c r="BB545">
        <v>600</v>
      </c>
      <c r="BC545">
        <v>900</v>
      </c>
      <c r="BD545">
        <v>800</v>
      </c>
      <c r="BE545">
        <v>1100</v>
      </c>
      <c r="BF545">
        <v>766.66666666666663</v>
      </c>
      <c r="BG545">
        <v>780</v>
      </c>
      <c r="BH545">
        <v>675</v>
      </c>
      <c r="BI545">
        <v>450</v>
      </c>
      <c r="BJ545">
        <v>180</v>
      </c>
      <c r="BK545">
        <v>360</v>
      </c>
      <c r="BL545">
        <v>458.18181818181819</v>
      </c>
      <c r="BM545">
        <v>540</v>
      </c>
      <c r="BN545">
        <v>600</v>
      </c>
      <c r="BO545">
        <v>360</v>
      </c>
      <c r="BP545">
        <v>315</v>
      </c>
      <c r="BQ545">
        <f>(I545+J545+N545+O545)/4</f>
        <v>7.125</v>
      </c>
      <c r="BR545">
        <f>(K545+L545+M545)/3</f>
        <v>7.3777777777777773</v>
      </c>
      <c r="BS545">
        <f>BQ545/BR545</f>
        <v>0.96573795180722899</v>
      </c>
      <c r="BT545">
        <f>AQ545/I545</f>
        <v>150</v>
      </c>
      <c r="BU545" t="str">
        <f>IF(OR(A545=2, A545=12), "Central", IF(A545=3, "Semi-Central", "Periférica"))</f>
        <v>Periférica</v>
      </c>
    </row>
    <row r="546" spans="1:73" x14ac:dyDescent="0.3">
      <c r="A546" s="1">
        <v>3</v>
      </c>
      <c r="B546" s="1">
        <v>328</v>
      </c>
      <c r="C546" s="1">
        <v>113</v>
      </c>
      <c r="D546" t="s">
        <v>5</v>
      </c>
      <c r="E546" t="s">
        <v>0</v>
      </c>
      <c r="F546">
        <v>0</v>
      </c>
      <c r="G546">
        <v>0</v>
      </c>
      <c r="H546">
        <v>6</v>
      </c>
      <c r="I546">
        <v>5.333333333333333</v>
      </c>
      <c r="J546">
        <v>4.666666666666667</v>
      </c>
      <c r="K546">
        <v>5</v>
      </c>
      <c r="L546">
        <v>5.333333333333333</v>
      </c>
      <c r="M546">
        <v>5.2</v>
      </c>
      <c r="N546">
        <v>5.5</v>
      </c>
      <c r="O546">
        <v>4.5</v>
      </c>
      <c r="P546">
        <v>4.666666666666667</v>
      </c>
      <c r="Q546">
        <v>2</v>
      </c>
      <c r="R546">
        <v>0</v>
      </c>
      <c r="S546">
        <v>0</v>
      </c>
      <c r="T546">
        <v>3</v>
      </c>
      <c r="U546">
        <v>4</v>
      </c>
      <c r="V546">
        <v>4.333333333333333</v>
      </c>
      <c r="W546">
        <v>4</v>
      </c>
      <c r="X546">
        <v>4</v>
      </c>
      <c r="Y546">
        <v>3.6</v>
      </c>
      <c r="Z546">
        <v>1.5</v>
      </c>
      <c r="AA546">
        <v>0</v>
      </c>
      <c r="AB546">
        <v>0</v>
      </c>
      <c r="AC546">
        <v>3</v>
      </c>
      <c r="AD546">
        <v>4</v>
      </c>
      <c r="AE546">
        <v>4</v>
      </c>
      <c r="AF546">
        <v>4</v>
      </c>
      <c r="AG546">
        <v>3</v>
      </c>
      <c r="AH546">
        <v>1.5</v>
      </c>
      <c r="AI546" s="1">
        <v>3</v>
      </c>
      <c r="AJ546" s="1">
        <v>328</v>
      </c>
      <c r="AK546" s="1">
        <v>113</v>
      </c>
      <c r="AL546" t="s">
        <v>5</v>
      </c>
      <c r="AM546" t="s">
        <v>0</v>
      </c>
      <c r="AN546">
        <v>0</v>
      </c>
      <c r="AO546">
        <v>0</v>
      </c>
      <c r="AP546">
        <v>588</v>
      </c>
      <c r="AQ546">
        <v>522.66666666666663</v>
      </c>
      <c r="AR546">
        <v>457.33333333333331</v>
      </c>
      <c r="AS546">
        <v>490</v>
      </c>
      <c r="AT546">
        <v>522.66666666666663</v>
      </c>
      <c r="AU546">
        <v>509.6</v>
      </c>
      <c r="AV546">
        <v>539</v>
      </c>
      <c r="AW546">
        <v>441</v>
      </c>
      <c r="AX546">
        <v>457.33333333333331</v>
      </c>
      <c r="AY546">
        <v>196</v>
      </c>
      <c r="AZ546">
        <v>0</v>
      </c>
      <c r="BA546">
        <v>0</v>
      </c>
      <c r="BB546">
        <v>294</v>
      </c>
      <c r="BC546">
        <v>392</v>
      </c>
      <c r="BD546">
        <v>424.66666666666669</v>
      </c>
      <c r="BE546">
        <v>392</v>
      </c>
      <c r="BF546">
        <v>392</v>
      </c>
      <c r="BG546">
        <v>352.8</v>
      </c>
      <c r="BH546">
        <v>147</v>
      </c>
      <c r="BI546">
        <v>0</v>
      </c>
      <c r="BJ546">
        <v>0</v>
      </c>
      <c r="BK546">
        <v>294</v>
      </c>
      <c r="BL546">
        <v>392</v>
      </c>
      <c r="BM546">
        <v>392</v>
      </c>
      <c r="BN546">
        <v>392</v>
      </c>
      <c r="BO546">
        <v>294</v>
      </c>
      <c r="BP546">
        <v>147</v>
      </c>
      <c r="BQ546">
        <f>(I546+J546+N546+O546)/4</f>
        <v>5</v>
      </c>
      <c r="BR546">
        <f>(K546+L546+M546)/3</f>
        <v>5.1777777777777771</v>
      </c>
      <c r="BS546">
        <f>BQ546/BR546</f>
        <v>0.96566523605150223</v>
      </c>
      <c r="BT546">
        <f>AQ546/I546</f>
        <v>98</v>
      </c>
      <c r="BU546" t="str">
        <f>IF(OR(A546=2, A546=12), "Central", IF(A546=3, "Semi-Central", "Periférica"))</f>
        <v>Semi-Central</v>
      </c>
    </row>
    <row r="547" spans="1:73" x14ac:dyDescent="0.3">
      <c r="A547" s="1">
        <v>3</v>
      </c>
      <c r="B547" s="1">
        <v>328</v>
      </c>
      <c r="C547" s="1">
        <v>113</v>
      </c>
      <c r="D547" t="s">
        <v>1</v>
      </c>
      <c r="E547" t="s">
        <v>0</v>
      </c>
      <c r="F547">
        <v>0</v>
      </c>
      <c r="G547">
        <v>0</v>
      </c>
      <c r="H547">
        <v>0</v>
      </c>
      <c r="I547">
        <v>5.333333333333333</v>
      </c>
      <c r="J547">
        <v>4.666666666666667</v>
      </c>
      <c r="K547">
        <v>5</v>
      </c>
      <c r="L547">
        <v>5.333333333333333</v>
      </c>
      <c r="M547">
        <v>5.2</v>
      </c>
      <c r="N547">
        <v>5.5</v>
      </c>
      <c r="O547">
        <v>4.5</v>
      </c>
      <c r="P547">
        <v>5.333333333333333</v>
      </c>
      <c r="Q547">
        <v>3</v>
      </c>
      <c r="R547">
        <v>0</v>
      </c>
      <c r="S547">
        <v>0</v>
      </c>
      <c r="T547">
        <v>0</v>
      </c>
      <c r="U547">
        <v>3.2</v>
      </c>
      <c r="V547">
        <v>4.333333333333333</v>
      </c>
      <c r="W547">
        <v>4</v>
      </c>
      <c r="X547">
        <v>4</v>
      </c>
      <c r="Y547">
        <v>3.6</v>
      </c>
      <c r="Z547">
        <v>2.5</v>
      </c>
      <c r="AA547">
        <v>0</v>
      </c>
      <c r="AB547">
        <v>0</v>
      </c>
      <c r="AC547">
        <v>1</v>
      </c>
      <c r="AD547">
        <v>4</v>
      </c>
      <c r="AE547">
        <v>4</v>
      </c>
      <c r="AF547">
        <v>4</v>
      </c>
      <c r="AG547">
        <v>3</v>
      </c>
      <c r="AH547">
        <v>2.5</v>
      </c>
      <c r="AI547" s="1">
        <v>3</v>
      </c>
      <c r="AJ547" s="1">
        <v>328</v>
      </c>
      <c r="AK547" s="1">
        <v>113</v>
      </c>
      <c r="AL547" t="s">
        <v>1</v>
      </c>
      <c r="AM547" t="s">
        <v>0</v>
      </c>
      <c r="AN547">
        <v>0</v>
      </c>
      <c r="AO547">
        <v>0</v>
      </c>
      <c r="AP547">
        <v>0</v>
      </c>
      <c r="AQ547">
        <v>522.66666666666663</v>
      </c>
      <c r="AR547">
        <v>457.33333333333331</v>
      </c>
      <c r="AS547">
        <v>490</v>
      </c>
      <c r="AT547">
        <v>522.66666666666663</v>
      </c>
      <c r="AU547">
        <v>509.6</v>
      </c>
      <c r="AV547">
        <v>539</v>
      </c>
      <c r="AW547">
        <v>441</v>
      </c>
      <c r="AX547">
        <v>522.66666666666663</v>
      </c>
      <c r="AY547">
        <v>294</v>
      </c>
      <c r="AZ547">
        <v>0</v>
      </c>
      <c r="BA547">
        <v>0</v>
      </c>
      <c r="BB547">
        <v>0</v>
      </c>
      <c r="BC547">
        <v>313.60000000000002</v>
      </c>
      <c r="BD547">
        <v>424.66666666666669</v>
      </c>
      <c r="BE547">
        <v>392</v>
      </c>
      <c r="BF547">
        <v>392</v>
      </c>
      <c r="BG547">
        <v>352.8</v>
      </c>
      <c r="BH547">
        <v>245</v>
      </c>
      <c r="BI547">
        <v>0</v>
      </c>
      <c r="BJ547">
        <v>0</v>
      </c>
      <c r="BK547">
        <v>98</v>
      </c>
      <c r="BL547">
        <v>392</v>
      </c>
      <c r="BM547">
        <v>392</v>
      </c>
      <c r="BN547">
        <v>392</v>
      </c>
      <c r="BO547">
        <v>294</v>
      </c>
      <c r="BP547">
        <v>245</v>
      </c>
      <c r="BQ547">
        <f>(I547+J547+N547+O547)/4</f>
        <v>5</v>
      </c>
      <c r="BR547">
        <f>(K547+L547+M547)/3</f>
        <v>5.1777777777777771</v>
      </c>
      <c r="BS547">
        <f>BQ547/BR547</f>
        <v>0.96566523605150223</v>
      </c>
      <c r="BT547">
        <f>AQ547/I547</f>
        <v>98</v>
      </c>
      <c r="BU547" t="str">
        <f>IF(OR(A547=2, A547=12), "Central", IF(A547=3, "Semi-Central", "Periférica"))</f>
        <v>Semi-Central</v>
      </c>
    </row>
    <row r="548" spans="1:73" x14ac:dyDescent="0.3">
      <c r="A548" s="1">
        <v>5</v>
      </c>
      <c r="B548" s="1">
        <v>543</v>
      </c>
      <c r="C548" s="1">
        <v>424</v>
      </c>
      <c r="D548" t="s">
        <v>5</v>
      </c>
      <c r="E548" t="s">
        <v>0</v>
      </c>
      <c r="F548">
        <v>0</v>
      </c>
      <c r="G548">
        <v>0</v>
      </c>
      <c r="H548">
        <v>6</v>
      </c>
      <c r="I548">
        <v>5.333333333333333</v>
      </c>
      <c r="J548">
        <v>4.666666666666667</v>
      </c>
      <c r="K548">
        <v>5</v>
      </c>
      <c r="L548">
        <v>5.333333333333333</v>
      </c>
      <c r="M548">
        <v>5.2</v>
      </c>
      <c r="N548">
        <v>5.5</v>
      </c>
      <c r="O548">
        <v>4.5</v>
      </c>
      <c r="P548">
        <v>4</v>
      </c>
      <c r="Q548">
        <v>2.5</v>
      </c>
      <c r="R548">
        <v>0</v>
      </c>
      <c r="S548">
        <v>0</v>
      </c>
      <c r="T548">
        <v>4</v>
      </c>
      <c r="U548">
        <v>4.4000000000000004</v>
      </c>
      <c r="V548">
        <v>4</v>
      </c>
      <c r="W548">
        <v>4</v>
      </c>
      <c r="X548">
        <v>4</v>
      </c>
      <c r="Y548">
        <v>4</v>
      </c>
      <c r="Z548">
        <v>2.5</v>
      </c>
      <c r="AA548">
        <v>0</v>
      </c>
      <c r="AB548">
        <v>0</v>
      </c>
      <c r="AC548">
        <v>3</v>
      </c>
      <c r="AD548">
        <v>3.0909090909090908</v>
      </c>
      <c r="AE548">
        <v>3.2</v>
      </c>
      <c r="AF548">
        <v>3</v>
      </c>
      <c r="AG548">
        <v>3</v>
      </c>
      <c r="AH548">
        <v>2.5</v>
      </c>
      <c r="AI548" s="1">
        <v>5</v>
      </c>
      <c r="AJ548" s="1">
        <v>543</v>
      </c>
      <c r="AK548" s="1">
        <v>424</v>
      </c>
      <c r="AL548" t="s">
        <v>5</v>
      </c>
      <c r="AM548" t="s">
        <v>0</v>
      </c>
      <c r="AN548">
        <v>0</v>
      </c>
      <c r="AO548">
        <v>0</v>
      </c>
      <c r="AP548">
        <v>486</v>
      </c>
      <c r="AQ548">
        <v>432</v>
      </c>
      <c r="AR548">
        <v>378</v>
      </c>
      <c r="AS548">
        <v>405</v>
      </c>
      <c r="AT548">
        <v>432</v>
      </c>
      <c r="AU548">
        <v>421.2</v>
      </c>
      <c r="AV548">
        <v>445.5</v>
      </c>
      <c r="AW548">
        <v>364.5</v>
      </c>
      <c r="AX548">
        <v>324</v>
      </c>
      <c r="AY548">
        <v>202.5</v>
      </c>
      <c r="AZ548">
        <v>0</v>
      </c>
      <c r="BA548">
        <v>0</v>
      </c>
      <c r="BB548">
        <v>324</v>
      </c>
      <c r="BC548">
        <v>356.4</v>
      </c>
      <c r="BD548">
        <v>324</v>
      </c>
      <c r="BE548">
        <v>324</v>
      </c>
      <c r="BF548">
        <v>324</v>
      </c>
      <c r="BG548">
        <v>324</v>
      </c>
      <c r="BH548">
        <v>202.5</v>
      </c>
      <c r="BI548">
        <v>0</v>
      </c>
      <c r="BJ548">
        <v>0</v>
      </c>
      <c r="BK548">
        <v>243</v>
      </c>
      <c r="BL548">
        <v>250.36363636363637</v>
      </c>
      <c r="BM548">
        <v>259.2</v>
      </c>
      <c r="BN548">
        <v>243</v>
      </c>
      <c r="BO548">
        <v>243</v>
      </c>
      <c r="BP548">
        <v>202.5</v>
      </c>
      <c r="BQ548">
        <f>(I548+J548+N548+O548)/4</f>
        <v>5</v>
      </c>
      <c r="BR548">
        <f>(K548+L548+M548)/3</f>
        <v>5.1777777777777771</v>
      </c>
      <c r="BS548">
        <f>BQ548/BR548</f>
        <v>0.96566523605150223</v>
      </c>
      <c r="BT548">
        <f>AQ548/I548</f>
        <v>81</v>
      </c>
      <c r="BU548" t="str">
        <f>IF(OR(A548=2, A548=12), "Central", IF(A548=3, "Semi-Central", "Periférica"))</f>
        <v>Periférica</v>
      </c>
    </row>
    <row r="549" spans="1:73" x14ac:dyDescent="0.3">
      <c r="A549" s="1">
        <v>10</v>
      </c>
      <c r="B549" s="1">
        <v>1043</v>
      </c>
      <c r="C549" s="1" t="s">
        <v>266</v>
      </c>
      <c r="D549" t="s">
        <v>5</v>
      </c>
      <c r="E549" t="s">
        <v>0</v>
      </c>
      <c r="F549">
        <v>0</v>
      </c>
      <c r="G549">
        <v>1.1111111111111109</v>
      </c>
      <c r="H549">
        <v>8</v>
      </c>
      <c r="I549">
        <v>7.333333333333333</v>
      </c>
      <c r="J549">
        <v>6</v>
      </c>
      <c r="K549">
        <v>7</v>
      </c>
      <c r="L549">
        <v>6.666666666666667</v>
      </c>
      <c r="M549">
        <v>7.2</v>
      </c>
      <c r="N549">
        <v>6.5</v>
      </c>
      <c r="O549">
        <v>7</v>
      </c>
      <c r="P549">
        <v>5.333333333333333</v>
      </c>
      <c r="Q549">
        <v>5</v>
      </c>
      <c r="R549">
        <v>0</v>
      </c>
      <c r="S549">
        <v>0</v>
      </c>
      <c r="T549">
        <v>5</v>
      </c>
      <c r="U549">
        <v>6</v>
      </c>
      <c r="V549">
        <v>5.333333333333333</v>
      </c>
      <c r="W549">
        <v>5.333333333333333</v>
      </c>
      <c r="X549">
        <v>4.8888888888888893</v>
      </c>
      <c r="Y549">
        <v>4.4000000000000004</v>
      </c>
      <c r="Z549">
        <v>4</v>
      </c>
      <c r="AA549">
        <v>0</v>
      </c>
      <c r="AB549">
        <v>0</v>
      </c>
      <c r="AC549">
        <v>4.5</v>
      </c>
      <c r="AD549">
        <v>5.0909090909090908</v>
      </c>
      <c r="AE549">
        <v>4.8</v>
      </c>
      <c r="AF549">
        <v>5</v>
      </c>
      <c r="AG549">
        <v>5</v>
      </c>
      <c r="AH549">
        <v>4</v>
      </c>
      <c r="AI549" s="1">
        <v>10</v>
      </c>
      <c r="AJ549" s="1">
        <v>1043</v>
      </c>
      <c r="AK549" s="1" t="s">
        <v>266</v>
      </c>
      <c r="AL549" t="s">
        <v>5</v>
      </c>
      <c r="AM549" t="s">
        <v>0</v>
      </c>
      <c r="AN549">
        <v>0</v>
      </c>
      <c r="AO549">
        <v>100</v>
      </c>
      <c r="AP549">
        <v>720</v>
      </c>
      <c r="AQ549">
        <v>660</v>
      </c>
      <c r="AR549">
        <v>540</v>
      </c>
      <c r="AS549">
        <v>630</v>
      </c>
      <c r="AT549">
        <v>600</v>
      </c>
      <c r="AU549">
        <v>648</v>
      </c>
      <c r="AV549">
        <v>585</v>
      </c>
      <c r="AW549">
        <v>630</v>
      </c>
      <c r="AX549">
        <v>480</v>
      </c>
      <c r="AY549">
        <v>450</v>
      </c>
      <c r="AZ549">
        <v>0</v>
      </c>
      <c r="BA549">
        <v>0</v>
      </c>
      <c r="BB549">
        <v>450</v>
      </c>
      <c r="BC549">
        <v>540</v>
      </c>
      <c r="BD549">
        <v>480</v>
      </c>
      <c r="BE549">
        <v>480</v>
      </c>
      <c r="BF549">
        <v>440</v>
      </c>
      <c r="BG549">
        <v>396</v>
      </c>
      <c r="BH549">
        <v>360</v>
      </c>
      <c r="BI549">
        <v>0</v>
      </c>
      <c r="BJ549">
        <v>0</v>
      </c>
      <c r="BK549">
        <v>405</v>
      </c>
      <c r="BL549">
        <v>458.18181818181819</v>
      </c>
      <c r="BM549">
        <v>432</v>
      </c>
      <c r="BN549">
        <v>450</v>
      </c>
      <c r="BO549">
        <v>450</v>
      </c>
      <c r="BP549">
        <v>360</v>
      </c>
      <c r="BQ549">
        <f>(I549+J549+N549+O549)/4</f>
        <v>6.708333333333333</v>
      </c>
      <c r="BR549">
        <f>(K549+L549+M549)/3</f>
        <v>6.9555555555555557</v>
      </c>
      <c r="BS549">
        <f>BQ549/BR549</f>
        <v>0.96445686900958461</v>
      </c>
      <c r="BT549">
        <f>AQ549/I549</f>
        <v>90</v>
      </c>
      <c r="BU549" t="str">
        <f>IF(OR(A549=2, A549=12), "Central", IF(A549=3, "Semi-Central", "Periférica"))</f>
        <v>Periférica</v>
      </c>
    </row>
    <row r="550" spans="1:73" x14ac:dyDescent="0.3">
      <c r="A550" s="1">
        <v>8</v>
      </c>
      <c r="B550" s="1">
        <v>812</v>
      </c>
      <c r="C550" s="1">
        <v>120</v>
      </c>
      <c r="D550" t="s">
        <v>5</v>
      </c>
      <c r="F550">
        <v>0</v>
      </c>
      <c r="G550">
        <v>1.555555555555556</v>
      </c>
      <c r="H550">
        <v>6</v>
      </c>
      <c r="I550">
        <v>5.333333333333333</v>
      </c>
      <c r="J550">
        <v>4.666666666666667</v>
      </c>
      <c r="K550">
        <v>5</v>
      </c>
      <c r="L550">
        <v>4.666666666666667</v>
      </c>
      <c r="M550">
        <v>6</v>
      </c>
      <c r="N550">
        <v>5</v>
      </c>
      <c r="O550">
        <v>5</v>
      </c>
      <c r="P550">
        <v>4.666666666666667</v>
      </c>
      <c r="Q550">
        <v>3</v>
      </c>
      <c r="R550">
        <v>0</v>
      </c>
      <c r="S550">
        <v>0.66666666666666663</v>
      </c>
      <c r="T550">
        <v>3</v>
      </c>
      <c r="U550">
        <v>4</v>
      </c>
      <c r="V550">
        <v>4</v>
      </c>
      <c r="W550">
        <v>4.333333333333333</v>
      </c>
      <c r="X550">
        <v>4</v>
      </c>
      <c r="Y550">
        <v>2.8</v>
      </c>
      <c r="Z550">
        <v>2.5</v>
      </c>
      <c r="AA550">
        <v>0</v>
      </c>
      <c r="AB550">
        <v>0.66666666666666663</v>
      </c>
      <c r="AC550">
        <v>3</v>
      </c>
      <c r="AD550">
        <v>3.6363636363636358</v>
      </c>
      <c r="AE550">
        <v>3.6</v>
      </c>
      <c r="AF550">
        <v>3</v>
      </c>
      <c r="AG550">
        <v>4</v>
      </c>
      <c r="AH550">
        <v>2.5</v>
      </c>
      <c r="AI550" s="1">
        <v>8</v>
      </c>
      <c r="AJ550" s="1">
        <v>812</v>
      </c>
      <c r="AK550" s="1">
        <v>120</v>
      </c>
      <c r="AL550" t="s">
        <v>5</v>
      </c>
      <c r="AN550">
        <v>0</v>
      </c>
      <c r="AO550">
        <v>140</v>
      </c>
      <c r="AP550">
        <v>540</v>
      </c>
      <c r="AQ550">
        <v>480</v>
      </c>
      <c r="AR550">
        <v>420</v>
      </c>
      <c r="AS550">
        <v>450</v>
      </c>
      <c r="AT550">
        <v>420</v>
      </c>
      <c r="AU550">
        <v>540</v>
      </c>
      <c r="AV550">
        <v>450</v>
      </c>
      <c r="AW550">
        <v>450</v>
      </c>
      <c r="AX550">
        <v>420</v>
      </c>
      <c r="AY550">
        <v>270</v>
      </c>
      <c r="AZ550">
        <v>0</v>
      </c>
      <c r="BA550">
        <v>60</v>
      </c>
      <c r="BB550">
        <v>270</v>
      </c>
      <c r="BC550">
        <v>360</v>
      </c>
      <c r="BD550">
        <v>360</v>
      </c>
      <c r="BE550">
        <v>390</v>
      </c>
      <c r="BF550">
        <v>360</v>
      </c>
      <c r="BG550">
        <v>252</v>
      </c>
      <c r="BH550">
        <v>225</v>
      </c>
      <c r="BI550">
        <v>0</v>
      </c>
      <c r="BJ550">
        <v>60</v>
      </c>
      <c r="BK550">
        <v>270</v>
      </c>
      <c r="BL550">
        <v>327.27272727272731</v>
      </c>
      <c r="BM550">
        <v>324</v>
      </c>
      <c r="BN550">
        <v>270</v>
      </c>
      <c r="BO550">
        <v>360</v>
      </c>
      <c r="BP550">
        <v>225</v>
      </c>
      <c r="BQ550">
        <f>(I550+J550+N550+O550)/4</f>
        <v>5</v>
      </c>
      <c r="BR550">
        <f>(K550+L550+M550)/3</f>
        <v>5.2222222222222223</v>
      </c>
      <c r="BS550">
        <f>BQ550/BR550</f>
        <v>0.95744680851063824</v>
      </c>
      <c r="BT550">
        <f>AQ550/I550</f>
        <v>90</v>
      </c>
      <c r="BU550" t="str">
        <f>IF(OR(A550=2, A550=12), "Central", IF(A550=3, "Semi-Central", "Periférica"))</f>
        <v>Periférica</v>
      </c>
    </row>
    <row r="551" spans="1:73" x14ac:dyDescent="0.3">
      <c r="A551" s="1">
        <v>11</v>
      </c>
      <c r="B551" s="1">
        <v>1121</v>
      </c>
      <c r="C551" s="1" t="s">
        <v>265</v>
      </c>
      <c r="D551" t="s">
        <v>5</v>
      </c>
      <c r="F551">
        <v>0</v>
      </c>
      <c r="G551">
        <v>0</v>
      </c>
      <c r="H551">
        <v>3</v>
      </c>
      <c r="I551">
        <v>4.666666666666667</v>
      </c>
      <c r="J551">
        <v>4.666666666666667</v>
      </c>
      <c r="K551">
        <v>4.666666666666667</v>
      </c>
      <c r="L551">
        <v>5.333333333333333</v>
      </c>
      <c r="M551">
        <v>4.8</v>
      </c>
      <c r="N551">
        <v>5</v>
      </c>
      <c r="O551">
        <v>4.5</v>
      </c>
      <c r="P551">
        <v>3.333333333333333</v>
      </c>
      <c r="Q551">
        <v>1.5</v>
      </c>
      <c r="R551">
        <v>0</v>
      </c>
      <c r="S551">
        <v>0</v>
      </c>
      <c r="T551">
        <v>3</v>
      </c>
      <c r="U551">
        <v>3.2</v>
      </c>
      <c r="V551">
        <v>3.666666666666667</v>
      </c>
      <c r="W551">
        <v>3.666666666666667</v>
      </c>
      <c r="X551">
        <v>3.1111111111111112</v>
      </c>
      <c r="Y551">
        <v>2.8</v>
      </c>
      <c r="Z551">
        <v>1.5</v>
      </c>
      <c r="AA551">
        <v>0</v>
      </c>
      <c r="AB551">
        <v>0</v>
      </c>
      <c r="AC551">
        <v>2</v>
      </c>
      <c r="AD551">
        <v>3.0909090909090908</v>
      </c>
      <c r="AE551">
        <v>3</v>
      </c>
      <c r="AF551">
        <v>3</v>
      </c>
      <c r="AG551">
        <v>3</v>
      </c>
      <c r="AH551">
        <v>1.5</v>
      </c>
      <c r="AI551" s="1">
        <v>11</v>
      </c>
      <c r="AJ551" s="1">
        <v>1121</v>
      </c>
      <c r="AK551" s="1" t="s">
        <v>265</v>
      </c>
      <c r="AL551" t="s">
        <v>5</v>
      </c>
      <c r="AN551">
        <v>0</v>
      </c>
      <c r="AO551">
        <v>0</v>
      </c>
      <c r="AP551">
        <v>270</v>
      </c>
      <c r="AQ551">
        <v>420</v>
      </c>
      <c r="AR551">
        <v>420</v>
      </c>
      <c r="AS551">
        <v>420</v>
      </c>
      <c r="AT551">
        <v>480</v>
      </c>
      <c r="AU551">
        <v>432</v>
      </c>
      <c r="AV551">
        <v>450</v>
      </c>
      <c r="AW551">
        <v>405</v>
      </c>
      <c r="AX551">
        <v>300</v>
      </c>
      <c r="AY551">
        <v>135</v>
      </c>
      <c r="AZ551">
        <v>0</v>
      </c>
      <c r="BA551">
        <v>0</v>
      </c>
      <c r="BB551">
        <v>270</v>
      </c>
      <c r="BC551">
        <v>288</v>
      </c>
      <c r="BD551">
        <v>330</v>
      </c>
      <c r="BE551">
        <v>330</v>
      </c>
      <c r="BF551">
        <v>280</v>
      </c>
      <c r="BG551">
        <v>252</v>
      </c>
      <c r="BH551">
        <v>135</v>
      </c>
      <c r="BI551">
        <v>0</v>
      </c>
      <c r="BJ551">
        <v>0</v>
      </c>
      <c r="BK551">
        <v>180</v>
      </c>
      <c r="BL551">
        <v>278.18181818181819</v>
      </c>
      <c r="BM551">
        <v>270</v>
      </c>
      <c r="BN551">
        <v>270</v>
      </c>
      <c r="BO551">
        <v>270</v>
      </c>
      <c r="BP551">
        <v>135</v>
      </c>
      <c r="BQ551">
        <f>(I551+J551+N551+O551)/4</f>
        <v>4.7083333333333339</v>
      </c>
      <c r="BR551">
        <f>(K551+L551+M551)/3</f>
        <v>4.9333333333333336</v>
      </c>
      <c r="BS551">
        <f>BQ551/BR551</f>
        <v>0.954391891891892</v>
      </c>
      <c r="BT551">
        <f>AQ551/I551</f>
        <v>90</v>
      </c>
      <c r="BU551" t="str">
        <f>IF(OR(A551=2, A551=12), "Central", IF(A551=3, "Semi-Central", "Periférica"))</f>
        <v>Periférica</v>
      </c>
    </row>
    <row r="552" spans="1:73" x14ac:dyDescent="0.3">
      <c r="A552" s="1">
        <v>9</v>
      </c>
      <c r="B552" s="1">
        <v>918</v>
      </c>
      <c r="C552" s="1" t="s">
        <v>264</v>
      </c>
      <c r="D552" t="s">
        <v>1</v>
      </c>
      <c r="F552">
        <v>0</v>
      </c>
      <c r="G552">
        <v>0</v>
      </c>
      <c r="H552">
        <v>7</v>
      </c>
      <c r="I552">
        <v>6</v>
      </c>
      <c r="J552">
        <v>6.666666666666667</v>
      </c>
      <c r="K552">
        <v>6.333333333333333</v>
      </c>
      <c r="L552">
        <v>6.666666666666667</v>
      </c>
      <c r="M552">
        <v>7.2</v>
      </c>
      <c r="N552">
        <v>7</v>
      </c>
      <c r="O552">
        <v>6</v>
      </c>
      <c r="P552">
        <v>4.666666666666667</v>
      </c>
      <c r="Q552">
        <v>2</v>
      </c>
      <c r="R552">
        <v>0</v>
      </c>
      <c r="S552">
        <v>0</v>
      </c>
      <c r="T552">
        <v>4</v>
      </c>
      <c r="U552">
        <v>6</v>
      </c>
      <c r="V552">
        <v>5</v>
      </c>
      <c r="W552">
        <v>5</v>
      </c>
      <c r="X552">
        <v>4.2222222222222223</v>
      </c>
      <c r="Y552">
        <v>2.8</v>
      </c>
      <c r="Z552">
        <v>2</v>
      </c>
      <c r="AA552">
        <v>0</v>
      </c>
      <c r="AB552">
        <v>0</v>
      </c>
      <c r="AC552">
        <v>2.5</v>
      </c>
      <c r="AD552">
        <v>3.2727272727272729</v>
      </c>
      <c r="AE552">
        <v>3.6</v>
      </c>
      <c r="AF552">
        <v>3</v>
      </c>
      <c r="AG552">
        <v>3</v>
      </c>
      <c r="AH552">
        <v>2</v>
      </c>
      <c r="AI552" s="1">
        <v>9</v>
      </c>
      <c r="AJ552" s="1">
        <v>918</v>
      </c>
      <c r="AK552" s="1" t="s">
        <v>264</v>
      </c>
      <c r="AL552" t="s">
        <v>1</v>
      </c>
      <c r="AN552">
        <v>0</v>
      </c>
      <c r="AO552">
        <v>0</v>
      </c>
      <c r="AP552">
        <v>630</v>
      </c>
      <c r="AQ552">
        <v>540</v>
      </c>
      <c r="AR552">
        <v>600</v>
      </c>
      <c r="AS552">
        <v>570</v>
      </c>
      <c r="AT552">
        <v>600</v>
      </c>
      <c r="AU552">
        <v>648</v>
      </c>
      <c r="AV552">
        <v>630</v>
      </c>
      <c r="AW552">
        <v>540</v>
      </c>
      <c r="AX552">
        <v>420</v>
      </c>
      <c r="AY552">
        <v>180</v>
      </c>
      <c r="AZ552">
        <v>0</v>
      </c>
      <c r="BA552">
        <v>0</v>
      </c>
      <c r="BB552">
        <v>360</v>
      </c>
      <c r="BC552">
        <v>540</v>
      </c>
      <c r="BD552">
        <v>450</v>
      </c>
      <c r="BE552">
        <v>450</v>
      </c>
      <c r="BF552">
        <v>380</v>
      </c>
      <c r="BG552">
        <v>252</v>
      </c>
      <c r="BH552">
        <v>180</v>
      </c>
      <c r="BI552">
        <v>0</v>
      </c>
      <c r="BJ552">
        <v>0</v>
      </c>
      <c r="BK552">
        <v>225</v>
      </c>
      <c r="BL552">
        <v>294.54545454545462</v>
      </c>
      <c r="BM552">
        <v>324</v>
      </c>
      <c r="BN552">
        <v>270</v>
      </c>
      <c r="BO552">
        <v>270</v>
      </c>
      <c r="BP552">
        <v>180</v>
      </c>
      <c r="BQ552">
        <f>(I552+J552+N552+O552)/4</f>
        <v>6.416666666666667</v>
      </c>
      <c r="BR552">
        <f>(K552+L552+M552)/3</f>
        <v>6.7333333333333334</v>
      </c>
      <c r="BS552">
        <f>BQ552/BR552</f>
        <v>0.95297029702970304</v>
      </c>
      <c r="BT552">
        <f>AQ552/I552</f>
        <v>90</v>
      </c>
      <c r="BU552" t="str">
        <f>IF(OR(A552=2, A552=12), "Central", IF(A552=3, "Semi-Central", "Periférica"))</f>
        <v>Periférica</v>
      </c>
    </row>
    <row r="553" spans="1:73" x14ac:dyDescent="0.3">
      <c r="A553" s="1">
        <v>12</v>
      </c>
      <c r="B553" s="1">
        <v>1203</v>
      </c>
      <c r="C553" s="1" t="s">
        <v>257</v>
      </c>
      <c r="D553" t="s">
        <v>1</v>
      </c>
      <c r="E553" t="s">
        <v>0</v>
      </c>
      <c r="F553">
        <v>0</v>
      </c>
      <c r="G553">
        <v>0</v>
      </c>
      <c r="H553">
        <v>5</v>
      </c>
      <c r="I553">
        <v>8</v>
      </c>
      <c r="J553">
        <v>6.666666666666667</v>
      </c>
      <c r="K553">
        <v>7</v>
      </c>
      <c r="L553">
        <v>8</v>
      </c>
      <c r="M553">
        <v>6.8</v>
      </c>
      <c r="N553">
        <v>7</v>
      </c>
      <c r="O553">
        <v>6</v>
      </c>
      <c r="P553">
        <v>5.333333333333333</v>
      </c>
      <c r="Q553">
        <v>4.5</v>
      </c>
      <c r="R553">
        <v>0</v>
      </c>
      <c r="S553">
        <v>0</v>
      </c>
      <c r="T553">
        <v>2</v>
      </c>
      <c r="U553">
        <v>5.2</v>
      </c>
      <c r="V553">
        <v>5</v>
      </c>
      <c r="W553">
        <v>5.333333333333333</v>
      </c>
      <c r="X553">
        <v>4.8888888888888893</v>
      </c>
      <c r="Y553">
        <v>4</v>
      </c>
      <c r="Z553">
        <v>3.5</v>
      </c>
      <c r="AA553">
        <v>0</v>
      </c>
      <c r="AB553">
        <v>0</v>
      </c>
      <c r="AC553">
        <v>2.5</v>
      </c>
      <c r="AD553">
        <v>3.6363636363636358</v>
      </c>
      <c r="AE553">
        <v>4</v>
      </c>
      <c r="AF553">
        <v>4</v>
      </c>
      <c r="AG553">
        <v>3</v>
      </c>
      <c r="AH553">
        <v>3.5</v>
      </c>
      <c r="AI553" s="1">
        <v>12</v>
      </c>
      <c r="AJ553" s="1">
        <v>1203</v>
      </c>
      <c r="AK553" s="1" t="s">
        <v>257</v>
      </c>
      <c r="AL553" t="s">
        <v>1</v>
      </c>
      <c r="AM553" t="s">
        <v>0</v>
      </c>
      <c r="AN553">
        <v>0</v>
      </c>
      <c r="AO553">
        <v>0</v>
      </c>
      <c r="AP553">
        <v>450</v>
      </c>
      <c r="AQ553">
        <v>720</v>
      </c>
      <c r="AR553">
        <v>600</v>
      </c>
      <c r="AS553">
        <v>630</v>
      </c>
      <c r="AT553">
        <v>720</v>
      </c>
      <c r="AU553">
        <v>612</v>
      </c>
      <c r="AV553">
        <v>630</v>
      </c>
      <c r="AW553">
        <v>540</v>
      </c>
      <c r="AX553">
        <v>480</v>
      </c>
      <c r="AY553">
        <v>405</v>
      </c>
      <c r="AZ553">
        <v>0</v>
      </c>
      <c r="BA553">
        <v>0</v>
      </c>
      <c r="BB553">
        <v>180</v>
      </c>
      <c r="BC553">
        <v>468</v>
      </c>
      <c r="BD553">
        <v>450</v>
      </c>
      <c r="BE553">
        <v>480</v>
      </c>
      <c r="BF553">
        <v>440</v>
      </c>
      <c r="BG553">
        <v>360</v>
      </c>
      <c r="BH553">
        <v>315</v>
      </c>
      <c r="BI553">
        <v>0</v>
      </c>
      <c r="BJ553">
        <v>0</v>
      </c>
      <c r="BK553">
        <v>225</v>
      </c>
      <c r="BL553">
        <v>327.27272727272731</v>
      </c>
      <c r="BM553">
        <v>360</v>
      </c>
      <c r="BN553">
        <v>360</v>
      </c>
      <c r="BO553">
        <v>270</v>
      </c>
      <c r="BP553">
        <v>315</v>
      </c>
      <c r="BQ553">
        <f>(I553+J553+N553+O553)/4</f>
        <v>6.916666666666667</v>
      </c>
      <c r="BR553">
        <f>(K553+L553+M553)/3</f>
        <v>7.2666666666666666</v>
      </c>
      <c r="BS553">
        <f>BQ553/BR553</f>
        <v>0.95183486238532111</v>
      </c>
      <c r="BT553">
        <f>AQ553/I553</f>
        <v>90</v>
      </c>
      <c r="BU553" t="str">
        <f>IF(OR(A553=2, A553=12), "Central", IF(A553=3, "Semi-Central", "Periférica"))</f>
        <v>Central</v>
      </c>
    </row>
    <row r="554" spans="1:73" x14ac:dyDescent="0.3">
      <c r="A554" s="1">
        <v>12</v>
      </c>
      <c r="B554" s="1">
        <v>1207</v>
      </c>
      <c r="C554" s="1" t="s">
        <v>256</v>
      </c>
      <c r="D554" t="s">
        <v>1</v>
      </c>
      <c r="E554" t="s">
        <v>0</v>
      </c>
      <c r="F554">
        <v>2</v>
      </c>
      <c r="G554">
        <v>0</v>
      </c>
      <c r="H554">
        <v>5</v>
      </c>
      <c r="I554">
        <v>6.666666666666667</v>
      </c>
      <c r="J554">
        <v>4.666666666666667</v>
      </c>
      <c r="K554">
        <v>6</v>
      </c>
      <c r="L554">
        <v>6</v>
      </c>
      <c r="M554">
        <v>6</v>
      </c>
      <c r="N554">
        <v>6</v>
      </c>
      <c r="O554">
        <v>5.5</v>
      </c>
      <c r="P554">
        <v>4.666666666666667</v>
      </c>
      <c r="Q554">
        <v>4</v>
      </c>
      <c r="R554">
        <v>2</v>
      </c>
      <c r="S554">
        <v>0</v>
      </c>
      <c r="T554">
        <v>2</v>
      </c>
      <c r="U554">
        <v>4</v>
      </c>
      <c r="V554">
        <v>4</v>
      </c>
      <c r="W554">
        <v>4</v>
      </c>
      <c r="X554">
        <v>4</v>
      </c>
      <c r="Y554">
        <v>3.2</v>
      </c>
      <c r="Z554">
        <v>3</v>
      </c>
      <c r="AA554">
        <v>2</v>
      </c>
      <c r="AB554">
        <v>0</v>
      </c>
      <c r="AC554">
        <v>2.5</v>
      </c>
      <c r="AD554">
        <v>3.454545454545455</v>
      </c>
      <c r="AE554">
        <v>3.4</v>
      </c>
      <c r="AF554">
        <v>3</v>
      </c>
      <c r="AG554">
        <v>3</v>
      </c>
      <c r="AH554">
        <v>3</v>
      </c>
      <c r="AI554" s="1">
        <v>12</v>
      </c>
      <c r="AJ554" s="1">
        <v>1207</v>
      </c>
      <c r="AK554" s="1" t="s">
        <v>256</v>
      </c>
      <c r="AL554" t="s">
        <v>1</v>
      </c>
      <c r="AM554" t="s">
        <v>0</v>
      </c>
      <c r="AN554">
        <v>180</v>
      </c>
      <c r="AO554">
        <v>0</v>
      </c>
      <c r="AP554">
        <v>450</v>
      </c>
      <c r="AQ554">
        <v>600</v>
      </c>
      <c r="AR554">
        <v>420</v>
      </c>
      <c r="AS554">
        <v>540</v>
      </c>
      <c r="AT554">
        <v>540</v>
      </c>
      <c r="AU554">
        <v>540</v>
      </c>
      <c r="AV554">
        <v>540</v>
      </c>
      <c r="AW554">
        <v>495</v>
      </c>
      <c r="AX554">
        <v>420</v>
      </c>
      <c r="AY554">
        <v>360</v>
      </c>
      <c r="AZ554">
        <v>180</v>
      </c>
      <c r="BA554">
        <v>0</v>
      </c>
      <c r="BB554">
        <v>180</v>
      </c>
      <c r="BC554">
        <v>360</v>
      </c>
      <c r="BD554">
        <v>360</v>
      </c>
      <c r="BE554">
        <v>360</v>
      </c>
      <c r="BF554">
        <v>360</v>
      </c>
      <c r="BG554">
        <v>288</v>
      </c>
      <c r="BH554">
        <v>270</v>
      </c>
      <c r="BI554">
        <v>180</v>
      </c>
      <c r="BJ554">
        <v>0</v>
      </c>
      <c r="BK554">
        <v>225</v>
      </c>
      <c r="BL554">
        <v>310.90909090909088</v>
      </c>
      <c r="BM554">
        <v>306</v>
      </c>
      <c r="BN554">
        <v>270</v>
      </c>
      <c r="BO554">
        <v>270</v>
      </c>
      <c r="BP554">
        <v>270</v>
      </c>
      <c r="BQ554">
        <f>(I554+J554+N554+O554)/4</f>
        <v>5.7083333333333339</v>
      </c>
      <c r="BR554">
        <f>(K554+L554+M554)/3</f>
        <v>6</v>
      </c>
      <c r="BS554">
        <f>BQ554/BR554</f>
        <v>0.95138888888888895</v>
      </c>
      <c r="BT554">
        <f>AQ554/I554</f>
        <v>90</v>
      </c>
      <c r="BU554" t="str">
        <f>IF(OR(A554=2, A554=12), "Central", IF(A554=3, "Semi-Central", "Periférica"))</f>
        <v>Central</v>
      </c>
    </row>
    <row r="555" spans="1:73" x14ac:dyDescent="0.3">
      <c r="A555" s="1">
        <v>12</v>
      </c>
      <c r="B555" s="1">
        <v>1201</v>
      </c>
      <c r="C555" s="1" t="s">
        <v>89</v>
      </c>
      <c r="D555" t="s">
        <v>5</v>
      </c>
      <c r="E555" t="s">
        <v>0</v>
      </c>
      <c r="F555">
        <v>0</v>
      </c>
      <c r="G555">
        <v>0</v>
      </c>
      <c r="H555">
        <v>2</v>
      </c>
      <c r="I555">
        <v>5.333333333333333</v>
      </c>
      <c r="J555">
        <v>4</v>
      </c>
      <c r="K555">
        <v>5</v>
      </c>
      <c r="L555">
        <v>4.666666666666667</v>
      </c>
      <c r="M555">
        <v>4.4000000000000004</v>
      </c>
      <c r="N555">
        <v>4.5</v>
      </c>
      <c r="O555">
        <v>4</v>
      </c>
      <c r="P555">
        <v>4</v>
      </c>
      <c r="Q555">
        <v>3.5</v>
      </c>
      <c r="R555">
        <v>0</v>
      </c>
      <c r="S555">
        <v>0</v>
      </c>
      <c r="T555">
        <v>1</v>
      </c>
      <c r="U555">
        <v>4.4000000000000004</v>
      </c>
      <c r="V555">
        <v>4.666666666666667</v>
      </c>
      <c r="W555">
        <v>4</v>
      </c>
      <c r="X555">
        <v>3.1111111111111112</v>
      </c>
      <c r="Y555">
        <v>2.4</v>
      </c>
      <c r="Z555">
        <v>3</v>
      </c>
      <c r="AA555">
        <v>0</v>
      </c>
      <c r="AB555">
        <v>0</v>
      </c>
      <c r="AC555">
        <v>2</v>
      </c>
      <c r="AD555">
        <v>2.9090909090909092</v>
      </c>
      <c r="AE555">
        <v>3.2</v>
      </c>
      <c r="AF555">
        <v>2.666666666666667</v>
      </c>
      <c r="AG555">
        <v>3</v>
      </c>
      <c r="AH555">
        <v>3.5</v>
      </c>
      <c r="AI555" s="1">
        <v>12</v>
      </c>
      <c r="AJ555" s="1">
        <v>1201</v>
      </c>
      <c r="AK555" s="1" t="s">
        <v>89</v>
      </c>
      <c r="AL555" t="s">
        <v>5</v>
      </c>
      <c r="AM555" t="s">
        <v>0</v>
      </c>
      <c r="AN555">
        <v>0</v>
      </c>
      <c r="AO555">
        <v>0</v>
      </c>
      <c r="AP555">
        <v>180</v>
      </c>
      <c r="AQ555">
        <v>480</v>
      </c>
      <c r="AR555">
        <v>360</v>
      </c>
      <c r="AS555">
        <v>450</v>
      </c>
      <c r="AT555">
        <v>420</v>
      </c>
      <c r="AU555">
        <v>396</v>
      </c>
      <c r="AV555">
        <v>405</v>
      </c>
      <c r="AW555">
        <v>360</v>
      </c>
      <c r="AX555">
        <v>360</v>
      </c>
      <c r="AY555">
        <v>315</v>
      </c>
      <c r="AZ555">
        <v>0</v>
      </c>
      <c r="BA555">
        <v>0</v>
      </c>
      <c r="BB555">
        <v>90</v>
      </c>
      <c r="BC555">
        <v>396</v>
      </c>
      <c r="BD555">
        <v>420</v>
      </c>
      <c r="BE555">
        <v>360</v>
      </c>
      <c r="BF555">
        <v>280</v>
      </c>
      <c r="BG555">
        <v>216</v>
      </c>
      <c r="BH555">
        <v>270</v>
      </c>
      <c r="BI555">
        <v>0</v>
      </c>
      <c r="BJ555">
        <v>0</v>
      </c>
      <c r="BK555">
        <v>180</v>
      </c>
      <c r="BL555">
        <v>261.81818181818181</v>
      </c>
      <c r="BM555">
        <v>288</v>
      </c>
      <c r="BN555">
        <v>240</v>
      </c>
      <c r="BO555">
        <v>270</v>
      </c>
      <c r="BP555">
        <v>315</v>
      </c>
      <c r="BQ555">
        <f>(I555+J555+N555+O555)/4</f>
        <v>4.458333333333333</v>
      </c>
      <c r="BR555">
        <f>(K555+L555+M555)/3</f>
        <v>4.6888888888888891</v>
      </c>
      <c r="BS555">
        <f>BQ555/BR555</f>
        <v>0.95082938388625582</v>
      </c>
      <c r="BT555">
        <f>AQ555/I555</f>
        <v>90</v>
      </c>
      <c r="BU555" t="str">
        <f>IF(OR(A555=2, A555=12), "Central", IF(A555=3, "Semi-Central", "Periférica"))</f>
        <v>Central</v>
      </c>
    </row>
    <row r="556" spans="1:73" x14ac:dyDescent="0.3">
      <c r="A556" s="1">
        <v>5</v>
      </c>
      <c r="B556" s="1">
        <v>526</v>
      </c>
      <c r="C556" s="1" t="s">
        <v>263</v>
      </c>
      <c r="D556" t="s">
        <v>5</v>
      </c>
      <c r="E556" t="s">
        <v>0</v>
      </c>
      <c r="F556">
        <v>0</v>
      </c>
      <c r="G556">
        <v>0</v>
      </c>
      <c r="H556">
        <v>1</v>
      </c>
      <c r="I556">
        <v>2</v>
      </c>
      <c r="J556">
        <v>1.3333333333333333</v>
      </c>
      <c r="K556">
        <v>1.6666666666666667</v>
      </c>
      <c r="L556">
        <v>1.3333333333333333</v>
      </c>
      <c r="M556">
        <v>2</v>
      </c>
      <c r="N556">
        <v>1.5</v>
      </c>
      <c r="O556">
        <v>1.5</v>
      </c>
      <c r="P556">
        <v>2</v>
      </c>
      <c r="Q556">
        <v>1</v>
      </c>
      <c r="R556">
        <v>0</v>
      </c>
      <c r="S556">
        <v>0</v>
      </c>
      <c r="T556">
        <v>2</v>
      </c>
      <c r="U556">
        <v>1.6</v>
      </c>
      <c r="V556">
        <v>1.3333333333333333</v>
      </c>
      <c r="W556">
        <v>1.6666666666666667</v>
      </c>
      <c r="X556">
        <v>1.5555555555555556</v>
      </c>
      <c r="Y556">
        <v>2</v>
      </c>
      <c r="Z556">
        <v>1</v>
      </c>
      <c r="AA556">
        <v>0</v>
      </c>
      <c r="AB556">
        <v>0</v>
      </c>
      <c r="AC556">
        <v>0</v>
      </c>
      <c r="AD556">
        <v>1.4545454545454546</v>
      </c>
      <c r="AE556">
        <v>1.4</v>
      </c>
      <c r="AF556">
        <v>1.6666666666666667</v>
      </c>
      <c r="AG556">
        <v>2</v>
      </c>
      <c r="AH556">
        <v>1</v>
      </c>
      <c r="AI556" s="1">
        <v>5</v>
      </c>
      <c r="AJ556" s="1">
        <v>526</v>
      </c>
      <c r="AK556" s="1" t="s">
        <v>263</v>
      </c>
      <c r="AL556" t="s">
        <v>5</v>
      </c>
      <c r="AM556" t="s">
        <v>0</v>
      </c>
      <c r="AN556">
        <v>0</v>
      </c>
      <c r="AO556">
        <v>0</v>
      </c>
      <c r="AP556">
        <v>47</v>
      </c>
      <c r="AQ556">
        <v>94</v>
      </c>
      <c r="AR556">
        <v>62.666666666666664</v>
      </c>
      <c r="AS556">
        <v>78.333333333333329</v>
      </c>
      <c r="AT556">
        <v>62.666666666666664</v>
      </c>
      <c r="AU556">
        <v>94</v>
      </c>
      <c r="AV556">
        <v>70.5</v>
      </c>
      <c r="AW556">
        <v>70.5</v>
      </c>
      <c r="AX556">
        <v>94</v>
      </c>
      <c r="AY556">
        <v>47</v>
      </c>
      <c r="AZ556">
        <v>0</v>
      </c>
      <c r="BA556">
        <v>0</v>
      </c>
      <c r="BB556">
        <v>94</v>
      </c>
      <c r="BC556">
        <v>75.2</v>
      </c>
      <c r="BD556">
        <v>62.666666666666664</v>
      </c>
      <c r="BE556">
        <v>78.333333333333329</v>
      </c>
      <c r="BF556">
        <v>73.111111111111114</v>
      </c>
      <c r="BG556">
        <v>94</v>
      </c>
      <c r="BH556">
        <v>47</v>
      </c>
      <c r="BI556">
        <v>0</v>
      </c>
      <c r="BJ556">
        <v>0</v>
      </c>
      <c r="BK556">
        <v>0</v>
      </c>
      <c r="BL556">
        <v>68.36363636363636</v>
      </c>
      <c r="BM556">
        <v>65.8</v>
      </c>
      <c r="BN556">
        <v>78.333333333333329</v>
      </c>
      <c r="BO556">
        <v>94</v>
      </c>
      <c r="BP556">
        <v>47</v>
      </c>
      <c r="BQ556">
        <f>(I556+J556+N556+O556)/4</f>
        <v>1.5833333333333333</v>
      </c>
      <c r="BR556">
        <f>(K556+L556+M556)/3</f>
        <v>1.6666666666666667</v>
      </c>
      <c r="BS556">
        <f>BQ556/BR556</f>
        <v>0.95</v>
      </c>
      <c r="BT556">
        <f>AQ556/I556</f>
        <v>47</v>
      </c>
      <c r="BU556" t="str">
        <f>IF(OR(A556=2, A556=12), "Central", IF(A556=3, "Semi-Central", "Periférica"))</f>
        <v>Periférica</v>
      </c>
    </row>
    <row r="557" spans="1:73" x14ac:dyDescent="0.3">
      <c r="A557" s="1">
        <v>3</v>
      </c>
      <c r="B557" s="1">
        <v>379</v>
      </c>
      <c r="C557" s="1" t="s">
        <v>262</v>
      </c>
      <c r="D557" t="s">
        <v>1</v>
      </c>
      <c r="E557" t="s">
        <v>0</v>
      </c>
      <c r="F557">
        <v>0</v>
      </c>
      <c r="G557">
        <v>0</v>
      </c>
      <c r="H557">
        <v>7</v>
      </c>
      <c r="I557">
        <v>12.666666666666666</v>
      </c>
      <c r="J557">
        <v>10</v>
      </c>
      <c r="K557">
        <v>12.666666666666666</v>
      </c>
      <c r="L557">
        <v>12.666666666666666</v>
      </c>
      <c r="M557">
        <v>14.8</v>
      </c>
      <c r="N557">
        <v>15</v>
      </c>
      <c r="O557">
        <v>13</v>
      </c>
      <c r="P557">
        <v>14</v>
      </c>
      <c r="Q557">
        <v>8</v>
      </c>
      <c r="R557">
        <v>0</v>
      </c>
      <c r="S557">
        <v>0</v>
      </c>
      <c r="T557">
        <v>4</v>
      </c>
      <c r="U557">
        <v>4.8</v>
      </c>
      <c r="V557">
        <v>6</v>
      </c>
      <c r="W557">
        <v>6</v>
      </c>
      <c r="X557">
        <v>6.8888888888888893</v>
      </c>
      <c r="Y557">
        <v>6.4</v>
      </c>
      <c r="Z557">
        <v>4.5</v>
      </c>
      <c r="AA557">
        <v>0</v>
      </c>
      <c r="AB557">
        <v>0</v>
      </c>
      <c r="AC557">
        <v>4</v>
      </c>
      <c r="AD557">
        <v>4.9090909090909092</v>
      </c>
      <c r="AE557">
        <v>5</v>
      </c>
      <c r="AF557">
        <v>5</v>
      </c>
      <c r="AG557">
        <v>5</v>
      </c>
      <c r="AH557">
        <v>4</v>
      </c>
      <c r="AI557" s="1">
        <v>3</v>
      </c>
      <c r="AJ557" s="1">
        <v>379</v>
      </c>
      <c r="AK557" s="1" t="s">
        <v>262</v>
      </c>
      <c r="AL557" t="s">
        <v>1</v>
      </c>
      <c r="AM557" t="s">
        <v>0</v>
      </c>
      <c r="AN557">
        <v>0</v>
      </c>
      <c r="AO557">
        <v>0</v>
      </c>
      <c r="AP557">
        <v>630</v>
      </c>
      <c r="AQ557">
        <v>1140</v>
      </c>
      <c r="AR557">
        <v>900</v>
      </c>
      <c r="AS557">
        <v>1140</v>
      </c>
      <c r="AT557">
        <v>1140</v>
      </c>
      <c r="AU557">
        <v>1332</v>
      </c>
      <c r="AV557">
        <v>1350</v>
      </c>
      <c r="AW557">
        <v>1170</v>
      </c>
      <c r="AX557">
        <v>1260</v>
      </c>
      <c r="AY557">
        <v>720</v>
      </c>
      <c r="AZ557">
        <v>0</v>
      </c>
      <c r="BA557">
        <v>0</v>
      </c>
      <c r="BB557">
        <v>360</v>
      </c>
      <c r="BC557">
        <v>432</v>
      </c>
      <c r="BD557">
        <v>540</v>
      </c>
      <c r="BE557">
        <v>540</v>
      </c>
      <c r="BF557">
        <v>620</v>
      </c>
      <c r="BG557">
        <v>576</v>
      </c>
      <c r="BH557">
        <v>405</v>
      </c>
      <c r="BI557">
        <v>0</v>
      </c>
      <c r="BJ557">
        <v>0</v>
      </c>
      <c r="BK557">
        <v>360</v>
      </c>
      <c r="BL557">
        <v>441.81818181818181</v>
      </c>
      <c r="BM557">
        <v>450</v>
      </c>
      <c r="BN557">
        <v>450</v>
      </c>
      <c r="BO557">
        <v>450</v>
      </c>
      <c r="BP557">
        <v>360</v>
      </c>
      <c r="BQ557">
        <f>(I557+J557+N557+O557)/4</f>
        <v>12.666666666666666</v>
      </c>
      <c r="BR557">
        <f>(K557+L557+M557)/3</f>
        <v>13.377777777777778</v>
      </c>
      <c r="BS557">
        <f>BQ557/BR557</f>
        <v>0.94684385382059788</v>
      </c>
      <c r="BT557">
        <f>AQ557/I557</f>
        <v>90</v>
      </c>
      <c r="BU557" t="str">
        <f>IF(OR(A557=2, A557=12), "Central", IF(A557=3, "Semi-Central", "Periférica"))</f>
        <v>Semi-Central</v>
      </c>
    </row>
    <row r="558" spans="1:73" x14ac:dyDescent="0.3">
      <c r="A558" s="1">
        <v>13</v>
      </c>
      <c r="B558" s="1">
        <v>1343</v>
      </c>
      <c r="C558" s="1" t="s">
        <v>258</v>
      </c>
      <c r="D558" t="s">
        <v>5</v>
      </c>
      <c r="F558">
        <v>2</v>
      </c>
      <c r="G558">
        <v>0</v>
      </c>
      <c r="H558">
        <v>3</v>
      </c>
      <c r="I558">
        <v>4</v>
      </c>
      <c r="J558">
        <v>4.666666666666667</v>
      </c>
      <c r="K558">
        <v>4.666666666666667</v>
      </c>
      <c r="L558">
        <v>5.333333333333333</v>
      </c>
      <c r="M558">
        <v>4.8</v>
      </c>
      <c r="N558">
        <v>5</v>
      </c>
      <c r="O558">
        <v>5</v>
      </c>
      <c r="P558">
        <v>4</v>
      </c>
      <c r="Q558">
        <v>2</v>
      </c>
      <c r="R558">
        <v>2</v>
      </c>
      <c r="S558">
        <v>0</v>
      </c>
      <c r="T558">
        <v>2</v>
      </c>
      <c r="U558">
        <v>3.6</v>
      </c>
      <c r="V558">
        <v>5</v>
      </c>
      <c r="W558">
        <v>4</v>
      </c>
      <c r="X558">
        <v>3.5555555555555549</v>
      </c>
      <c r="Y558">
        <v>2.8</v>
      </c>
      <c r="Z558">
        <v>3</v>
      </c>
      <c r="AA558">
        <v>2</v>
      </c>
      <c r="AB558">
        <v>0</v>
      </c>
      <c r="AC558">
        <v>2.5</v>
      </c>
      <c r="AD558">
        <v>3.0909090909090908</v>
      </c>
      <c r="AE558">
        <v>3.2</v>
      </c>
      <c r="AF558">
        <v>4</v>
      </c>
      <c r="AG558">
        <v>4</v>
      </c>
      <c r="AH558">
        <v>2</v>
      </c>
      <c r="AI558" s="1">
        <v>13</v>
      </c>
      <c r="AJ558" s="1">
        <v>1343</v>
      </c>
      <c r="AK558" s="1" t="s">
        <v>258</v>
      </c>
      <c r="AL558" t="s">
        <v>5</v>
      </c>
      <c r="AN558">
        <v>180</v>
      </c>
      <c r="AO558">
        <v>0</v>
      </c>
      <c r="AP558">
        <v>270</v>
      </c>
      <c r="AQ558">
        <v>360</v>
      </c>
      <c r="AR558">
        <v>420</v>
      </c>
      <c r="AS558">
        <v>420</v>
      </c>
      <c r="AT558">
        <v>480</v>
      </c>
      <c r="AU558">
        <v>432</v>
      </c>
      <c r="AV558">
        <v>450</v>
      </c>
      <c r="AW558">
        <v>450</v>
      </c>
      <c r="AX558">
        <v>360</v>
      </c>
      <c r="AY558">
        <v>180</v>
      </c>
      <c r="AZ558">
        <v>180</v>
      </c>
      <c r="BA558">
        <v>0</v>
      </c>
      <c r="BB558">
        <v>180</v>
      </c>
      <c r="BC558">
        <v>324</v>
      </c>
      <c r="BD558">
        <v>450</v>
      </c>
      <c r="BE558">
        <v>360</v>
      </c>
      <c r="BF558">
        <v>320</v>
      </c>
      <c r="BG558">
        <v>252</v>
      </c>
      <c r="BH558">
        <v>270</v>
      </c>
      <c r="BI558">
        <v>180</v>
      </c>
      <c r="BJ558">
        <v>0</v>
      </c>
      <c r="BK558">
        <v>225</v>
      </c>
      <c r="BL558">
        <v>278.18181818181819</v>
      </c>
      <c r="BM558">
        <v>288</v>
      </c>
      <c r="BN558">
        <v>360</v>
      </c>
      <c r="BO558">
        <v>360</v>
      </c>
      <c r="BP558">
        <v>180</v>
      </c>
      <c r="BQ558">
        <f>(I558+J558+N558+O558)/4</f>
        <v>4.666666666666667</v>
      </c>
      <c r="BR558">
        <f>(K558+L558+M558)/3</f>
        <v>4.9333333333333336</v>
      </c>
      <c r="BS558">
        <f>BQ558/BR558</f>
        <v>0.94594594594594594</v>
      </c>
      <c r="BT558">
        <f>AQ558/I558</f>
        <v>90</v>
      </c>
      <c r="BU558" t="str">
        <f>IF(OR(A558=2, A558=12), "Central", IF(A558=3, "Semi-Central", "Periférica"))</f>
        <v>Periférica</v>
      </c>
    </row>
    <row r="559" spans="1:73" x14ac:dyDescent="0.3">
      <c r="A559" s="1">
        <v>8</v>
      </c>
      <c r="B559" s="1">
        <v>822</v>
      </c>
      <c r="C559" s="1">
        <v>722</v>
      </c>
      <c r="D559" t="s">
        <v>5</v>
      </c>
      <c r="F559">
        <v>0</v>
      </c>
      <c r="G559">
        <v>0.88888888888888884</v>
      </c>
      <c r="H559">
        <v>7</v>
      </c>
      <c r="I559">
        <v>6.666666666666667</v>
      </c>
      <c r="J559">
        <v>6</v>
      </c>
      <c r="K559">
        <v>6</v>
      </c>
      <c r="L559">
        <v>6</v>
      </c>
      <c r="M559">
        <v>6</v>
      </c>
      <c r="N559">
        <v>5</v>
      </c>
      <c r="O559">
        <v>5</v>
      </c>
      <c r="P559">
        <v>4</v>
      </c>
      <c r="Q559">
        <v>2.5</v>
      </c>
      <c r="R559">
        <v>0</v>
      </c>
      <c r="S559">
        <v>0.66666666666666663</v>
      </c>
      <c r="T559">
        <v>5</v>
      </c>
      <c r="U559">
        <v>6</v>
      </c>
      <c r="V559">
        <v>5</v>
      </c>
      <c r="W559">
        <v>5</v>
      </c>
      <c r="X559">
        <v>4.666666666666667</v>
      </c>
      <c r="Y559">
        <v>2.8</v>
      </c>
      <c r="Z559">
        <v>2.5</v>
      </c>
      <c r="AA559">
        <v>0</v>
      </c>
      <c r="AB559">
        <v>0.44444444444444442</v>
      </c>
      <c r="AC559">
        <v>3.5</v>
      </c>
      <c r="AD559">
        <v>4.9090909090909092</v>
      </c>
      <c r="AE559">
        <v>5</v>
      </c>
      <c r="AF559">
        <v>4</v>
      </c>
      <c r="AG559">
        <v>3</v>
      </c>
      <c r="AH559">
        <v>2.5</v>
      </c>
      <c r="AI559" s="1">
        <v>8</v>
      </c>
      <c r="AJ559" s="1">
        <v>822</v>
      </c>
      <c r="AK559" s="1">
        <v>722</v>
      </c>
      <c r="AL559" t="s">
        <v>5</v>
      </c>
      <c r="AN559">
        <v>0</v>
      </c>
      <c r="AO559">
        <v>80</v>
      </c>
      <c r="AP559">
        <v>630</v>
      </c>
      <c r="AQ559">
        <v>600</v>
      </c>
      <c r="AR559">
        <v>540</v>
      </c>
      <c r="AS559">
        <v>540</v>
      </c>
      <c r="AT559">
        <v>540</v>
      </c>
      <c r="AU559">
        <v>540</v>
      </c>
      <c r="AV559">
        <v>450</v>
      </c>
      <c r="AW559">
        <v>450</v>
      </c>
      <c r="AX559">
        <v>360</v>
      </c>
      <c r="AY559">
        <v>225</v>
      </c>
      <c r="AZ559">
        <v>0</v>
      </c>
      <c r="BA559">
        <v>60</v>
      </c>
      <c r="BB559">
        <v>450</v>
      </c>
      <c r="BC559">
        <v>540</v>
      </c>
      <c r="BD559">
        <v>450</v>
      </c>
      <c r="BE559">
        <v>450</v>
      </c>
      <c r="BF559">
        <v>420</v>
      </c>
      <c r="BG559">
        <v>252</v>
      </c>
      <c r="BH559">
        <v>225</v>
      </c>
      <c r="BI559">
        <v>0</v>
      </c>
      <c r="BJ559">
        <v>40</v>
      </c>
      <c r="BK559">
        <v>315</v>
      </c>
      <c r="BL559">
        <v>441.81818181818181</v>
      </c>
      <c r="BM559">
        <v>450</v>
      </c>
      <c r="BN559">
        <v>360</v>
      </c>
      <c r="BO559">
        <v>270</v>
      </c>
      <c r="BP559">
        <v>225</v>
      </c>
      <c r="BQ559">
        <f>(I559+J559+N559+O559)/4</f>
        <v>5.666666666666667</v>
      </c>
      <c r="BR559">
        <f>(K559+L559+M559)/3</f>
        <v>6</v>
      </c>
      <c r="BS559">
        <f>BQ559/BR559</f>
        <v>0.94444444444444453</v>
      </c>
      <c r="BT559">
        <f>AQ559/I559</f>
        <v>90</v>
      </c>
      <c r="BU559" t="str">
        <f>IF(OR(A559=2, A559=12), "Central", IF(A559=3, "Semi-Central", "Periférica"))</f>
        <v>Periférica</v>
      </c>
    </row>
    <row r="560" spans="1:73" x14ac:dyDescent="0.3">
      <c r="A560" s="1">
        <v>16</v>
      </c>
      <c r="B560" s="1">
        <v>1607</v>
      </c>
      <c r="C560" s="1">
        <v>207</v>
      </c>
      <c r="D560" t="s">
        <v>1</v>
      </c>
      <c r="E560" t="s">
        <v>0</v>
      </c>
      <c r="F560">
        <v>2</v>
      </c>
      <c r="G560">
        <v>2.666666666666667</v>
      </c>
      <c r="H560">
        <v>7</v>
      </c>
      <c r="I560">
        <v>8.6666666666666661</v>
      </c>
      <c r="J560">
        <v>8</v>
      </c>
      <c r="K560">
        <v>8</v>
      </c>
      <c r="L560">
        <v>8</v>
      </c>
      <c r="M560">
        <v>8</v>
      </c>
      <c r="N560">
        <v>7</v>
      </c>
      <c r="O560">
        <v>6.5</v>
      </c>
      <c r="P560">
        <v>5.333333333333333</v>
      </c>
      <c r="Q560">
        <v>4</v>
      </c>
      <c r="R560">
        <v>2</v>
      </c>
      <c r="S560">
        <v>2.2222222222222219</v>
      </c>
      <c r="T560">
        <v>6</v>
      </c>
      <c r="U560">
        <v>6</v>
      </c>
      <c r="V560">
        <v>6</v>
      </c>
      <c r="W560">
        <v>6</v>
      </c>
      <c r="X560">
        <v>6</v>
      </c>
      <c r="Y560">
        <v>5.2</v>
      </c>
      <c r="Z560">
        <v>4</v>
      </c>
      <c r="AA560">
        <v>2</v>
      </c>
      <c r="AB560">
        <v>2.2222222222222219</v>
      </c>
      <c r="AC560">
        <v>4</v>
      </c>
      <c r="AD560">
        <v>5.2727272727272716</v>
      </c>
      <c r="AE560">
        <v>4.8</v>
      </c>
      <c r="AF560">
        <v>5</v>
      </c>
      <c r="AG560">
        <v>4</v>
      </c>
      <c r="AH560">
        <v>3.5</v>
      </c>
      <c r="AI560" s="1">
        <v>16</v>
      </c>
      <c r="AJ560" s="1">
        <v>1607</v>
      </c>
      <c r="AK560" s="1">
        <v>207</v>
      </c>
      <c r="AL560" t="s">
        <v>1</v>
      </c>
      <c r="AM560" t="s">
        <v>0</v>
      </c>
      <c r="AN560">
        <v>300</v>
      </c>
      <c r="AO560">
        <v>400</v>
      </c>
      <c r="AP560">
        <v>1050</v>
      </c>
      <c r="AQ560">
        <v>1300</v>
      </c>
      <c r="AR560">
        <v>1200</v>
      </c>
      <c r="AS560">
        <v>1200</v>
      </c>
      <c r="AT560">
        <v>1200</v>
      </c>
      <c r="AU560">
        <v>1200</v>
      </c>
      <c r="AV560">
        <v>1050</v>
      </c>
      <c r="AW560">
        <v>975</v>
      </c>
      <c r="AX560">
        <v>800</v>
      </c>
      <c r="AY560">
        <v>600</v>
      </c>
      <c r="AZ560">
        <v>300</v>
      </c>
      <c r="BA560">
        <v>333.33333333333331</v>
      </c>
      <c r="BB560">
        <v>900</v>
      </c>
      <c r="BC560">
        <v>900</v>
      </c>
      <c r="BD560">
        <v>900</v>
      </c>
      <c r="BE560">
        <v>900</v>
      </c>
      <c r="BF560">
        <v>900</v>
      </c>
      <c r="BG560">
        <v>780</v>
      </c>
      <c r="BH560">
        <v>600</v>
      </c>
      <c r="BI560">
        <v>180</v>
      </c>
      <c r="BJ560">
        <v>200</v>
      </c>
      <c r="BK560">
        <v>360</v>
      </c>
      <c r="BL560">
        <v>474.54545454545462</v>
      </c>
      <c r="BM560">
        <v>432</v>
      </c>
      <c r="BN560">
        <v>450</v>
      </c>
      <c r="BO560">
        <v>360</v>
      </c>
      <c r="BP560">
        <v>315</v>
      </c>
      <c r="BQ560">
        <f>(I560+J560+N560+O560)/4</f>
        <v>7.5416666666666661</v>
      </c>
      <c r="BR560">
        <f>(K560+L560+M560)/3</f>
        <v>8</v>
      </c>
      <c r="BS560">
        <f>BQ560/BR560</f>
        <v>0.94270833333333326</v>
      </c>
      <c r="BT560">
        <f>AQ560/I560</f>
        <v>150</v>
      </c>
      <c r="BU560" t="str">
        <f>IF(OR(A560=2, A560=12), "Central", IF(A560=3, "Semi-Central", "Periférica"))</f>
        <v>Periférica</v>
      </c>
    </row>
    <row r="561" spans="1:73" x14ac:dyDescent="0.3">
      <c r="A561" s="1">
        <v>9</v>
      </c>
      <c r="B561" s="1">
        <v>962</v>
      </c>
      <c r="C561" s="1">
        <v>102</v>
      </c>
      <c r="D561" t="s">
        <v>5</v>
      </c>
      <c r="F561">
        <v>2</v>
      </c>
      <c r="G561">
        <v>0</v>
      </c>
      <c r="H561">
        <v>4</v>
      </c>
      <c r="I561">
        <v>4</v>
      </c>
      <c r="J561">
        <v>4</v>
      </c>
      <c r="K561">
        <v>4.333333333333333</v>
      </c>
      <c r="L561">
        <v>6</v>
      </c>
      <c r="M561">
        <v>5.2</v>
      </c>
      <c r="N561">
        <v>6.5</v>
      </c>
      <c r="O561">
        <v>5</v>
      </c>
      <c r="P561">
        <v>4.666666666666667</v>
      </c>
      <c r="Q561">
        <v>3.5</v>
      </c>
      <c r="R561">
        <v>2</v>
      </c>
      <c r="S561">
        <v>0.22222222222222221</v>
      </c>
      <c r="T561">
        <v>3</v>
      </c>
      <c r="U561">
        <v>5.2</v>
      </c>
      <c r="V561">
        <v>4.666666666666667</v>
      </c>
      <c r="W561">
        <v>5</v>
      </c>
      <c r="X561">
        <v>4.8888888888888893</v>
      </c>
      <c r="Y561">
        <v>4.4000000000000004</v>
      </c>
      <c r="Z561">
        <v>3</v>
      </c>
      <c r="AA561">
        <v>2</v>
      </c>
      <c r="AB561">
        <v>0</v>
      </c>
      <c r="AC561">
        <v>3.5</v>
      </c>
      <c r="AD561">
        <v>4.5454545454545459</v>
      </c>
      <c r="AE561">
        <v>4.2</v>
      </c>
      <c r="AF561">
        <v>4</v>
      </c>
      <c r="AG561">
        <v>4</v>
      </c>
      <c r="AH561">
        <v>2.5</v>
      </c>
      <c r="AI561" s="1">
        <v>9</v>
      </c>
      <c r="AJ561" s="1">
        <v>962</v>
      </c>
      <c r="AK561" s="1">
        <v>102</v>
      </c>
      <c r="AL561" t="s">
        <v>5</v>
      </c>
      <c r="AN561">
        <v>180</v>
      </c>
      <c r="AO561">
        <v>0</v>
      </c>
      <c r="AP561">
        <v>360</v>
      </c>
      <c r="AQ561">
        <v>360</v>
      </c>
      <c r="AR561">
        <v>360</v>
      </c>
      <c r="AS561">
        <v>390</v>
      </c>
      <c r="AT561">
        <v>540</v>
      </c>
      <c r="AU561">
        <v>468</v>
      </c>
      <c r="AV561">
        <v>585</v>
      </c>
      <c r="AW561">
        <v>450</v>
      </c>
      <c r="AX561">
        <v>420</v>
      </c>
      <c r="AY561">
        <v>315</v>
      </c>
      <c r="AZ561">
        <v>180</v>
      </c>
      <c r="BA561">
        <v>20</v>
      </c>
      <c r="BB561">
        <v>270</v>
      </c>
      <c r="BC561">
        <v>468</v>
      </c>
      <c r="BD561">
        <v>420</v>
      </c>
      <c r="BE561">
        <v>450</v>
      </c>
      <c r="BF561">
        <v>440</v>
      </c>
      <c r="BG561">
        <v>396</v>
      </c>
      <c r="BH561">
        <v>270</v>
      </c>
      <c r="BI561">
        <v>180</v>
      </c>
      <c r="BJ561">
        <v>0</v>
      </c>
      <c r="BK561">
        <v>315</v>
      </c>
      <c r="BL561">
        <v>409.09090909090912</v>
      </c>
      <c r="BM561">
        <v>378</v>
      </c>
      <c r="BN561">
        <v>360</v>
      </c>
      <c r="BO561">
        <v>360</v>
      </c>
      <c r="BP561">
        <v>225</v>
      </c>
      <c r="BQ561">
        <f>(I561+J561+N561+O561)/4</f>
        <v>4.875</v>
      </c>
      <c r="BR561">
        <f>(K561+L561+M561)/3</f>
        <v>5.1777777777777771</v>
      </c>
      <c r="BS561">
        <f>BQ561/BR561</f>
        <v>0.94152360515021472</v>
      </c>
      <c r="BT561">
        <f>AQ561/I561</f>
        <v>90</v>
      </c>
      <c r="BU561" t="str">
        <f>IF(OR(A561=2, A561=12), "Central", IF(A561=3, "Semi-Central", "Periférica"))</f>
        <v>Periférica</v>
      </c>
    </row>
    <row r="562" spans="1:73" x14ac:dyDescent="0.3">
      <c r="A562" s="1">
        <v>9</v>
      </c>
      <c r="B562" s="1">
        <v>940</v>
      </c>
      <c r="C562" s="1" t="s">
        <v>261</v>
      </c>
      <c r="D562" t="s">
        <v>1</v>
      </c>
      <c r="F562">
        <v>3</v>
      </c>
      <c r="G562">
        <v>2.4444444444444451</v>
      </c>
      <c r="H562">
        <v>6</v>
      </c>
      <c r="I562">
        <v>6</v>
      </c>
      <c r="J562">
        <v>6</v>
      </c>
      <c r="K562">
        <v>6</v>
      </c>
      <c r="L562">
        <v>6</v>
      </c>
      <c r="M562">
        <v>6</v>
      </c>
      <c r="N562">
        <v>5.5</v>
      </c>
      <c r="O562">
        <v>5</v>
      </c>
      <c r="P562">
        <v>4.666666666666667</v>
      </c>
      <c r="Q562">
        <v>3</v>
      </c>
      <c r="R562">
        <v>2</v>
      </c>
      <c r="S562">
        <v>2</v>
      </c>
      <c r="T562">
        <v>2</v>
      </c>
      <c r="U562">
        <v>4.8</v>
      </c>
      <c r="V562">
        <v>5</v>
      </c>
      <c r="W562">
        <v>5</v>
      </c>
      <c r="X562">
        <v>4.666666666666667</v>
      </c>
      <c r="Y562">
        <v>4</v>
      </c>
      <c r="Z562">
        <v>2</v>
      </c>
      <c r="AA562">
        <v>2</v>
      </c>
      <c r="AB562">
        <v>2.2222222222222219</v>
      </c>
      <c r="AC562">
        <v>3</v>
      </c>
      <c r="AD562">
        <v>4</v>
      </c>
      <c r="AE562">
        <v>4.2</v>
      </c>
      <c r="AF562">
        <v>4</v>
      </c>
      <c r="AG562">
        <v>4</v>
      </c>
      <c r="AH562">
        <v>2</v>
      </c>
      <c r="AI562" s="1">
        <v>9</v>
      </c>
      <c r="AJ562" s="1">
        <v>940</v>
      </c>
      <c r="AK562" s="1" t="s">
        <v>261</v>
      </c>
      <c r="AL562" t="s">
        <v>1</v>
      </c>
      <c r="AN562">
        <v>270</v>
      </c>
      <c r="AO562">
        <v>220</v>
      </c>
      <c r="AP562">
        <v>540</v>
      </c>
      <c r="AQ562">
        <v>540</v>
      </c>
      <c r="AR562">
        <v>540</v>
      </c>
      <c r="AS562">
        <v>540</v>
      </c>
      <c r="AT562">
        <v>540</v>
      </c>
      <c r="AU562">
        <v>540</v>
      </c>
      <c r="AV562">
        <v>495</v>
      </c>
      <c r="AW562">
        <v>450</v>
      </c>
      <c r="AX562">
        <v>420</v>
      </c>
      <c r="AY562">
        <v>270</v>
      </c>
      <c r="AZ562">
        <v>180</v>
      </c>
      <c r="BA562">
        <v>180</v>
      </c>
      <c r="BB562">
        <v>180</v>
      </c>
      <c r="BC562">
        <v>432</v>
      </c>
      <c r="BD562">
        <v>450</v>
      </c>
      <c r="BE562">
        <v>450</v>
      </c>
      <c r="BF562">
        <v>420</v>
      </c>
      <c r="BG562">
        <v>360</v>
      </c>
      <c r="BH562">
        <v>180</v>
      </c>
      <c r="BI562">
        <v>180</v>
      </c>
      <c r="BJ562">
        <v>200</v>
      </c>
      <c r="BK562">
        <v>270</v>
      </c>
      <c r="BL562">
        <v>360</v>
      </c>
      <c r="BM562">
        <v>378</v>
      </c>
      <c r="BN562">
        <v>360</v>
      </c>
      <c r="BO562">
        <v>360</v>
      </c>
      <c r="BP562">
        <v>180</v>
      </c>
      <c r="BQ562">
        <f>(I562+J562+N562+O562)/4</f>
        <v>5.625</v>
      </c>
      <c r="BR562">
        <f>(K562+L562+M562)/3</f>
        <v>6</v>
      </c>
      <c r="BS562">
        <f>BQ562/BR562</f>
        <v>0.9375</v>
      </c>
      <c r="BT562">
        <f>AQ562/I562</f>
        <v>90</v>
      </c>
      <c r="BU562" t="str">
        <f>IF(OR(A562=2, A562=12), "Central", IF(A562=3, "Semi-Central", "Periférica"))</f>
        <v>Periférica</v>
      </c>
    </row>
    <row r="563" spans="1:73" x14ac:dyDescent="0.3">
      <c r="A563" s="1">
        <v>12</v>
      </c>
      <c r="B563" s="1">
        <v>1211</v>
      </c>
      <c r="C563" s="1" t="s">
        <v>260</v>
      </c>
      <c r="D563" t="s">
        <v>5</v>
      </c>
      <c r="E563" t="s">
        <v>0</v>
      </c>
      <c r="F563">
        <v>0</v>
      </c>
      <c r="G563">
        <v>0</v>
      </c>
      <c r="H563">
        <v>6</v>
      </c>
      <c r="I563">
        <v>6.666666666666667</v>
      </c>
      <c r="J563">
        <v>5.333333333333333</v>
      </c>
      <c r="K563">
        <v>6</v>
      </c>
      <c r="L563">
        <v>6</v>
      </c>
      <c r="M563">
        <v>6</v>
      </c>
      <c r="N563">
        <v>5</v>
      </c>
      <c r="O563">
        <v>5.5</v>
      </c>
      <c r="P563">
        <v>3.333333333333333</v>
      </c>
      <c r="Q563">
        <v>3</v>
      </c>
      <c r="R563">
        <v>0</v>
      </c>
      <c r="S563">
        <v>0</v>
      </c>
      <c r="T563">
        <v>3</v>
      </c>
      <c r="U563">
        <v>5.6</v>
      </c>
      <c r="V563">
        <v>5</v>
      </c>
      <c r="W563">
        <v>5</v>
      </c>
      <c r="X563">
        <v>4.8888888888888893</v>
      </c>
      <c r="Y563">
        <v>4.4000000000000004</v>
      </c>
      <c r="Z563">
        <v>2</v>
      </c>
      <c r="AA563">
        <v>0</v>
      </c>
      <c r="AB563">
        <v>0.22222222222222221</v>
      </c>
      <c r="AC563">
        <v>3.5</v>
      </c>
      <c r="AD563">
        <v>5.0909090909090908</v>
      </c>
      <c r="AE563">
        <v>4.5999999999999996</v>
      </c>
      <c r="AF563">
        <v>4</v>
      </c>
      <c r="AG563">
        <v>3</v>
      </c>
      <c r="AH563">
        <v>3</v>
      </c>
      <c r="AI563" s="1">
        <v>12</v>
      </c>
      <c r="AJ563" s="1">
        <v>1211</v>
      </c>
      <c r="AK563" s="1" t="s">
        <v>260</v>
      </c>
      <c r="AL563" t="s">
        <v>5</v>
      </c>
      <c r="AM563" t="s">
        <v>0</v>
      </c>
      <c r="AN563">
        <v>0</v>
      </c>
      <c r="AO563">
        <v>0</v>
      </c>
      <c r="AP563">
        <v>540</v>
      </c>
      <c r="AQ563">
        <v>600</v>
      </c>
      <c r="AR563">
        <v>480</v>
      </c>
      <c r="AS563">
        <v>540</v>
      </c>
      <c r="AT563">
        <v>540</v>
      </c>
      <c r="AU563">
        <v>540</v>
      </c>
      <c r="AV563">
        <v>450</v>
      </c>
      <c r="AW563">
        <v>495</v>
      </c>
      <c r="AX563">
        <v>300</v>
      </c>
      <c r="AY563">
        <v>270</v>
      </c>
      <c r="AZ563">
        <v>0</v>
      </c>
      <c r="BA563">
        <v>0</v>
      </c>
      <c r="BB563">
        <v>270</v>
      </c>
      <c r="BC563">
        <v>504</v>
      </c>
      <c r="BD563">
        <v>450</v>
      </c>
      <c r="BE563">
        <v>450</v>
      </c>
      <c r="BF563">
        <v>440</v>
      </c>
      <c r="BG563">
        <v>396</v>
      </c>
      <c r="BH563">
        <v>180</v>
      </c>
      <c r="BI563">
        <v>0</v>
      </c>
      <c r="BJ563">
        <v>20</v>
      </c>
      <c r="BK563">
        <v>315</v>
      </c>
      <c r="BL563">
        <v>458.18181818181819</v>
      </c>
      <c r="BM563">
        <v>414</v>
      </c>
      <c r="BN563">
        <v>360</v>
      </c>
      <c r="BO563">
        <v>270</v>
      </c>
      <c r="BP563">
        <v>270</v>
      </c>
      <c r="BQ563">
        <f>(I563+J563+N563+O563)/4</f>
        <v>5.625</v>
      </c>
      <c r="BR563">
        <f>(K563+L563+M563)/3</f>
        <v>6</v>
      </c>
      <c r="BS563">
        <f>BQ563/BR563</f>
        <v>0.9375</v>
      </c>
      <c r="BT563">
        <f>AQ563/I563</f>
        <v>90</v>
      </c>
      <c r="BU563" t="str">
        <f>IF(OR(A563=2, A563=12), "Central", IF(A563=3, "Semi-Central", "Periférica"))</f>
        <v>Central</v>
      </c>
    </row>
    <row r="564" spans="1:73" x14ac:dyDescent="0.3">
      <c r="A564" s="1">
        <v>19</v>
      </c>
      <c r="B564" s="1">
        <v>1927</v>
      </c>
      <c r="C564" s="1">
        <v>227</v>
      </c>
      <c r="D564" t="s">
        <v>1</v>
      </c>
      <c r="E564" t="s">
        <v>0</v>
      </c>
      <c r="F564">
        <v>0</v>
      </c>
      <c r="G564">
        <v>0</v>
      </c>
      <c r="H564">
        <v>5</v>
      </c>
      <c r="I564">
        <v>6</v>
      </c>
      <c r="J564">
        <v>5.333333333333333</v>
      </c>
      <c r="K564">
        <v>4.666666666666667</v>
      </c>
      <c r="L564">
        <v>6</v>
      </c>
      <c r="M564">
        <v>6</v>
      </c>
      <c r="N564">
        <v>4.5</v>
      </c>
      <c r="O564">
        <v>5</v>
      </c>
      <c r="P564">
        <v>5.333333333333333</v>
      </c>
      <c r="Q564">
        <v>3.5</v>
      </c>
      <c r="R564">
        <v>0</v>
      </c>
      <c r="S564">
        <v>0</v>
      </c>
      <c r="T564">
        <v>4</v>
      </c>
      <c r="U564">
        <v>4</v>
      </c>
      <c r="V564">
        <v>4.666666666666667</v>
      </c>
      <c r="W564">
        <v>5</v>
      </c>
      <c r="X564">
        <v>4.8888888888888893</v>
      </c>
      <c r="Y564">
        <v>4</v>
      </c>
      <c r="Z564">
        <v>3.5</v>
      </c>
      <c r="AA564">
        <v>0</v>
      </c>
      <c r="AB564">
        <v>0</v>
      </c>
      <c r="AC564">
        <v>4</v>
      </c>
      <c r="AD564">
        <v>4</v>
      </c>
      <c r="AE564">
        <v>4.4000000000000004</v>
      </c>
      <c r="AF564">
        <v>4.333333333333333</v>
      </c>
      <c r="AG564">
        <v>4</v>
      </c>
      <c r="AH564">
        <v>3</v>
      </c>
      <c r="AI564" s="1">
        <v>19</v>
      </c>
      <c r="AJ564" s="1">
        <v>1927</v>
      </c>
      <c r="AK564" s="1">
        <v>227</v>
      </c>
      <c r="AL564" t="s">
        <v>1</v>
      </c>
      <c r="AM564" t="s">
        <v>0</v>
      </c>
      <c r="AN564">
        <v>0</v>
      </c>
      <c r="AO564">
        <v>0</v>
      </c>
      <c r="AP564">
        <v>450</v>
      </c>
      <c r="AQ564">
        <v>540</v>
      </c>
      <c r="AR564">
        <v>480</v>
      </c>
      <c r="AS564">
        <v>420</v>
      </c>
      <c r="AT564">
        <v>540</v>
      </c>
      <c r="AU564">
        <v>540</v>
      </c>
      <c r="AV564">
        <v>405</v>
      </c>
      <c r="AW564">
        <v>450</v>
      </c>
      <c r="AX564">
        <v>480</v>
      </c>
      <c r="AY564">
        <v>315</v>
      </c>
      <c r="AZ564">
        <v>0</v>
      </c>
      <c r="BA564">
        <v>0</v>
      </c>
      <c r="BB564">
        <v>360</v>
      </c>
      <c r="BC564">
        <v>360</v>
      </c>
      <c r="BD564">
        <v>420</v>
      </c>
      <c r="BE564">
        <v>450</v>
      </c>
      <c r="BF564">
        <v>440</v>
      </c>
      <c r="BG564">
        <v>360</v>
      </c>
      <c r="BH564">
        <v>315</v>
      </c>
      <c r="BI564">
        <v>0</v>
      </c>
      <c r="BJ564">
        <v>0</v>
      </c>
      <c r="BK564">
        <v>360</v>
      </c>
      <c r="BL564">
        <v>360</v>
      </c>
      <c r="BM564">
        <v>396</v>
      </c>
      <c r="BN564">
        <v>390</v>
      </c>
      <c r="BO564">
        <v>360</v>
      </c>
      <c r="BP564">
        <v>270</v>
      </c>
      <c r="BQ564">
        <f>(I564+J564+N564+O564)/4</f>
        <v>5.208333333333333</v>
      </c>
      <c r="BR564">
        <f>(K564+L564+M564)/3</f>
        <v>5.5555555555555562</v>
      </c>
      <c r="BS564">
        <f>BQ564/BR564</f>
        <v>0.93749999999999978</v>
      </c>
      <c r="BT564">
        <f>AQ564/I564</f>
        <v>90</v>
      </c>
      <c r="BU564" t="str">
        <f>IF(OR(A564=2, A564=12), "Central", IF(A564=3, "Semi-Central", "Periférica"))</f>
        <v>Periférica</v>
      </c>
    </row>
    <row r="565" spans="1:73" x14ac:dyDescent="0.3">
      <c r="A565" s="1">
        <v>12</v>
      </c>
      <c r="B565" s="1">
        <v>1218</v>
      </c>
      <c r="C565" s="1" t="s">
        <v>250</v>
      </c>
      <c r="D565" t="s">
        <v>5</v>
      </c>
      <c r="E565" t="s">
        <v>0</v>
      </c>
      <c r="F565">
        <v>0</v>
      </c>
      <c r="G565">
        <v>0</v>
      </c>
      <c r="H565">
        <v>5</v>
      </c>
      <c r="I565">
        <v>6.666666666666667</v>
      </c>
      <c r="J565">
        <v>6.666666666666667</v>
      </c>
      <c r="K565">
        <v>7</v>
      </c>
      <c r="L565">
        <v>7.333333333333333</v>
      </c>
      <c r="M565">
        <v>6.8</v>
      </c>
      <c r="N565">
        <v>6.5</v>
      </c>
      <c r="O565">
        <v>6.5</v>
      </c>
      <c r="P565">
        <v>5.333333333333333</v>
      </c>
      <c r="Q565">
        <v>3.5</v>
      </c>
      <c r="R565">
        <v>0</v>
      </c>
      <c r="S565">
        <v>0</v>
      </c>
      <c r="T565">
        <v>2</v>
      </c>
      <c r="U565">
        <v>4.8</v>
      </c>
      <c r="V565">
        <v>5</v>
      </c>
      <c r="W565">
        <v>4.333333333333333</v>
      </c>
      <c r="X565">
        <v>4</v>
      </c>
      <c r="Y565">
        <v>4</v>
      </c>
      <c r="Z565">
        <v>3.5</v>
      </c>
      <c r="AA565">
        <v>0</v>
      </c>
      <c r="AB565">
        <v>0</v>
      </c>
      <c r="AC565">
        <v>2</v>
      </c>
      <c r="AD565">
        <v>2.7272727272727271</v>
      </c>
      <c r="AE565">
        <v>3</v>
      </c>
      <c r="AF565">
        <v>3</v>
      </c>
      <c r="AG565">
        <v>3</v>
      </c>
      <c r="AH565">
        <v>3</v>
      </c>
      <c r="AI565" s="1">
        <v>12</v>
      </c>
      <c r="AJ565" s="1">
        <v>1218</v>
      </c>
      <c r="AK565" s="1" t="s">
        <v>250</v>
      </c>
      <c r="AL565" t="s">
        <v>5</v>
      </c>
      <c r="AM565" t="s">
        <v>0</v>
      </c>
      <c r="AN565">
        <v>0</v>
      </c>
      <c r="AO565">
        <v>0</v>
      </c>
      <c r="AP565">
        <v>450</v>
      </c>
      <c r="AQ565">
        <v>600</v>
      </c>
      <c r="AR565">
        <v>600</v>
      </c>
      <c r="AS565">
        <v>630</v>
      </c>
      <c r="AT565">
        <v>660</v>
      </c>
      <c r="AU565">
        <v>612</v>
      </c>
      <c r="AV565">
        <v>585</v>
      </c>
      <c r="AW565">
        <v>585</v>
      </c>
      <c r="AX565">
        <v>480</v>
      </c>
      <c r="AY565">
        <v>315</v>
      </c>
      <c r="AZ565">
        <v>0</v>
      </c>
      <c r="BA565">
        <v>0</v>
      </c>
      <c r="BB565">
        <v>180</v>
      </c>
      <c r="BC565">
        <v>432</v>
      </c>
      <c r="BD565">
        <v>450</v>
      </c>
      <c r="BE565">
        <v>390</v>
      </c>
      <c r="BF565">
        <v>360</v>
      </c>
      <c r="BG565">
        <v>360</v>
      </c>
      <c r="BH565">
        <v>315</v>
      </c>
      <c r="BI565">
        <v>0</v>
      </c>
      <c r="BJ565">
        <v>0</v>
      </c>
      <c r="BK565">
        <v>180</v>
      </c>
      <c r="BL565">
        <v>245.4545454545455</v>
      </c>
      <c r="BM565">
        <v>270</v>
      </c>
      <c r="BN565">
        <v>270</v>
      </c>
      <c r="BO565">
        <v>270</v>
      </c>
      <c r="BP565">
        <v>270</v>
      </c>
      <c r="BQ565">
        <f>(I565+J565+N565+O565)/4</f>
        <v>6.5833333333333339</v>
      </c>
      <c r="BR565">
        <f>(K565+L565+M565)/3</f>
        <v>7.0444444444444443</v>
      </c>
      <c r="BS565">
        <f>BQ565/BR565</f>
        <v>0.93454258675078872</v>
      </c>
      <c r="BT565">
        <f>AQ565/I565</f>
        <v>90</v>
      </c>
      <c r="BU565" t="str">
        <f>IF(OR(A565=2, A565=12), "Central", IF(A565=3, "Semi-Central", "Periférica"))</f>
        <v>Central</v>
      </c>
    </row>
    <row r="566" spans="1:73" x14ac:dyDescent="0.3">
      <c r="A566" s="1">
        <v>3</v>
      </c>
      <c r="B566" s="1">
        <v>389</v>
      </c>
      <c r="C566" s="1" t="s">
        <v>259</v>
      </c>
      <c r="D566" t="s">
        <v>5</v>
      </c>
      <c r="E566" t="s">
        <v>0</v>
      </c>
      <c r="F566">
        <v>0</v>
      </c>
      <c r="G566">
        <v>0</v>
      </c>
      <c r="H566">
        <v>4</v>
      </c>
      <c r="I566">
        <v>4.666666666666667</v>
      </c>
      <c r="J566">
        <v>4.666666666666667</v>
      </c>
      <c r="K566">
        <v>5</v>
      </c>
      <c r="L566">
        <v>5.333333333333333</v>
      </c>
      <c r="M566">
        <v>5.2</v>
      </c>
      <c r="N566">
        <v>5</v>
      </c>
      <c r="O566">
        <v>5</v>
      </c>
      <c r="P566">
        <v>4.666666666666667</v>
      </c>
      <c r="Q566">
        <v>3.5</v>
      </c>
      <c r="R566">
        <v>0</v>
      </c>
      <c r="S566">
        <v>0</v>
      </c>
      <c r="T566">
        <v>3</v>
      </c>
      <c r="U566">
        <v>4</v>
      </c>
      <c r="V566">
        <v>4</v>
      </c>
      <c r="W566">
        <v>4</v>
      </c>
      <c r="X566">
        <v>4</v>
      </c>
      <c r="Y566">
        <v>3.6</v>
      </c>
      <c r="Z566">
        <v>2.5</v>
      </c>
      <c r="AA566">
        <v>0</v>
      </c>
      <c r="AB566">
        <v>0</v>
      </c>
      <c r="AC566">
        <v>3</v>
      </c>
      <c r="AD566">
        <v>3.4545454545454546</v>
      </c>
      <c r="AE566">
        <v>3.4</v>
      </c>
      <c r="AF566">
        <v>3.6666666666666665</v>
      </c>
      <c r="AG566">
        <v>3</v>
      </c>
      <c r="AH566">
        <v>2.5</v>
      </c>
      <c r="AI566" s="1">
        <v>3</v>
      </c>
      <c r="AJ566" s="1">
        <v>389</v>
      </c>
      <c r="AK566" s="1" t="s">
        <v>259</v>
      </c>
      <c r="AL566" t="s">
        <v>5</v>
      </c>
      <c r="AM566" t="s">
        <v>0</v>
      </c>
      <c r="AN566">
        <v>0</v>
      </c>
      <c r="AO566">
        <v>0</v>
      </c>
      <c r="AP566">
        <v>392</v>
      </c>
      <c r="AQ566">
        <v>457.33333333333331</v>
      </c>
      <c r="AR566">
        <v>457.33333333333331</v>
      </c>
      <c r="AS566">
        <v>490</v>
      </c>
      <c r="AT566">
        <v>522.66666666666663</v>
      </c>
      <c r="AU566">
        <v>509.6</v>
      </c>
      <c r="AV566">
        <v>490</v>
      </c>
      <c r="AW566">
        <v>490</v>
      </c>
      <c r="AX566">
        <v>457.33333333333331</v>
      </c>
      <c r="AY566">
        <v>343</v>
      </c>
      <c r="AZ566">
        <v>0</v>
      </c>
      <c r="BA566">
        <v>0</v>
      </c>
      <c r="BB566">
        <v>294</v>
      </c>
      <c r="BC566">
        <v>392</v>
      </c>
      <c r="BD566">
        <v>392</v>
      </c>
      <c r="BE566">
        <v>392</v>
      </c>
      <c r="BF566">
        <v>392</v>
      </c>
      <c r="BG566">
        <v>352.8</v>
      </c>
      <c r="BH566">
        <v>245</v>
      </c>
      <c r="BI566">
        <v>0</v>
      </c>
      <c r="BJ566">
        <v>0</v>
      </c>
      <c r="BK566">
        <v>294</v>
      </c>
      <c r="BL566">
        <v>338.54545454545456</v>
      </c>
      <c r="BM566">
        <v>333.2</v>
      </c>
      <c r="BN566">
        <v>359.33333333333331</v>
      </c>
      <c r="BO566">
        <v>294</v>
      </c>
      <c r="BP566">
        <v>245</v>
      </c>
      <c r="BQ566">
        <f>(I566+J566+N566+O566)/4</f>
        <v>4.8333333333333339</v>
      </c>
      <c r="BR566">
        <f>(K566+L566+M566)/3</f>
        <v>5.1777777777777771</v>
      </c>
      <c r="BS566">
        <f>BQ566/BR566</f>
        <v>0.93347639484978562</v>
      </c>
      <c r="BT566">
        <f>AQ566/I566</f>
        <v>97.999999999999986</v>
      </c>
      <c r="BU566" t="str">
        <f>IF(OR(A566=2, A566=12), "Central", IF(A566=3, "Semi-Central", "Periférica"))</f>
        <v>Semi-Central</v>
      </c>
    </row>
    <row r="567" spans="1:73" x14ac:dyDescent="0.3">
      <c r="A567" s="1">
        <v>18</v>
      </c>
      <c r="B567" s="1">
        <v>1806</v>
      </c>
      <c r="C567" s="1">
        <v>206</v>
      </c>
      <c r="D567" t="s">
        <v>5</v>
      </c>
      <c r="E567" t="s">
        <v>0</v>
      </c>
      <c r="F567">
        <v>2</v>
      </c>
      <c r="G567">
        <v>0.66666666666666663</v>
      </c>
      <c r="H567">
        <v>8</v>
      </c>
      <c r="I567">
        <v>8.6666666666666661</v>
      </c>
      <c r="J567">
        <v>7.333333333333333</v>
      </c>
      <c r="K567">
        <v>7.333333333333333</v>
      </c>
      <c r="L567">
        <v>8</v>
      </c>
      <c r="M567">
        <v>7.2</v>
      </c>
      <c r="N567">
        <v>6</v>
      </c>
      <c r="O567">
        <v>6</v>
      </c>
      <c r="P567">
        <v>5.333333333333333</v>
      </c>
      <c r="Q567">
        <v>4</v>
      </c>
      <c r="R567">
        <v>2</v>
      </c>
      <c r="S567">
        <v>0.66666666666666663</v>
      </c>
      <c r="T567">
        <v>4</v>
      </c>
      <c r="U567">
        <v>4.8</v>
      </c>
      <c r="V567">
        <v>4.666666666666667</v>
      </c>
      <c r="W567">
        <v>4.666666666666667</v>
      </c>
      <c r="X567">
        <v>4</v>
      </c>
      <c r="Y567">
        <v>4.4000000000000004</v>
      </c>
      <c r="Z567">
        <v>3.5</v>
      </c>
      <c r="AA567">
        <v>2</v>
      </c>
      <c r="AB567">
        <v>0.66666666666666663</v>
      </c>
      <c r="AC567">
        <v>3</v>
      </c>
      <c r="AD567">
        <v>3.454545454545455</v>
      </c>
      <c r="AE567">
        <v>4.5999999999999996</v>
      </c>
      <c r="AF567">
        <v>4.333333333333333</v>
      </c>
      <c r="AG567">
        <v>4</v>
      </c>
      <c r="AH567">
        <v>3.5</v>
      </c>
      <c r="AI567" s="1">
        <v>18</v>
      </c>
      <c r="AJ567" s="1">
        <v>1806</v>
      </c>
      <c r="AK567" s="1">
        <v>206</v>
      </c>
      <c r="AL567" t="s">
        <v>5</v>
      </c>
      <c r="AM567" t="s">
        <v>0</v>
      </c>
      <c r="AN567">
        <v>180</v>
      </c>
      <c r="AO567">
        <v>60</v>
      </c>
      <c r="AP567">
        <v>720</v>
      </c>
      <c r="AQ567">
        <v>780</v>
      </c>
      <c r="AR567">
        <v>660</v>
      </c>
      <c r="AS567">
        <v>660</v>
      </c>
      <c r="AT567">
        <v>720</v>
      </c>
      <c r="AU567">
        <v>648</v>
      </c>
      <c r="AV567">
        <v>540</v>
      </c>
      <c r="AW567">
        <v>540</v>
      </c>
      <c r="AX567">
        <v>480</v>
      </c>
      <c r="AY567">
        <v>360</v>
      </c>
      <c r="AZ567">
        <v>180</v>
      </c>
      <c r="BA567">
        <v>60</v>
      </c>
      <c r="BB567">
        <v>360</v>
      </c>
      <c r="BC567">
        <v>432</v>
      </c>
      <c r="BD567">
        <v>420</v>
      </c>
      <c r="BE567">
        <v>420</v>
      </c>
      <c r="BF567">
        <v>360</v>
      </c>
      <c r="BG567">
        <v>396</v>
      </c>
      <c r="BH567">
        <v>315</v>
      </c>
      <c r="BI567">
        <v>180</v>
      </c>
      <c r="BJ567">
        <v>60</v>
      </c>
      <c r="BK567">
        <v>270</v>
      </c>
      <c r="BL567">
        <v>310.90909090909088</v>
      </c>
      <c r="BM567">
        <v>414</v>
      </c>
      <c r="BN567">
        <v>390</v>
      </c>
      <c r="BO567">
        <v>360</v>
      </c>
      <c r="BP567">
        <v>315</v>
      </c>
      <c r="BQ567">
        <f>(I567+J567+N567+O567)/4</f>
        <v>7</v>
      </c>
      <c r="BR567">
        <f>(K567+L567+M567)/3</f>
        <v>7.5111111111111102</v>
      </c>
      <c r="BS567">
        <f>BQ567/BR567</f>
        <v>0.93195266272189359</v>
      </c>
      <c r="BT567">
        <f>AQ567/I567</f>
        <v>90</v>
      </c>
      <c r="BU567" t="str">
        <f>IF(OR(A567=2, A567=12), "Central", IF(A567=3, "Semi-Central", "Periférica"))</f>
        <v>Periférica</v>
      </c>
    </row>
    <row r="568" spans="1:73" x14ac:dyDescent="0.3">
      <c r="A568" s="1">
        <v>8</v>
      </c>
      <c r="B568" s="1">
        <v>832</v>
      </c>
      <c r="C568" s="1" t="s">
        <v>156</v>
      </c>
      <c r="D568" t="s">
        <v>5</v>
      </c>
      <c r="F568">
        <v>0</v>
      </c>
      <c r="G568">
        <v>0</v>
      </c>
      <c r="H568">
        <v>3</v>
      </c>
      <c r="I568">
        <v>2.666666666666667</v>
      </c>
      <c r="J568">
        <v>2.666666666666667</v>
      </c>
      <c r="K568">
        <v>3</v>
      </c>
      <c r="L568">
        <v>3.333333333333333</v>
      </c>
      <c r="M568">
        <v>2.8</v>
      </c>
      <c r="N568">
        <v>3</v>
      </c>
      <c r="O568">
        <v>3</v>
      </c>
      <c r="P568">
        <v>3.333333333333333</v>
      </c>
      <c r="Q568">
        <v>1.5</v>
      </c>
      <c r="R568">
        <v>0</v>
      </c>
      <c r="S568">
        <v>0</v>
      </c>
      <c r="T568">
        <v>0</v>
      </c>
      <c r="U568">
        <v>3.2</v>
      </c>
      <c r="V568">
        <v>2.666666666666667</v>
      </c>
      <c r="W568">
        <v>3</v>
      </c>
      <c r="X568">
        <v>2.8888888888888888</v>
      </c>
      <c r="Y568">
        <v>2.8</v>
      </c>
      <c r="Z568">
        <v>1.5</v>
      </c>
      <c r="AA568">
        <v>0</v>
      </c>
      <c r="AB568">
        <v>0</v>
      </c>
      <c r="AC568">
        <v>1.5</v>
      </c>
      <c r="AD568">
        <v>2.9090909090909092</v>
      </c>
      <c r="AE568">
        <v>3</v>
      </c>
      <c r="AF568">
        <v>2.666666666666667</v>
      </c>
      <c r="AG568">
        <v>3</v>
      </c>
      <c r="AH568">
        <v>1.5</v>
      </c>
      <c r="AI568" s="1">
        <v>8</v>
      </c>
      <c r="AJ568" s="1">
        <v>832</v>
      </c>
      <c r="AK568" s="1" t="s">
        <v>156</v>
      </c>
      <c r="AL568" t="s">
        <v>5</v>
      </c>
      <c r="AN568">
        <v>0</v>
      </c>
      <c r="AO568">
        <v>0</v>
      </c>
      <c r="AP568">
        <v>270</v>
      </c>
      <c r="AQ568">
        <v>240</v>
      </c>
      <c r="AR568">
        <v>240</v>
      </c>
      <c r="AS568">
        <v>270</v>
      </c>
      <c r="AT568">
        <v>300</v>
      </c>
      <c r="AU568">
        <v>252</v>
      </c>
      <c r="AV568">
        <v>270</v>
      </c>
      <c r="AW568">
        <v>270</v>
      </c>
      <c r="AX568">
        <v>300</v>
      </c>
      <c r="AY568">
        <v>135</v>
      </c>
      <c r="AZ568">
        <v>0</v>
      </c>
      <c r="BA568">
        <v>0</v>
      </c>
      <c r="BB568">
        <v>0</v>
      </c>
      <c r="BC568">
        <v>288</v>
      </c>
      <c r="BD568">
        <v>240</v>
      </c>
      <c r="BE568">
        <v>270</v>
      </c>
      <c r="BF568">
        <v>260</v>
      </c>
      <c r="BG568">
        <v>252</v>
      </c>
      <c r="BH568">
        <v>135</v>
      </c>
      <c r="BI568">
        <v>0</v>
      </c>
      <c r="BJ568">
        <v>0</v>
      </c>
      <c r="BK568">
        <v>135</v>
      </c>
      <c r="BL568">
        <v>261.81818181818181</v>
      </c>
      <c r="BM568">
        <v>270</v>
      </c>
      <c r="BN568">
        <v>240</v>
      </c>
      <c r="BO568">
        <v>270</v>
      </c>
      <c r="BP568">
        <v>135</v>
      </c>
      <c r="BQ568">
        <f>(I568+J568+N568+O568)/4</f>
        <v>2.8333333333333335</v>
      </c>
      <c r="BR568">
        <f>(K568+L568+M568)/3</f>
        <v>3.0444444444444443</v>
      </c>
      <c r="BS568">
        <f>BQ568/BR568</f>
        <v>0.93065693430656948</v>
      </c>
      <c r="BT568">
        <f>AQ568/I568</f>
        <v>89.999999999999986</v>
      </c>
      <c r="BU568" t="str">
        <f>IF(OR(A568=2, A568=12), "Central", IF(A568=3, "Semi-Central", "Periférica"))</f>
        <v>Periférica</v>
      </c>
    </row>
    <row r="569" spans="1:73" x14ac:dyDescent="0.3">
      <c r="A569" s="1">
        <v>15</v>
      </c>
      <c r="B569" s="1">
        <v>1560</v>
      </c>
      <c r="C569" s="1" t="s">
        <v>249</v>
      </c>
      <c r="D569" t="s">
        <v>5</v>
      </c>
      <c r="E569" t="s">
        <v>0</v>
      </c>
      <c r="F569">
        <v>0</v>
      </c>
      <c r="G569">
        <v>0</v>
      </c>
      <c r="H569">
        <v>5</v>
      </c>
      <c r="I569">
        <v>4</v>
      </c>
      <c r="J569">
        <v>4</v>
      </c>
      <c r="K569">
        <v>4</v>
      </c>
      <c r="L569">
        <v>5.333333333333333</v>
      </c>
      <c r="M569">
        <v>5.2</v>
      </c>
      <c r="N569">
        <v>5.5</v>
      </c>
      <c r="O569">
        <v>4.5</v>
      </c>
      <c r="P569">
        <v>4.666666666666667</v>
      </c>
      <c r="Q569">
        <v>2.5</v>
      </c>
      <c r="R569">
        <v>0</v>
      </c>
      <c r="S569">
        <v>0</v>
      </c>
      <c r="T569">
        <v>4</v>
      </c>
      <c r="U569">
        <v>4</v>
      </c>
      <c r="V569">
        <v>4</v>
      </c>
      <c r="W569">
        <v>4</v>
      </c>
      <c r="X569">
        <v>4.8888888888888893</v>
      </c>
      <c r="Y569">
        <v>4.4000000000000004</v>
      </c>
      <c r="Z569">
        <v>2.5</v>
      </c>
      <c r="AA569">
        <v>0</v>
      </c>
      <c r="AB569">
        <v>0</v>
      </c>
      <c r="AC569">
        <v>3</v>
      </c>
      <c r="AD569">
        <v>3.6363636363636358</v>
      </c>
      <c r="AE569">
        <v>4.5999999999999996</v>
      </c>
      <c r="AF569">
        <v>4</v>
      </c>
      <c r="AG569">
        <v>4</v>
      </c>
      <c r="AH569">
        <v>2.5</v>
      </c>
      <c r="AI569" s="1">
        <v>15</v>
      </c>
      <c r="AJ569" s="1">
        <v>1560</v>
      </c>
      <c r="AK569" s="1" t="s">
        <v>249</v>
      </c>
      <c r="AL569" t="s">
        <v>5</v>
      </c>
      <c r="AM569" t="s">
        <v>0</v>
      </c>
      <c r="AN569">
        <v>0</v>
      </c>
      <c r="AO569">
        <v>0</v>
      </c>
      <c r="AP569">
        <v>450</v>
      </c>
      <c r="AQ569">
        <v>360</v>
      </c>
      <c r="AR569">
        <v>360</v>
      </c>
      <c r="AS569">
        <v>360</v>
      </c>
      <c r="AT569">
        <v>480</v>
      </c>
      <c r="AU569">
        <v>468</v>
      </c>
      <c r="AV569">
        <v>495</v>
      </c>
      <c r="AW569">
        <v>405</v>
      </c>
      <c r="AX569">
        <v>420</v>
      </c>
      <c r="AY569">
        <v>225</v>
      </c>
      <c r="AZ569">
        <v>0</v>
      </c>
      <c r="BA569">
        <v>0</v>
      </c>
      <c r="BB569">
        <v>360</v>
      </c>
      <c r="BC569">
        <v>360</v>
      </c>
      <c r="BD569">
        <v>360</v>
      </c>
      <c r="BE569">
        <v>360</v>
      </c>
      <c r="BF569">
        <v>440</v>
      </c>
      <c r="BG569">
        <v>396</v>
      </c>
      <c r="BH569">
        <v>225</v>
      </c>
      <c r="BI569">
        <v>0</v>
      </c>
      <c r="BJ569">
        <v>0</v>
      </c>
      <c r="BK569">
        <v>270</v>
      </c>
      <c r="BL569">
        <v>327.27272727272731</v>
      </c>
      <c r="BM569">
        <v>414</v>
      </c>
      <c r="BN569">
        <v>360</v>
      </c>
      <c r="BO569">
        <v>360</v>
      </c>
      <c r="BP569">
        <v>225</v>
      </c>
      <c r="BQ569">
        <f>(I569+J569+N569+O569)/4</f>
        <v>4.5</v>
      </c>
      <c r="BR569">
        <f>(K569+L569+M569)/3</f>
        <v>4.8444444444444441</v>
      </c>
      <c r="BS569">
        <f>BQ569/BR569</f>
        <v>0.92889908256880738</v>
      </c>
      <c r="BT569">
        <f>AQ569/I569</f>
        <v>90</v>
      </c>
      <c r="BU569" t="str">
        <f>IF(OR(A569=2, A569=12), "Central", IF(A569=3, "Semi-Central", "Periférica"))</f>
        <v>Periférica</v>
      </c>
    </row>
    <row r="570" spans="1:73" x14ac:dyDescent="0.3">
      <c r="A570" s="1">
        <v>12</v>
      </c>
      <c r="B570" s="1">
        <v>1231</v>
      </c>
      <c r="C570" s="1">
        <v>411</v>
      </c>
      <c r="D570" t="s">
        <v>1</v>
      </c>
      <c r="E570" t="s">
        <v>0</v>
      </c>
      <c r="F570">
        <v>0</v>
      </c>
      <c r="G570">
        <v>0</v>
      </c>
      <c r="H570">
        <v>2</v>
      </c>
      <c r="I570">
        <v>5.333333333333333</v>
      </c>
      <c r="J570">
        <v>4.666666666666667</v>
      </c>
      <c r="K570">
        <v>5.666666666666667</v>
      </c>
      <c r="L570">
        <v>5.333333333333333</v>
      </c>
      <c r="M570">
        <v>6</v>
      </c>
      <c r="N570">
        <v>6</v>
      </c>
      <c r="O570">
        <v>5</v>
      </c>
      <c r="P570">
        <v>4</v>
      </c>
      <c r="Q570">
        <v>3.5</v>
      </c>
      <c r="R570">
        <v>0</v>
      </c>
      <c r="S570">
        <v>0</v>
      </c>
      <c r="T570">
        <v>1</v>
      </c>
      <c r="U570">
        <v>2.8</v>
      </c>
      <c r="V570">
        <v>4.333333333333333</v>
      </c>
      <c r="W570">
        <v>4.333333333333333</v>
      </c>
      <c r="X570">
        <v>4</v>
      </c>
      <c r="Y570">
        <v>2.8</v>
      </c>
      <c r="Z570">
        <v>3.5</v>
      </c>
      <c r="AA570">
        <v>0</v>
      </c>
      <c r="AB570">
        <v>0</v>
      </c>
      <c r="AC570">
        <v>2</v>
      </c>
      <c r="AD570">
        <v>3.454545454545455</v>
      </c>
      <c r="AE570">
        <v>3.6</v>
      </c>
      <c r="AF570">
        <v>2.666666666666667</v>
      </c>
      <c r="AG570">
        <v>3</v>
      </c>
      <c r="AH570">
        <v>3</v>
      </c>
      <c r="AI570" s="1">
        <v>12</v>
      </c>
      <c r="AJ570" s="1">
        <v>1231</v>
      </c>
      <c r="AK570" s="1">
        <v>411</v>
      </c>
      <c r="AL570" t="s">
        <v>1</v>
      </c>
      <c r="AM570" t="s">
        <v>0</v>
      </c>
      <c r="AN570">
        <v>0</v>
      </c>
      <c r="AO570">
        <v>0</v>
      </c>
      <c r="AP570">
        <v>180</v>
      </c>
      <c r="AQ570">
        <v>480</v>
      </c>
      <c r="AR570">
        <v>420</v>
      </c>
      <c r="AS570">
        <v>510</v>
      </c>
      <c r="AT570">
        <v>480</v>
      </c>
      <c r="AU570">
        <v>540</v>
      </c>
      <c r="AV570">
        <v>540</v>
      </c>
      <c r="AW570">
        <v>450</v>
      </c>
      <c r="AX570">
        <v>360</v>
      </c>
      <c r="AY570">
        <v>315</v>
      </c>
      <c r="AZ570">
        <v>0</v>
      </c>
      <c r="BA570">
        <v>0</v>
      </c>
      <c r="BB570">
        <v>90</v>
      </c>
      <c r="BC570">
        <v>252</v>
      </c>
      <c r="BD570">
        <v>390</v>
      </c>
      <c r="BE570">
        <v>390</v>
      </c>
      <c r="BF570">
        <v>360</v>
      </c>
      <c r="BG570">
        <v>252</v>
      </c>
      <c r="BH570">
        <v>315</v>
      </c>
      <c r="BI570">
        <v>0</v>
      </c>
      <c r="BJ570">
        <v>0</v>
      </c>
      <c r="BK570">
        <v>180</v>
      </c>
      <c r="BL570">
        <v>310.90909090909088</v>
      </c>
      <c r="BM570">
        <v>324</v>
      </c>
      <c r="BN570">
        <v>240</v>
      </c>
      <c r="BO570">
        <v>270</v>
      </c>
      <c r="BP570">
        <v>270</v>
      </c>
      <c r="BQ570">
        <f>(I570+J570+N570+O570)/4</f>
        <v>5.25</v>
      </c>
      <c r="BR570">
        <f>(K570+L570+M570)/3</f>
        <v>5.666666666666667</v>
      </c>
      <c r="BS570">
        <f>BQ570/BR570</f>
        <v>0.92647058823529405</v>
      </c>
      <c r="BT570">
        <f>AQ570/I570</f>
        <v>90</v>
      </c>
      <c r="BU570" t="str">
        <f>IF(OR(A570=2, A570=12), "Central", IF(A570=3, "Semi-Central", "Periférica"))</f>
        <v>Central</v>
      </c>
    </row>
    <row r="571" spans="1:73" x14ac:dyDescent="0.3">
      <c r="A571" s="1">
        <v>14</v>
      </c>
      <c r="B571" s="1">
        <v>1423</v>
      </c>
      <c r="C571" s="1">
        <v>423</v>
      </c>
      <c r="D571" t="s">
        <v>5</v>
      </c>
      <c r="F571">
        <v>0</v>
      </c>
      <c r="G571">
        <v>0.44444444444444442</v>
      </c>
      <c r="H571">
        <v>6</v>
      </c>
      <c r="I571">
        <v>6</v>
      </c>
      <c r="J571">
        <v>4.666666666666667</v>
      </c>
      <c r="K571">
        <v>5</v>
      </c>
      <c r="L571">
        <v>5.333333333333333</v>
      </c>
      <c r="M571">
        <v>5.2</v>
      </c>
      <c r="N571">
        <v>4.5</v>
      </c>
      <c r="O571">
        <v>4</v>
      </c>
      <c r="P571">
        <v>4</v>
      </c>
      <c r="Q571">
        <v>1.5</v>
      </c>
      <c r="R571">
        <v>0</v>
      </c>
      <c r="S571">
        <v>0</v>
      </c>
      <c r="T571">
        <v>3</v>
      </c>
      <c r="U571">
        <v>4</v>
      </c>
      <c r="V571">
        <v>4</v>
      </c>
      <c r="W571">
        <v>3.666666666666667</v>
      </c>
      <c r="X571">
        <v>3.1111111111111112</v>
      </c>
      <c r="Y571">
        <v>2</v>
      </c>
      <c r="Z571">
        <v>1</v>
      </c>
      <c r="AA571">
        <v>0</v>
      </c>
      <c r="AB571">
        <v>0</v>
      </c>
      <c r="AC571">
        <v>2</v>
      </c>
      <c r="AD571">
        <v>3.0909090909090908</v>
      </c>
      <c r="AE571">
        <v>3.6</v>
      </c>
      <c r="AF571">
        <v>3</v>
      </c>
      <c r="AG571">
        <v>2</v>
      </c>
      <c r="AH571">
        <v>1</v>
      </c>
      <c r="AI571" s="1">
        <v>14</v>
      </c>
      <c r="AJ571" s="1">
        <v>1423</v>
      </c>
      <c r="AK571" s="1">
        <v>423</v>
      </c>
      <c r="AL571" t="s">
        <v>5</v>
      </c>
      <c r="AN571">
        <v>0</v>
      </c>
      <c r="AO571">
        <v>40</v>
      </c>
      <c r="AP571">
        <v>540</v>
      </c>
      <c r="AQ571">
        <v>540</v>
      </c>
      <c r="AR571">
        <v>420</v>
      </c>
      <c r="AS571">
        <v>450</v>
      </c>
      <c r="AT571">
        <v>480</v>
      </c>
      <c r="AU571">
        <v>468</v>
      </c>
      <c r="AV571">
        <v>405</v>
      </c>
      <c r="AW571">
        <v>360</v>
      </c>
      <c r="AX571">
        <v>360</v>
      </c>
      <c r="AY571">
        <v>135</v>
      </c>
      <c r="AZ571">
        <v>0</v>
      </c>
      <c r="BA571">
        <v>0</v>
      </c>
      <c r="BB571">
        <v>270</v>
      </c>
      <c r="BC571">
        <v>360</v>
      </c>
      <c r="BD571">
        <v>360</v>
      </c>
      <c r="BE571">
        <v>330</v>
      </c>
      <c r="BF571">
        <v>280</v>
      </c>
      <c r="BG571">
        <v>180</v>
      </c>
      <c r="BH571">
        <v>90</v>
      </c>
      <c r="BI571">
        <v>0</v>
      </c>
      <c r="BJ571">
        <v>0</v>
      </c>
      <c r="BK571">
        <v>180</v>
      </c>
      <c r="BL571">
        <v>278.18181818181819</v>
      </c>
      <c r="BM571">
        <v>324</v>
      </c>
      <c r="BN571">
        <v>270</v>
      </c>
      <c r="BO571">
        <v>180</v>
      </c>
      <c r="BP571">
        <v>90</v>
      </c>
      <c r="BQ571">
        <f>(I571+J571+N571+O571)/4</f>
        <v>4.791666666666667</v>
      </c>
      <c r="BR571">
        <f>(K571+L571+M571)/3</f>
        <v>5.1777777777777771</v>
      </c>
      <c r="BS571">
        <f>BQ571/BR571</f>
        <v>0.92542918454935641</v>
      </c>
      <c r="BT571">
        <f>AQ571/I571</f>
        <v>90</v>
      </c>
      <c r="BU571" t="str">
        <f>IF(OR(A571=2, A571=12), "Central", IF(A571=3, "Semi-Central", "Periférica"))</f>
        <v>Periférica</v>
      </c>
    </row>
    <row r="572" spans="1:73" x14ac:dyDescent="0.3">
      <c r="A572" s="1">
        <v>19</v>
      </c>
      <c r="B572" s="1">
        <v>1904</v>
      </c>
      <c r="C572" s="1">
        <v>204</v>
      </c>
      <c r="D572" t="s">
        <v>1</v>
      </c>
      <c r="E572" t="s">
        <v>0</v>
      </c>
      <c r="F572">
        <v>0</v>
      </c>
      <c r="G572">
        <v>0</v>
      </c>
      <c r="H572">
        <v>12</v>
      </c>
      <c r="I572">
        <v>10</v>
      </c>
      <c r="J572">
        <v>10</v>
      </c>
      <c r="K572">
        <v>10</v>
      </c>
      <c r="L572">
        <v>10</v>
      </c>
      <c r="M572">
        <v>9.1999999999999993</v>
      </c>
      <c r="N572">
        <v>8.5</v>
      </c>
      <c r="O572">
        <v>7.5</v>
      </c>
      <c r="P572">
        <v>5.333333333333333</v>
      </c>
      <c r="Q572">
        <v>4</v>
      </c>
      <c r="R572">
        <v>0</v>
      </c>
      <c r="S572">
        <v>0</v>
      </c>
      <c r="T572">
        <v>5</v>
      </c>
      <c r="U572">
        <v>6</v>
      </c>
      <c r="V572">
        <v>6.333333333333333</v>
      </c>
      <c r="W572">
        <v>6.666666666666667</v>
      </c>
      <c r="X572">
        <v>5.7777777777777777</v>
      </c>
      <c r="Y572">
        <v>4.8</v>
      </c>
      <c r="Z572">
        <v>3.5</v>
      </c>
      <c r="AA572">
        <v>0</v>
      </c>
      <c r="AB572">
        <v>0</v>
      </c>
      <c r="AC572">
        <v>4.5</v>
      </c>
      <c r="AD572">
        <v>5.0909090909090908</v>
      </c>
      <c r="AE572">
        <v>5</v>
      </c>
      <c r="AF572">
        <v>4.666666666666667</v>
      </c>
      <c r="AG572">
        <v>4</v>
      </c>
      <c r="AH572">
        <v>3</v>
      </c>
      <c r="AI572" s="1">
        <v>19</v>
      </c>
      <c r="AJ572" s="1">
        <v>1904</v>
      </c>
      <c r="AK572" s="1">
        <v>204</v>
      </c>
      <c r="AL572" t="s">
        <v>1</v>
      </c>
      <c r="AM572" t="s">
        <v>0</v>
      </c>
      <c r="AN572">
        <v>0</v>
      </c>
      <c r="AO572">
        <v>0</v>
      </c>
      <c r="AP572">
        <v>1080</v>
      </c>
      <c r="AQ572">
        <v>900</v>
      </c>
      <c r="AR572">
        <v>900</v>
      </c>
      <c r="AS572">
        <v>900</v>
      </c>
      <c r="AT572">
        <v>900</v>
      </c>
      <c r="AU572">
        <v>828</v>
      </c>
      <c r="AV572">
        <v>765</v>
      </c>
      <c r="AW572">
        <v>675</v>
      </c>
      <c r="AX572">
        <v>480</v>
      </c>
      <c r="AY572">
        <v>360</v>
      </c>
      <c r="AZ572">
        <v>0</v>
      </c>
      <c r="BA572">
        <v>0</v>
      </c>
      <c r="BB572">
        <v>450</v>
      </c>
      <c r="BC572">
        <v>540</v>
      </c>
      <c r="BD572">
        <v>570</v>
      </c>
      <c r="BE572">
        <v>600</v>
      </c>
      <c r="BF572">
        <v>520</v>
      </c>
      <c r="BG572">
        <v>432</v>
      </c>
      <c r="BH572">
        <v>315</v>
      </c>
      <c r="BI572">
        <v>0</v>
      </c>
      <c r="BJ572">
        <v>0</v>
      </c>
      <c r="BK572">
        <v>405</v>
      </c>
      <c r="BL572">
        <v>458.18181818181819</v>
      </c>
      <c r="BM572">
        <v>450</v>
      </c>
      <c r="BN572">
        <v>420</v>
      </c>
      <c r="BO572">
        <v>360</v>
      </c>
      <c r="BP572">
        <v>270</v>
      </c>
      <c r="BQ572">
        <f>(I572+J572+N572+O572)/4</f>
        <v>9</v>
      </c>
      <c r="BR572">
        <f>(K572+L572+M572)/3</f>
        <v>9.7333333333333325</v>
      </c>
      <c r="BS572">
        <f>BQ572/BR572</f>
        <v>0.92465753424657537</v>
      </c>
      <c r="BT572">
        <f>AQ572/I572</f>
        <v>90</v>
      </c>
      <c r="BU572" t="str">
        <f>IF(OR(A572=2, A572=12), "Central", IF(A572=3, "Semi-Central", "Periférica"))</f>
        <v>Periférica</v>
      </c>
    </row>
    <row r="573" spans="1:73" x14ac:dyDescent="0.3">
      <c r="A573" s="1">
        <v>5</v>
      </c>
      <c r="B573" s="1">
        <v>543</v>
      </c>
      <c r="C573" s="1">
        <v>424</v>
      </c>
      <c r="D573" t="s">
        <v>1</v>
      </c>
      <c r="E573" t="s">
        <v>0</v>
      </c>
      <c r="F573">
        <v>2</v>
      </c>
      <c r="G573">
        <v>0</v>
      </c>
      <c r="H573">
        <v>0</v>
      </c>
      <c r="I573">
        <v>4.666666666666667</v>
      </c>
      <c r="J573">
        <v>4.666666666666667</v>
      </c>
      <c r="K573">
        <v>5.666666666666667</v>
      </c>
      <c r="L573">
        <v>5.333333333333333</v>
      </c>
      <c r="M573">
        <v>5.2</v>
      </c>
      <c r="N573">
        <v>5.5</v>
      </c>
      <c r="O573">
        <v>5</v>
      </c>
      <c r="P573">
        <v>4.666666666666667</v>
      </c>
      <c r="Q573">
        <v>3</v>
      </c>
      <c r="R573">
        <v>2</v>
      </c>
      <c r="S573">
        <v>0</v>
      </c>
      <c r="T573">
        <v>2</v>
      </c>
      <c r="U573">
        <v>4</v>
      </c>
      <c r="V573">
        <v>4</v>
      </c>
      <c r="W573">
        <v>4</v>
      </c>
      <c r="X573">
        <v>4</v>
      </c>
      <c r="Y573">
        <v>3.6</v>
      </c>
      <c r="Z573">
        <v>3</v>
      </c>
      <c r="AA573">
        <v>2</v>
      </c>
      <c r="AB573">
        <v>0</v>
      </c>
      <c r="AC573">
        <v>2</v>
      </c>
      <c r="AD573">
        <v>3.0909090909090908</v>
      </c>
      <c r="AE573">
        <v>3</v>
      </c>
      <c r="AF573">
        <v>3</v>
      </c>
      <c r="AG573">
        <v>3</v>
      </c>
      <c r="AH573">
        <v>2.5</v>
      </c>
      <c r="AI573" s="1">
        <v>5</v>
      </c>
      <c r="AJ573" s="1">
        <v>543</v>
      </c>
      <c r="AK573" s="1">
        <v>424</v>
      </c>
      <c r="AL573" t="s">
        <v>1</v>
      </c>
      <c r="AM573" t="s">
        <v>0</v>
      </c>
      <c r="AN573">
        <v>162</v>
      </c>
      <c r="AO573">
        <v>0</v>
      </c>
      <c r="AP573">
        <v>0</v>
      </c>
      <c r="AQ573">
        <v>378</v>
      </c>
      <c r="AR573">
        <v>378</v>
      </c>
      <c r="AS573">
        <v>459</v>
      </c>
      <c r="AT573">
        <v>432</v>
      </c>
      <c r="AU573">
        <v>421.2</v>
      </c>
      <c r="AV573">
        <v>445.5</v>
      </c>
      <c r="AW573">
        <v>405</v>
      </c>
      <c r="AX573">
        <v>378</v>
      </c>
      <c r="AY573">
        <v>243</v>
      </c>
      <c r="AZ573">
        <v>162</v>
      </c>
      <c r="BA573">
        <v>0</v>
      </c>
      <c r="BB573">
        <v>162</v>
      </c>
      <c r="BC573">
        <v>324</v>
      </c>
      <c r="BD573">
        <v>324</v>
      </c>
      <c r="BE573">
        <v>324</v>
      </c>
      <c r="BF573">
        <v>324</v>
      </c>
      <c r="BG573">
        <v>291.60000000000002</v>
      </c>
      <c r="BH573">
        <v>243</v>
      </c>
      <c r="BI573">
        <v>162</v>
      </c>
      <c r="BJ573">
        <v>0</v>
      </c>
      <c r="BK573">
        <v>162</v>
      </c>
      <c r="BL573">
        <v>250.36363636363637</v>
      </c>
      <c r="BM573">
        <v>243</v>
      </c>
      <c r="BN573">
        <v>243</v>
      </c>
      <c r="BO573">
        <v>243</v>
      </c>
      <c r="BP573">
        <v>202.5</v>
      </c>
      <c r="BQ573">
        <f>(I573+J573+N573+O573)/4</f>
        <v>4.9583333333333339</v>
      </c>
      <c r="BR573">
        <f>(K573+L573+M573)/3</f>
        <v>5.3999999999999995</v>
      </c>
      <c r="BS573">
        <f>BQ573/BR573</f>
        <v>0.91820987654321007</v>
      </c>
      <c r="BT573">
        <f>AQ573/I573</f>
        <v>81</v>
      </c>
      <c r="BU573" t="str">
        <f>IF(OR(A573=2, A573=12), "Central", IF(A573=3, "Semi-Central", "Periférica"))</f>
        <v>Periférica</v>
      </c>
    </row>
    <row r="574" spans="1:73" x14ac:dyDescent="0.3">
      <c r="A574" s="1">
        <v>13</v>
      </c>
      <c r="B574" s="1">
        <v>1343</v>
      </c>
      <c r="C574" s="1" t="s">
        <v>258</v>
      </c>
      <c r="D574" t="s">
        <v>1</v>
      </c>
      <c r="F574">
        <v>0</v>
      </c>
      <c r="G574">
        <v>0</v>
      </c>
      <c r="H574">
        <v>3</v>
      </c>
      <c r="I574">
        <v>4</v>
      </c>
      <c r="J574">
        <v>4.666666666666667</v>
      </c>
      <c r="K574">
        <v>4.666666666666667</v>
      </c>
      <c r="L574">
        <v>4.666666666666667</v>
      </c>
      <c r="M574">
        <v>5.2</v>
      </c>
      <c r="N574">
        <v>4.5</v>
      </c>
      <c r="O574">
        <v>4.5</v>
      </c>
      <c r="P574">
        <v>3.333333333333333</v>
      </c>
      <c r="Q574">
        <v>2.5</v>
      </c>
      <c r="R574">
        <v>0</v>
      </c>
      <c r="S574">
        <v>0</v>
      </c>
      <c r="T574">
        <v>2</v>
      </c>
      <c r="U574">
        <v>3.6</v>
      </c>
      <c r="V574">
        <v>5</v>
      </c>
      <c r="W574">
        <v>3.666666666666667</v>
      </c>
      <c r="X574">
        <v>3.5555555555555549</v>
      </c>
      <c r="Y574">
        <v>2.8</v>
      </c>
      <c r="Z574">
        <v>2.5</v>
      </c>
      <c r="AA574">
        <v>0</v>
      </c>
      <c r="AB574">
        <v>0</v>
      </c>
      <c r="AC574">
        <v>2.5</v>
      </c>
      <c r="AD574">
        <v>3.0909090909090908</v>
      </c>
      <c r="AE574">
        <v>3</v>
      </c>
      <c r="AF574">
        <v>3.333333333333333</v>
      </c>
      <c r="AG574">
        <v>4</v>
      </c>
      <c r="AH574">
        <v>2</v>
      </c>
      <c r="AI574" s="1">
        <v>13</v>
      </c>
      <c r="AJ574" s="1">
        <v>1343</v>
      </c>
      <c r="AK574" s="1" t="s">
        <v>258</v>
      </c>
      <c r="AL574" t="s">
        <v>1</v>
      </c>
      <c r="AN574">
        <v>0</v>
      </c>
      <c r="AO574">
        <v>0</v>
      </c>
      <c r="AP574">
        <v>270</v>
      </c>
      <c r="AQ574">
        <v>360</v>
      </c>
      <c r="AR574">
        <v>420</v>
      </c>
      <c r="AS574">
        <v>420</v>
      </c>
      <c r="AT574">
        <v>420</v>
      </c>
      <c r="AU574">
        <v>468</v>
      </c>
      <c r="AV574">
        <v>405</v>
      </c>
      <c r="AW574">
        <v>405</v>
      </c>
      <c r="AX574">
        <v>300</v>
      </c>
      <c r="AY574">
        <v>225</v>
      </c>
      <c r="AZ574">
        <v>0</v>
      </c>
      <c r="BA574">
        <v>0</v>
      </c>
      <c r="BB574">
        <v>180</v>
      </c>
      <c r="BC574">
        <v>324</v>
      </c>
      <c r="BD574">
        <v>450</v>
      </c>
      <c r="BE574">
        <v>330</v>
      </c>
      <c r="BF574">
        <v>320</v>
      </c>
      <c r="BG574">
        <v>252</v>
      </c>
      <c r="BH574">
        <v>225</v>
      </c>
      <c r="BI574">
        <v>0</v>
      </c>
      <c r="BJ574">
        <v>0</v>
      </c>
      <c r="BK574">
        <v>225</v>
      </c>
      <c r="BL574">
        <v>278.18181818181819</v>
      </c>
      <c r="BM574">
        <v>270</v>
      </c>
      <c r="BN574">
        <v>300</v>
      </c>
      <c r="BO574">
        <v>360</v>
      </c>
      <c r="BP574">
        <v>180</v>
      </c>
      <c r="BQ574">
        <f>(I574+J574+N574+O574)/4</f>
        <v>4.416666666666667</v>
      </c>
      <c r="BR574">
        <f>(K574+L574+M574)/3</f>
        <v>4.844444444444445</v>
      </c>
      <c r="BS574">
        <f>BQ574/BR574</f>
        <v>0.91169724770642202</v>
      </c>
      <c r="BT574">
        <f>AQ574/I574</f>
        <v>90</v>
      </c>
      <c r="BU574" t="str">
        <f>IF(OR(A574=2, A574=12), "Central", IF(A574=3, "Semi-Central", "Periférica"))</f>
        <v>Periférica</v>
      </c>
    </row>
    <row r="575" spans="1:73" x14ac:dyDescent="0.3">
      <c r="A575" s="1">
        <v>12</v>
      </c>
      <c r="B575" s="1">
        <v>1203</v>
      </c>
      <c r="C575" s="1" t="s">
        <v>257</v>
      </c>
      <c r="D575" t="s">
        <v>5</v>
      </c>
      <c r="E575" t="s">
        <v>0</v>
      </c>
      <c r="F575">
        <v>0</v>
      </c>
      <c r="G575">
        <v>0.66666666666666663</v>
      </c>
      <c r="H575">
        <v>5</v>
      </c>
      <c r="I575">
        <v>6.666666666666667</v>
      </c>
      <c r="J575">
        <v>6</v>
      </c>
      <c r="K575">
        <v>7</v>
      </c>
      <c r="L575">
        <v>7.333333333333333</v>
      </c>
      <c r="M575">
        <v>6.8</v>
      </c>
      <c r="N575">
        <v>6.5</v>
      </c>
      <c r="O575">
        <v>6.5</v>
      </c>
      <c r="P575">
        <v>6</v>
      </c>
      <c r="Q575">
        <v>4.5</v>
      </c>
      <c r="R575">
        <v>0</v>
      </c>
      <c r="S575">
        <v>0</v>
      </c>
      <c r="T575">
        <v>4</v>
      </c>
      <c r="U575">
        <v>5.2</v>
      </c>
      <c r="V575">
        <v>5.333333333333333</v>
      </c>
      <c r="W575">
        <v>5.333333333333333</v>
      </c>
      <c r="X575">
        <v>4.8888888888888893</v>
      </c>
      <c r="Y575">
        <v>4</v>
      </c>
      <c r="Z575">
        <v>3.5</v>
      </c>
      <c r="AA575">
        <v>0</v>
      </c>
      <c r="AB575">
        <v>0</v>
      </c>
      <c r="AC575">
        <v>3</v>
      </c>
      <c r="AD575">
        <v>3.6363636363636358</v>
      </c>
      <c r="AE575">
        <v>4</v>
      </c>
      <c r="AF575">
        <v>4</v>
      </c>
      <c r="AG575">
        <v>3</v>
      </c>
      <c r="AH575">
        <v>3.5</v>
      </c>
      <c r="AI575" s="1">
        <v>12</v>
      </c>
      <c r="AJ575" s="1">
        <v>1203</v>
      </c>
      <c r="AK575" s="1" t="s">
        <v>257</v>
      </c>
      <c r="AL575" t="s">
        <v>5</v>
      </c>
      <c r="AM575" t="s">
        <v>0</v>
      </c>
      <c r="AN575">
        <v>0</v>
      </c>
      <c r="AO575">
        <v>60</v>
      </c>
      <c r="AP575">
        <v>450</v>
      </c>
      <c r="AQ575">
        <v>600</v>
      </c>
      <c r="AR575">
        <v>540</v>
      </c>
      <c r="AS575">
        <v>630</v>
      </c>
      <c r="AT575">
        <v>660</v>
      </c>
      <c r="AU575">
        <v>612</v>
      </c>
      <c r="AV575">
        <v>585</v>
      </c>
      <c r="AW575">
        <v>585</v>
      </c>
      <c r="AX575">
        <v>540</v>
      </c>
      <c r="AY575">
        <v>405</v>
      </c>
      <c r="AZ575">
        <v>0</v>
      </c>
      <c r="BA575">
        <v>0</v>
      </c>
      <c r="BB575">
        <v>360</v>
      </c>
      <c r="BC575">
        <v>468</v>
      </c>
      <c r="BD575">
        <v>480</v>
      </c>
      <c r="BE575">
        <v>480</v>
      </c>
      <c r="BF575">
        <v>440</v>
      </c>
      <c r="BG575">
        <v>360</v>
      </c>
      <c r="BH575">
        <v>315</v>
      </c>
      <c r="BI575">
        <v>0</v>
      </c>
      <c r="BJ575">
        <v>0</v>
      </c>
      <c r="BK575">
        <v>270</v>
      </c>
      <c r="BL575">
        <v>327.27272727272731</v>
      </c>
      <c r="BM575">
        <v>360</v>
      </c>
      <c r="BN575">
        <v>360</v>
      </c>
      <c r="BO575">
        <v>270</v>
      </c>
      <c r="BP575">
        <v>315</v>
      </c>
      <c r="BQ575">
        <f>(I575+J575+N575+O575)/4</f>
        <v>6.416666666666667</v>
      </c>
      <c r="BR575">
        <f>(K575+L575+M575)/3</f>
        <v>7.0444444444444443</v>
      </c>
      <c r="BS575">
        <f>BQ575/BR575</f>
        <v>0.9108832807570979</v>
      </c>
      <c r="BT575">
        <f>AQ575/I575</f>
        <v>90</v>
      </c>
      <c r="BU575" t="str">
        <f>IF(OR(A575=2, A575=12), "Central", IF(A575=3, "Semi-Central", "Periférica"))</f>
        <v>Central</v>
      </c>
    </row>
    <row r="576" spans="1:73" x14ac:dyDescent="0.3">
      <c r="A576" s="1">
        <v>13</v>
      </c>
      <c r="B576" s="1">
        <v>1304</v>
      </c>
      <c r="C576" s="1">
        <v>404</v>
      </c>
      <c r="D576" t="s">
        <v>5</v>
      </c>
      <c r="F576">
        <v>3</v>
      </c>
      <c r="G576">
        <v>0</v>
      </c>
      <c r="H576">
        <v>5</v>
      </c>
      <c r="I576">
        <v>5.333333333333333</v>
      </c>
      <c r="J576">
        <v>6</v>
      </c>
      <c r="K576">
        <v>6</v>
      </c>
      <c r="L576">
        <v>6</v>
      </c>
      <c r="M576">
        <v>6.4</v>
      </c>
      <c r="N576">
        <v>6</v>
      </c>
      <c r="O576">
        <v>5</v>
      </c>
      <c r="P576">
        <v>5.333333333333333</v>
      </c>
      <c r="Q576">
        <v>3.5</v>
      </c>
      <c r="R576">
        <v>2</v>
      </c>
      <c r="S576">
        <v>0</v>
      </c>
      <c r="T576">
        <v>3</v>
      </c>
      <c r="U576">
        <v>5.2</v>
      </c>
      <c r="V576">
        <v>6</v>
      </c>
      <c r="W576">
        <v>6</v>
      </c>
      <c r="X576">
        <v>5.1111111111111107</v>
      </c>
      <c r="Y576">
        <v>4</v>
      </c>
      <c r="Z576">
        <v>3</v>
      </c>
      <c r="AA576">
        <v>2</v>
      </c>
      <c r="AB576">
        <v>0</v>
      </c>
      <c r="AC576">
        <v>3.5</v>
      </c>
      <c r="AD576">
        <v>4.1818181818181817</v>
      </c>
      <c r="AE576">
        <v>4</v>
      </c>
      <c r="AF576">
        <v>3.333333333333333</v>
      </c>
      <c r="AG576">
        <v>3</v>
      </c>
      <c r="AH576">
        <v>2.5</v>
      </c>
      <c r="AI576" s="1">
        <v>13</v>
      </c>
      <c r="AJ576" s="1">
        <v>1304</v>
      </c>
      <c r="AK576" s="1">
        <v>404</v>
      </c>
      <c r="AL576" t="s">
        <v>5</v>
      </c>
      <c r="AN576">
        <v>450</v>
      </c>
      <c r="AO576">
        <v>0</v>
      </c>
      <c r="AP576">
        <v>750</v>
      </c>
      <c r="AQ576">
        <v>800</v>
      </c>
      <c r="AR576">
        <v>900</v>
      </c>
      <c r="AS576">
        <v>900</v>
      </c>
      <c r="AT576">
        <v>900</v>
      </c>
      <c r="AU576">
        <v>960</v>
      </c>
      <c r="AV576">
        <v>900</v>
      </c>
      <c r="AW576">
        <v>750</v>
      </c>
      <c r="AX576">
        <v>800</v>
      </c>
      <c r="AY576">
        <v>525</v>
      </c>
      <c r="AZ576">
        <v>180</v>
      </c>
      <c r="BA576">
        <v>0</v>
      </c>
      <c r="BB576">
        <v>270</v>
      </c>
      <c r="BC576">
        <v>468</v>
      </c>
      <c r="BD576">
        <v>540</v>
      </c>
      <c r="BE576">
        <v>540</v>
      </c>
      <c r="BF576">
        <v>460</v>
      </c>
      <c r="BG576">
        <v>360</v>
      </c>
      <c r="BH576">
        <v>270</v>
      </c>
      <c r="BI576">
        <v>180</v>
      </c>
      <c r="BJ576">
        <v>0</v>
      </c>
      <c r="BK576">
        <v>315</v>
      </c>
      <c r="BL576">
        <v>376.36363636363637</v>
      </c>
      <c r="BM576">
        <v>360</v>
      </c>
      <c r="BN576">
        <v>300</v>
      </c>
      <c r="BO576">
        <v>270</v>
      </c>
      <c r="BP576">
        <v>225</v>
      </c>
      <c r="BQ576">
        <f>(I576+J576+N576+O576)/4</f>
        <v>5.583333333333333</v>
      </c>
      <c r="BR576">
        <f>(K576+L576+M576)/3</f>
        <v>6.1333333333333329</v>
      </c>
      <c r="BS576">
        <f>BQ576/BR576</f>
        <v>0.91032608695652173</v>
      </c>
      <c r="BT576">
        <f>AQ576/I576</f>
        <v>150</v>
      </c>
      <c r="BU576" t="str">
        <f>IF(OR(A576=2, A576=12), "Central", IF(A576=3, "Semi-Central", "Periférica"))</f>
        <v>Periférica</v>
      </c>
    </row>
    <row r="577" spans="1:73" x14ac:dyDescent="0.3">
      <c r="A577" s="1">
        <v>13</v>
      </c>
      <c r="B577" s="1">
        <v>1329</v>
      </c>
      <c r="C577" s="1">
        <v>429</v>
      </c>
      <c r="D577" t="s">
        <v>1</v>
      </c>
      <c r="F577">
        <v>0</v>
      </c>
      <c r="G577">
        <v>0.66666666666666663</v>
      </c>
      <c r="H577">
        <v>5</v>
      </c>
      <c r="I577">
        <v>5.333333333333333</v>
      </c>
      <c r="J577">
        <v>6</v>
      </c>
      <c r="K577">
        <v>6</v>
      </c>
      <c r="L577">
        <v>6</v>
      </c>
      <c r="M577">
        <v>6</v>
      </c>
      <c r="N577">
        <v>5.5</v>
      </c>
      <c r="O577">
        <v>5</v>
      </c>
      <c r="P577">
        <v>4.666666666666667</v>
      </c>
      <c r="Q577">
        <v>3.5</v>
      </c>
      <c r="R577">
        <v>0</v>
      </c>
      <c r="S577">
        <v>0</v>
      </c>
      <c r="T577">
        <v>3</v>
      </c>
      <c r="U577">
        <v>4.8</v>
      </c>
      <c r="V577">
        <v>4.666666666666667</v>
      </c>
      <c r="W577">
        <v>5</v>
      </c>
      <c r="X577">
        <v>4.4444444444444446</v>
      </c>
      <c r="Y577">
        <v>2.8</v>
      </c>
      <c r="Z577">
        <v>3</v>
      </c>
      <c r="AA577">
        <v>0</v>
      </c>
      <c r="AB577">
        <v>0</v>
      </c>
      <c r="AC577">
        <v>2.5</v>
      </c>
      <c r="AD577">
        <v>4.1818181818181817</v>
      </c>
      <c r="AE577">
        <v>4.4000000000000004</v>
      </c>
      <c r="AF577">
        <v>3.333333333333333</v>
      </c>
      <c r="AG577">
        <v>3</v>
      </c>
      <c r="AH577">
        <v>2.5</v>
      </c>
      <c r="AI577" s="1">
        <v>13</v>
      </c>
      <c r="AJ577" s="1">
        <v>1329</v>
      </c>
      <c r="AK577" s="1">
        <v>429</v>
      </c>
      <c r="AL577" t="s">
        <v>1</v>
      </c>
      <c r="AN577">
        <v>0</v>
      </c>
      <c r="AO577">
        <v>60</v>
      </c>
      <c r="AP577">
        <v>450</v>
      </c>
      <c r="AQ577">
        <v>480</v>
      </c>
      <c r="AR577">
        <v>540</v>
      </c>
      <c r="AS577">
        <v>540</v>
      </c>
      <c r="AT577">
        <v>540</v>
      </c>
      <c r="AU577">
        <v>540</v>
      </c>
      <c r="AV577">
        <v>495</v>
      </c>
      <c r="AW577">
        <v>450</v>
      </c>
      <c r="AX577">
        <v>420</v>
      </c>
      <c r="AY577">
        <v>315</v>
      </c>
      <c r="AZ577">
        <v>0</v>
      </c>
      <c r="BA577">
        <v>0</v>
      </c>
      <c r="BB577">
        <v>270</v>
      </c>
      <c r="BC577">
        <v>432</v>
      </c>
      <c r="BD577">
        <v>420</v>
      </c>
      <c r="BE577">
        <v>450</v>
      </c>
      <c r="BF577">
        <v>400</v>
      </c>
      <c r="BG577">
        <v>252</v>
      </c>
      <c r="BH577">
        <v>270</v>
      </c>
      <c r="BI577">
        <v>0</v>
      </c>
      <c r="BJ577">
        <v>0</v>
      </c>
      <c r="BK577">
        <v>225</v>
      </c>
      <c r="BL577">
        <v>376.36363636363637</v>
      </c>
      <c r="BM577">
        <v>396</v>
      </c>
      <c r="BN577">
        <v>300</v>
      </c>
      <c r="BO577">
        <v>270</v>
      </c>
      <c r="BP577">
        <v>225</v>
      </c>
      <c r="BQ577">
        <f>(I577+J577+N577+O577)/4</f>
        <v>5.458333333333333</v>
      </c>
      <c r="BR577">
        <f>(K577+L577+M577)/3</f>
        <v>6</v>
      </c>
      <c r="BS577">
        <f>BQ577/BR577</f>
        <v>0.90972222222222221</v>
      </c>
      <c r="BT577">
        <f>AQ577/I577</f>
        <v>90</v>
      </c>
      <c r="BU577" t="str">
        <f>IF(OR(A577=2, A577=12), "Central", IF(A577=3, "Semi-Central", "Periférica"))</f>
        <v>Periférica</v>
      </c>
    </row>
    <row r="578" spans="1:73" x14ac:dyDescent="0.3">
      <c r="A578" s="1">
        <v>16</v>
      </c>
      <c r="B578" s="1">
        <v>1607</v>
      </c>
      <c r="C578" s="1">
        <v>207</v>
      </c>
      <c r="D578" t="s">
        <v>5</v>
      </c>
      <c r="E578" t="s">
        <v>0</v>
      </c>
      <c r="F578">
        <v>2</v>
      </c>
      <c r="G578">
        <v>2.4444444444444451</v>
      </c>
      <c r="H578">
        <v>6</v>
      </c>
      <c r="I578">
        <v>8</v>
      </c>
      <c r="J578">
        <v>8</v>
      </c>
      <c r="K578">
        <v>8</v>
      </c>
      <c r="L578">
        <v>8</v>
      </c>
      <c r="M578">
        <v>9.1999999999999993</v>
      </c>
      <c r="N578">
        <v>7.5</v>
      </c>
      <c r="O578">
        <v>7</v>
      </c>
      <c r="P578">
        <v>6</v>
      </c>
      <c r="Q578">
        <v>4.5</v>
      </c>
      <c r="R578">
        <v>2</v>
      </c>
      <c r="S578">
        <v>2.2222222222222219</v>
      </c>
      <c r="T578">
        <v>6</v>
      </c>
      <c r="U578">
        <v>6</v>
      </c>
      <c r="V578">
        <v>6</v>
      </c>
      <c r="W578">
        <v>6.666666666666667</v>
      </c>
      <c r="X578">
        <v>6</v>
      </c>
      <c r="Y578">
        <v>5.6</v>
      </c>
      <c r="Z578">
        <v>4.5</v>
      </c>
      <c r="AA578">
        <v>2</v>
      </c>
      <c r="AB578">
        <v>2.2222222222222219</v>
      </c>
      <c r="AC578">
        <v>3.5</v>
      </c>
      <c r="AD578">
        <v>4.7272727272727284</v>
      </c>
      <c r="AE578">
        <v>4.4000000000000004</v>
      </c>
      <c r="AF578">
        <v>5</v>
      </c>
      <c r="AG578">
        <v>5</v>
      </c>
      <c r="AH578">
        <v>4</v>
      </c>
      <c r="AI578" s="1">
        <v>16</v>
      </c>
      <c r="AJ578" s="1">
        <v>1607</v>
      </c>
      <c r="AK578" s="1">
        <v>207</v>
      </c>
      <c r="AL578" t="s">
        <v>5</v>
      </c>
      <c r="AM578" t="s">
        <v>0</v>
      </c>
      <c r="AN578">
        <v>300</v>
      </c>
      <c r="AO578">
        <v>366.66666666666669</v>
      </c>
      <c r="AP578">
        <v>900</v>
      </c>
      <c r="AQ578">
        <v>1200</v>
      </c>
      <c r="AR578">
        <v>1200</v>
      </c>
      <c r="AS578">
        <v>1200</v>
      </c>
      <c r="AT578">
        <v>1200</v>
      </c>
      <c r="AU578">
        <v>1380</v>
      </c>
      <c r="AV578">
        <v>1125</v>
      </c>
      <c r="AW578">
        <v>1050</v>
      </c>
      <c r="AX578">
        <v>900</v>
      </c>
      <c r="AY578">
        <v>675</v>
      </c>
      <c r="AZ578">
        <v>300</v>
      </c>
      <c r="BA578">
        <v>333.33333333333331</v>
      </c>
      <c r="BB578">
        <v>900</v>
      </c>
      <c r="BC578">
        <v>900</v>
      </c>
      <c r="BD578">
        <v>900</v>
      </c>
      <c r="BE578">
        <v>1000</v>
      </c>
      <c r="BF578">
        <v>900</v>
      </c>
      <c r="BG578">
        <v>840</v>
      </c>
      <c r="BH578">
        <v>675</v>
      </c>
      <c r="BI578">
        <v>180</v>
      </c>
      <c r="BJ578">
        <v>200</v>
      </c>
      <c r="BK578">
        <v>315</v>
      </c>
      <c r="BL578">
        <v>425.45454545454538</v>
      </c>
      <c r="BM578">
        <v>396</v>
      </c>
      <c r="BN578">
        <v>450</v>
      </c>
      <c r="BO578">
        <v>450</v>
      </c>
      <c r="BP578">
        <v>360</v>
      </c>
      <c r="BQ578">
        <f>(I578+J578+N578+O578)/4</f>
        <v>7.625</v>
      </c>
      <c r="BR578">
        <f>(K578+L578+M578)/3</f>
        <v>8.4</v>
      </c>
      <c r="BS578">
        <f>BQ578/BR578</f>
        <v>0.90773809523809523</v>
      </c>
      <c r="BT578">
        <f>AQ578/I578</f>
        <v>150</v>
      </c>
      <c r="BU578" t="str">
        <f>IF(OR(A578=2, A578=12), "Central", IF(A578=3, "Semi-Central", "Periférica"))</f>
        <v>Periférica</v>
      </c>
    </row>
    <row r="579" spans="1:73" x14ac:dyDescent="0.3">
      <c r="A579" s="1">
        <v>8</v>
      </c>
      <c r="B579" s="1">
        <v>825</v>
      </c>
      <c r="C579" s="1" t="s">
        <v>158</v>
      </c>
      <c r="D579" t="s">
        <v>5</v>
      </c>
      <c r="F579">
        <v>0</v>
      </c>
      <c r="G579">
        <v>0.22222222222222221</v>
      </c>
      <c r="H579">
        <v>3</v>
      </c>
      <c r="I579">
        <v>3.333333333333333</v>
      </c>
      <c r="J579">
        <v>4</v>
      </c>
      <c r="K579">
        <v>4</v>
      </c>
      <c r="L579">
        <v>4</v>
      </c>
      <c r="M579">
        <v>4.8</v>
      </c>
      <c r="N579">
        <v>4</v>
      </c>
      <c r="O579">
        <v>4</v>
      </c>
      <c r="P579">
        <v>3.333333333333333</v>
      </c>
      <c r="Q579">
        <v>3</v>
      </c>
      <c r="R579">
        <v>0</v>
      </c>
      <c r="S579">
        <v>0.22222222222222221</v>
      </c>
      <c r="T579">
        <v>2</v>
      </c>
      <c r="U579">
        <v>3.6</v>
      </c>
      <c r="V579">
        <v>3.333333333333333</v>
      </c>
      <c r="W579">
        <v>3</v>
      </c>
      <c r="X579">
        <v>3.1111111111111112</v>
      </c>
      <c r="Y579">
        <v>2.8</v>
      </c>
      <c r="Z579">
        <v>2.5</v>
      </c>
      <c r="AA579">
        <v>0</v>
      </c>
      <c r="AB579">
        <v>0.22222222222222221</v>
      </c>
      <c r="AC579">
        <v>2.5</v>
      </c>
      <c r="AD579">
        <v>3.0909090909090908</v>
      </c>
      <c r="AE579">
        <v>3</v>
      </c>
      <c r="AF579">
        <v>3</v>
      </c>
      <c r="AG579">
        <v>3</v>
      </c>
      <c r="AH579">
        <v>2</v>
      </c>
      <c r="AI579" s="1">
        <v>8</v>
      </c>
      <c r="AJ579" s="1">
        <v>825</v>
      </c>
      <c r="AK579" s="1" t="s">
        <v>158</v>
      </c>
      <c r="AL579" t="s">
        <v>5</v>
      </c>
      <c r="AN579">
        <v>0</v>
      </c>
      <c r="AO579">
        <v>20</v>
      </c>
      <c r="AP579">
        <v>270</v>
      </c>
      <c r="AQ579">
        <v>300</v>
      </c>
      <c r="AR579">
        <v>360</v>
      </c>
      <c r="AS579">
        <v>360</v>
      </c>
      <c r="AT579">
        <v>360</v>
      </c>
      <c r="AU579">
        <v>432</v>
      </c>
      <c r="AV579">
        <v>360</v>
      </c>
      <c r="AW579">
        <v>360</v>
      </c>
      <c r="AX579">
        <v>300</v>
      </c>
      <c r="AY579">
        <v>270</v>
      </c>
      <c r="AZ579">
        <v>0</v>
      </c>
      <c r="BA579">
        <v>20</v>
      </c>
      <c r="BB579">
        <v>180</v>
      </c>
      <c r="BC579">
        <v>324</v>
      </c>
      <c r="BD579">
        <v>300</v>
      </c>
      <c r="BE579">
        <v>270</v>
      </c>
      <c r="BF579">
        <v>280</v>
      </c>
      <c r="BG579">
        <v>252</v>
      </c>
      <c r="BH579">
        <v>225</v>
      </c>
      <c r="BI579">
        <v>0</v>
      </c>
      <c r="BJ579">
        <v>20</v>
      </c>
      <c r="BK579">
        <v>225</v>
      </c>
      <c r="BL579">
        <v>278.18181818181819</v>
      </c>
      <c r="BM579">
        <v>270</v>
      </c>
      <c r="BN579">
        <v>270</v>
      </c>
      <c r="BO579">
        <v>270</v>
      </c>
      <c r="BP579">
        <v>180</v>
      </c>
      <c r="BQ579">
        <f>(I579+J579+N579+O579)/4</f>
        <v>3.833333333333333</v>
      </c>
      <c r="BR579">
        <f>(K579+L579+M579)/3</f>
        <v>4.2666666666666666</v>
      </c>
      <c r="BS579">
        <f>BQ579/BR579</f>
        <v>0.89843749999999989</v>
      </c>
      <c r="BT579">
        <f>AQ579/I579</f>
        <v>90.000000000000014</v>
      </c>
      <c r="BU579" t="str">
        <f>IF(OR(A579=2, A579=12), "Central", IF(A579=3, "Semi-Central", "Periférica"))</f>
        <v>Periférica</v>
      </c>
    </row>
    <row r="580" spans="1:73" x14ac:dyDescent="0.3">
      <c r="A580" s="1">
        <v>12</v>
      </c>
      <c r="B580" s="1">
        <v>1229</v>
      </c>
      <c r="C580" s="1">
        <v>409</v>
      </c>
      <c r="D580" t="s">
        <v>1</v>
      </c>
      <c r="E580" t="s">
        <v>0</v>
      </c>
      <c r="F580">
        <v>3</v>
      </c>
      <c r="G580">
        <v>0</v>
      </c>
      <c r="H580">
        <v>3</v>
      </c>
      <c r="I580">
        <v>5.333333333333333</v>
      </c>
      <c r="J580">
        <v>4.666666666666667</v>
      </c>
      <c r="K580">
        <v>6.333333333333333</v>
      </c>
      <c r="L580">
        <v>6.666666666666667</v>
      </c>
      <c r="M580">
        <v>7.2</v>
      </c>
      <c r="N580">
        <v>8</v>
      </c>
      <c r="O580">
        <v>6</v>
      </c>
      <c r="P580">
        <v>5.333333333333333</v>
      </c>
      <c r="Q580">
        <v>3</v>
      </c>
      <c r="R580">
        <v>2</v>
      </c>
      <c r="S580">
        <v>0</v>
      </c>
      <c r="T580">
        <v>2</v>
      </c>
      <c r="U580">
        <v>4</v>
      </c>
      <c r="V580">
        <v>7</v>
      </c>
      <c r="W580">
        <v>6</v>
      </c>
      <c r="X580">
        <v>5.5555555555555554</v>
      </c>
      <c r="Y580">
        <v>8.8000000000000007</v>
      </c>
      <c r="Z580">
        <v>3.5</v>
      </c>
      <c r="AA580">
        <v>2</v>
      </c>
      <c r="AB580">
        <v>0</v>
      </c>
      <c r="AC580">
        <v>2.5</v>
      </c>
      <c r="AD580">
        <v>5.2727272727272716</v>
      </c>
      <c r="AE580">
        <v>5.2</v>
      </c>
      <c r="AF580">
        <v>6.333333333333333</v>
      </c>
      <c r="AG580">
        <v>7</v>
      </c>
      <c r="AH580">
        <v>3</v>
      </c>
      <c r="AI580" s="1">
        <v>12</v>
      </c>
      <c r="AJ580" s="1">
        <v>1229</v>
      </c>
      <c r="AK580" s="1">
        <v>409</v>
      </c>
      <c r="AL580" t="s">
        <v>1</v>
      </c>
      <c r="AM580" t="s">
        <v>0</v>
      </c>
      <c r="AN580">
        <v>390</v>
      </c>
      <c r="AO580">
        <v>0</v>
      </c>
      <c r="AP580">
        <v>450</v>
      </c>
      <c r="AQ580">
        <v>720</v>
      </c>
      <c r="AR580">
        <v>580</v>
      </c>
      <c r="AS580">
        <v>850</v>
      </c>
      <c r="AT580">
        <v>840</v>
      </c>
      <c r="AU580">
        <v>912</v>
      </c>
      <c r="AV580">
        <v>930</v>
      </c>
      <c r="AW580">
        <v>720</v>
      </c>
      <c r="AX580">
        <v>640</v>
      </c>
      <c r="AY580">
        <v>450</v>
      </c>
      <c r="AZ580">
        <v>180</v>
      </c>
      <c r="BA580">
        <v>0</v>
      </c>
      <c r="BB580">
        <v>180</v>
      </c>
      <c r="BC580">
        <v>360</v>
      </c>
      <c r="BD580">
        <v>630</v>
      </c>
      <c r="BE580">
        <v>540</v>
      </c>
      <c r="BF580">
        <v>500</v>
      </c>
      <c r="BG580">
        <v>792</v>
      </c>
      <c r="BH580">
        <v>315</v>
      </c>
      <c r="BI580">
        <v>180</v>
      </c>
      <c r="BJ580">
        <v>0</v>
      </c>
      <c r="BK580">
        <v>225</v>
      </c>
      <c r="BL580">
        <v>474.54545454545462</v>
      </c>
      <c r="BM580">
        <v>468</v>
      </c>
      <c r="BN580">
        <v>570</v>
      </c>
      <c r="BO580">
        <v>630</v>
      </c>
      <c r="BP580">
        <v>270</v>
      </c>
      <c r="BQ580">
        <f>(I580+J580+N580+O580)/4</f>
        <v>6</v>
      </c>
      <c r="BR580">
        <f>(K580+L580+M580)/3</f>
        <v>6.7333333333333334</v>
      </c>
      <c r="BS580">
        <f>BQ580/BR580</f>
        <v>0.8910891089108911</v>
      </c>
      <c r="BT580">
        <f>AQ580/I580</f>
        <v>135</v>
      </c>
      <c r="BU580" t="str">
        <f>IF(OR(A580=2, A580=12), "Central", IF(A580=3, "Semi-Central", "Periférica"))</f>
        <v>Central</v>
      </c>
    </row>
    <row r="581" spans="1:73" x14ac:dyDescent="0.3">
      <c r="A581" s="1">
        <v>12</v>
      </c>
      <c r="B581" s="1">
        <v>1207</v>
      </c>
      <c r="C581" s="1" t="s">
        <v>256</v>
      </c>
      <c r="D581" t="s">
        <v>5</v>
      </c>
      <c r="E581" t="s">
        <v>0</v>
      </c>
      <c r="F581">
        <v>0</v>
      </c>
      <c r="G581">
        <v>0.44444444444444442</v>
      </c>
      <c r="H581">
        <v>5</v>
      </c>
      <c r="I581">
        <v>6</v>
      </c>
      <c r="J581">
        <v>5.333333333333333</v>
      </c>
      <c r="K581">
        <v>6</v>
      </c>
      <c r="L581">
        <v>6</v>
      </c>
      <c r="M581">
        <v>6</v>
      </c>
      <c r="N581">
        <v>5</v>
      </c>
      <c r="O581">
        <v>5</v>
      </c>
      <c r="P581">
        <v>5.333333333333333</v>
      </c>
      <c r="Q581">
        <v>4</v>
      </c>
      <c r="R581">
        <v>0</v>
      </c>
      <c r="S581">
        <v>0.22222222222222221</v>
      </c>
      <c r="T581">
        <v>2</v>
      </c>
      <c r="U581">
        <v>4</v>
      </c>
      <c r="V581">
        <v>4</v>
      </c>
      <c r="W581">
        <v>4</v>
      </c>
      <c r="X581">
        <v>4</v>
      </c>
      <c r="Y581">
        <v>3.2</v>
      </c>
      <c r="Z581">
        <v>3</v>
      </c>
      <c r="AA581">
        <v>0</v>
      </c>
      <c r="AB581">
        <v>0.22222222222222221</v>
      </c>
      <c r="AC581">
        <v>2.5</v>
      </c>
      <c r="AD581">
        <v>3.454545454545455</v>
      </c>
      <c r="AE581">
        <v>3.4</v>
      </c>
      <c r="AF581">
        <v>3</v>
      </c>
      <c r="AG581">
        <v>3</v>
      </c>
      <c r="AH581">
        <v>3</v>
      </c>
      <c r="AI581" s="1">
        <v>12</v>
      </c>
      <c r="AJ581" s="1">
        <v>1207</v>
      </c>
      <c r="AK581" s="1" t="s">
        <v>256</v>
      </c>
      <c r="AL581" t="s">
        <v>5</v>
      </c>
      <c r="AM581" t="s">
        <v>0</v>
      </c>
      <c r="AN581">
        <v>0</v>
      </c>
      <c r="AO581">
        <v>40</v>
      </c>
      <c r="AP581">
        <v>450</v>
      </c>
      <c r="AQ581">
        <v>540</v>
      </c>
      <c r="AR581">
        <v>480</v>
      </c>
      <c r="AS581">
        <v>540</v>
      </c>
      <c r="AT581">
        <v>540</v>
      </c>
      <c r="AU581">
        <v>540</v>
      </c>
      <c r="AV581">
        <v>450</v>
      </c>
      <c r="AW581">
        <v>450</v>
      </c>
      <c r="AX581">
        <v>480</v>
      </c>
      <c r="AY581">
        <v>360</v>
      </c>
      <c r="AZ581">
        <v>0</v>
      </c>
      <c r="BA581">
        <v>20</v>
      </c>
      <c r="BB581">
        <v>180</v>
      </c>
      <c r="BC581">
        <v>360</v>
      </c>
      <c r="BD581">
        <v>360</v>
      </c>
      <c r="BE581">
        <v>360</v>
      </c>
      <c r="BF581">
        <v>360</v>
      </c>
      <c r="BG581">
        <v>288</v>
      </c>
      <c r="BH581">
        <v>270</v>
      </c>
      <c r="BI581">
        <v>0</v>
      </c>
      <c r="BJ581">
        <v>20</v>
      </c>
      <c r="BK581">
        <v>225</v>
      </c>
      <c r="BL581">
        <v>310.90909090909088</v>
      </c>
      <c r="BM581">
        <v>306</v>
      </c>
      <c r="BN581">
        <v>270</v>
      </c>
      <c r="BO581">
        <v>270</v>
      </c>
      <c r="BP581">
        <v>270</v>
      </c>
      <c r="BQ581">
        <f>(I581+J581+N581+O581)/4</f>
        <v>5.333333333333333</v>
      </c>
      <c r="BR581">
        <f>(K581+L581+M581)/3</f>
        <v>6</v>
      </c>
      <c r="BS581">
        <f>BQ581/BR581</f>
        <v>0.88888888888888884</v>
      </c>
      <c r="BT581">
        <f>AQ581/I581</f>
        <v>90</v>
      </c>
      <c r="BU581" t="str">
        <f>IF(OR(A581=2, A581=12), "Central", IF(A581=3, "Semi-Central", "Periférica"))</f>
        <v>Central</v>
      </c>
    </row>
    <row r="582" spans="1:73" x14ac:dyDescent="0.3">
      <c r="A582" s="1">
        <v>12</v>
      </c>
      <c r="B582" s="1">
        <v>1205</v>
      </c>
      <c r="C582" s="1" t="s">
        <v>253</v>
      </c>
      <c r="D582" t="s">
        <v>5</v>
      </c>
      <c r="E582" t="s">
        <v>0</v>
      </c>
      <c r="F582">
        <v>0</v>
      </c>
      <c r="G582">
        <v>0</v>
      </c>
      <c r="H582">
        <v>4</v>
      </c>
      <c r="I582">
        <v>6</v>
      </c>
      <c r="J582">
        <v>6</v>
      </c>
      <c r="K582">
        <v>7</v>
      </c>
      <c r="L582">
        <v>7.333333333333333</v>
      </c>
      <c r="M582">
        <v>6.8</v>
      </c>
      <c r="N582">
        <v>7</v>
      </c>
      <c r="O582">
        <v>6</v>
      </c>
      <c r="P582">
        <v>5.333333333333333</v>
      </c>
      <c r="Q582">
        <v>4.5</v>
      </c>
      <c r="R582">
        <v>0</v>
      </c>
      <c r="S582">
        <v>0</v>
      </c>
      <c r="T582">
        <v>2</v>
      </c>
      <c r="U582">
        <v>5.6</v>
      </c>
      <c r="V582">
        <v>5.333333333333333</v>
      </c>
      <c r="W582">
        <v>6</v>
      </c>
      <c r="X582">
        <v>4.8888888888888893</v>
      </c>
      <c r="Y582">
        <v>4</v>
      </c>
      <c r="Z582">
        <v>3.5</v>
      </c>
      <c r="AA582">
        <v>0</v>
      </c>
      <c r="AB582">
        <v>0</v>
      </c>
      <c r="AC582">
        <v>2</v>
      </c>
      <c r="AD582">
        <v>4.1818181818181817</v>
      </c>
      <c r="AE582">
        <v>4.4000000000000004</v>
      </c>
      <c r="AF582">
        <v>4</v>
      </c>
      <c r="AG582">
        <v>2</v>
      </c>
      <c r="AH582">
        <v>3</v>
      </c>
      <c r="AI582" s="1">
        <v>12</v>
      </c>
      <c r="AJ582" s="1">
        <v>1205</v>
      </c>
      <c r="AK582" s="1" t="s">
        <v>253</v>
      </c>
      <c r="AL582" t="s">
        <v>5</v>
      </c>
      <c r="AM582" t="s">
        <v>0</v>
      </c>
      <c r="AN582">
        <v>0</v>
      </c>
      <c r="AO582">
        <v>0</v>
      </c>
      <c r="AP582">
        <v>360</v>
      </c>
      <c r="AQ582">
        <v>540</v>
      </c>
      <c r="AR582">
        <v>540</v>
      </c>
      <c r="AS582">
        <v>630</v>
      </c>
      <c r="AT582">
        <v>660</v>
      </c>
      <c r="AU582">
        <v>612</v>
      </c>
      <c r="AV582">
        <v>630</v>
      </c>
      <c r="AW582">
        <v>540</v>
      </c>
      <c r="AX582">
        <v>480</v>
      </c>
      <c r="AY582">
        <v>405</v>
      </c>
      <c r="AZ582">
        <v>0</v>
      </c>
      <c r="BA582">
        <v>0</v>
      </c>
      <c r="BB582">
        <v>180</v>
      </c>
      <c r="BC582">
        <v>504</v>
      </c>
      <c r="BD582">
        <v>480</v>
      </c>
      <c r="BE582">
        <v>540</v>
      </c>
      <c r="BF582">
        <v>440</v>
      </c>
      <c r="BG582">
        <v>360</v>
      </c>
      <c r="BH582">
        <v>315</v>
      </c>
      <c r="BI582">
        <v>0</v>
      </c>
      <c r="BJ582">
        <v>0</v>
      </c>
      <c r="BK582">
        <v>180</v>
      </c>
      <c r="BL582">
        <v>376.36363636363637</v>
      </c>
      <c r="BM582">
        <v>396</v>
      </c>
      <c r="BN582">
        <v>360</v>
      </c>
      <c r="BO582">
        <v>180</v>
      </c>
      <c r="BP582">
        <v>270</v>
      </c>
      <c r="BQ582">
        <f>(I582+J582+N582+O582)/4</f>
        <v>6.25</v>
      </c>
      <c r="BR582">
        <f>(K582+L582+M582)/3</f>
        <v>7.0444444444444443</v>
      </c>
      <c r="BS582">
        <f>BQ582/BR582</f>
        <v>0.88722397476340698</v>
      </c>
      <c r="BT582">
        <f>AQ582/I582</f>
        <v>90</v>
      </c>
      <c r="BU582" t="str">
        <f>IF(OR(A582=2, A582=12), "Central", IF(A582=3, "Semi-Central", "Periférica"))</f>
        <v>Central</v>
      </c>
    </row>
    <row r="583" spans="1:73" x14ac:dyDescent="0.3">
      <c r="A583" s="1">
        <v>5</v>
      </c>
      <c r="B583" s="1">
        <v>545</v>
      </c>
      <c r="C583" s="1">
        <v>115</v>
      </c>
      <c r="D583" t="s">
        <v>5</v>
      </c>
      <c r="E583" t="s">
        <v>0</v>
      </c>
      <c r="F583">
        <v>0</v>
      </c>
      <c r="G583">
        <v>0</v>
      </c>
      <c r="H583">
        <v>6</v>
      </c>
      <c r="I583">
        <v>6</v>
      </c>
      <c r="J583">
        <v>5.333333333333333</v>
      </c>
      <c r="K583">
        <v>5.333333333333333</v>
      </c>
      <c r="L583">
        <v>6</v>
      </c>
      <c r="M583">
        <v>7.2</v>
      </c>
      <c r="N583">
        <v>6</v>
      </c>
      <c r="O583">
        <v>4.5</v>
      </c>
      <c r="P583">
        <v>4.666666666666667</v>
      </c>
      <c r="Q583">
        <v>2</v>
      </c>
      <c r="R583">
        <v>0</v>
      </c>
      <c r="S583">
        <v>0</v>
      </c>
      <c r="T583">
        <v>4</v>
      </c>
      <c r="U583">
        <v>4.4000000000000004</v>
      </c>
      <c r="V583">
        <v>3.3333333333333335</v>
      </c>
      <c r="W583">
        <v>4</v>
      </c>
      <c r="X583">
        <v>2.8888888888888888</v>
      </c>
      <c r="Y583">
        <v>3.6</v>
      </c>
      <c r="Z583">
        <v>1.5</v>
      </c>
      <c r="AA583">
        <v>0</v>
      </c>
      <c r="AB583">
        <v>0</v>
      </c>
      <c r="AC583">
        <v>3</v>
      </c>
      <c r="AD583">
        <v>3.0909090909090908</v>
      </c>
      <c r="AE583">
        <v>3</v>
      </c>
      <c r="AF583">
        <v>3</v>
      </c>
      <c r="AG583">
        <v>3</v>
      </c>
      <c r="AH583">
        <v>1.5</v>
      </c>
      <c r="AI583" s="1">
        <v>5</v>
      </c>
      <c r="AJ583" s="1">
        <v>545</v>
      </c>
      <c r="AK583" s="1">
        <v>115</v>
      </c>
      <c r="AL583" t="s">
        <v>5</v>
      </c>
      <c r="AM583" t="s">
        <v>0</v>
      </c>
      <c r="AN583">
        <v>0</v>
      </c>
      <c r="AO583">
        <v>0</v>
      </c>
      <c r="AP583">
        <v>486</v>
      </c>
      <c r="AQ583">
        <v>486</v>
      </c>
      <c r="AR583">
        <v>432</v>
      </c>
      <c r="AS583">
        <v>432</v>
      </c>
      <c r="AT583">
        <v>486</v>
      </c>
      <c r="AU583">
        <v>583.20000000000005</v>
      </c>
      <c r="AV583">
        <v>486</v>
      </c>
      <c r="AW583">
        <v>364.5</v>
      </c>
      <c r="AX583">
        <v>378</v>
      </c>
      <c r="AY583">
        <v>162</v>
      </c>
      <c r="AZ583">
        <v>0</v>
      </c>
      <c r="BA583">
        <v>0</v>
      </c>
      <c r="BB583">
        <v>324</v>
      </c>
      <c r="BC583">
        <v>356.4</v>
      </c>
      <c r="BD583">
        <v>270</v>
      </c>
      <c r="BE583">
        <v>324</v>
      </c>
      <c r="BF583">
        <v>234</v>
      </c>
      <c r="BG583">
        <v>291.60000000000002</v>
      </c>
      <c r="BH583">
        <v>121.5</v>
      </c>
      <c r="BI583">
        <v>0</v>
      </c>
      <c r="BJ583">
        <v>0</v>
      </c>
      <c r="BK583">
        <v>243</v>
      </c>
      <c r="BL583">
        <v>250.36363636363637</v>
      </c>
      <c r="BM583">
        <v>243</v>
      </c>
      <c r="BN583">
        <v>243</v>
      </c>
      <c r="BO583">
        <v>243</v>
      </c>
      <c r="BP583">
        <v>121.5</v>
      </c>
      <c r="BQ583">
        <f>(I583+J583+N583+O583)/4</f>
        <v>5.458333333333333</v>
      </c>
      <c r="BR583">
        <f>(K583+L583+M583)/3</f>
        <v>6.1777777777777771</v>
      </c>
      <c r="BS583">
        <f>BQ583/BR583</f>
        <v>0.8835431654676259</v>
      </c>
      <c r="BT583">
        <f>AQ583/I583</f>
        <v>81</v>
      </c>
      <c r="BU583" t="str">
        <f>IF(OR(A583=2, A583=12), "Central", IF(A583=3, "Semi-Central", "Periférica"))</f>
        <v>Periférica</v>
      </c>
    </row>
    <row r="584" spans="1:73" x14ac:dyDescent="0.3">
      <c r="A584" s="1">
        <v>5</v>
      </c>
      <c r="B584" s="1">
        <v>545</v>
      </c>
      <c r="C584" s="1">
        <v>115</v>
      </c>
      <c r="D584" t="s">
        <v>1</v>
      </c>
      <c r="E584" t="s">
        <v>0</v>
      </c>
      <c r="F584">
        <v>0</v>
      </c>
      <c r="G584">
        <v>0</v>
      </c>
      <c r="H584">
        <v>0</v>
      </c>
      <c r="I584">
        <v>4</v>
      </c>
      <c r="J584">
        <v>5.333333333333333</v>
      </c>
      <c r="K584">
        <v>5.333333333333333</v>
      </c>
      <c r="L584">
        <v>6</v>
      </c>
      <c r="M584">
        <v>6.8</v>
      </c>
      <c r="N584">
        <v>6</v>
      </c>
      <c r="O584">
        <v>6</v>
      </c>
      <c r="P584">
        <v>4.666666666666667</v>
      </c>
      <c r="Q584">
        <v>3.5</v>
      </c>
      <c r="R584">
        <v>0</v>
      </c>
      <c r="S584">
        <v>0</v>
      </c>
      <c r="T584">
        <v>1</v>
      </c>
      <c r="U584">
        <v>4.4000000000000004</v>
      </c>
      <c r="V584">
        <v>3.6666666666666665</v>
      </c>
      <c r="W584">
        <v>4</v>
      </c>
      <c r="X584">
        <v>2.8888888888888888</v>
      </c>
      <c r="Y584">
        <v>3.6</v>
      </c>
      <c r="Z584">
        <v>2.5</v>
      </c>
      <c r="AA584">
        <v>0</v>
      </c>
      <c r="AB584">
        <v>0</v>
      </c>
      <c r="AC584">
        <v>2</v>
      </c>
      <c r="AD584">
        <v>3.0909090909090908</v>
      </c>
      <c r="AE584">
        <v>3</v>
      </c>
      <c r="AF584">
        <v>3</v>
      </c>
      <c r="AG584">
        <v>3</v>
      </c>
      <c r="AH584">
        <v>2.5</v>
      </c>
      <c r="AI584" s="1">
        <v>5</v>
      </c>
      <c r="AJ584" s="1">
        <v>545</v>
      </c>
      <c r="AK584" s="1">
        <v>115</v>
      </c>
      <c r="AL584" t="s">
        <v>1</v>
      </c>
      <c r="AM584" t="s">
        <v>0</v>
      </c>
      <c r="AN584">
        <v>0</v>
      </c>
      <c r="AO584">
        <v>0</v>
      </c>
      <c r="AP584">
        <v>0</v>
      </c>
      <c r="AQ584">
        <v>324</v>
      </c>
      <c r="AR584">
        <v>432</v>
      </c>
      <c r="AS584">
        <v>432</v>
      </c>
      <c r="AT584">
        <v>486</v>
      </c>
      <c r="AU584">
        <v>550.79999999999995</v>
      </c>
      <c r="AV584">
        <v>486</v>
      </c>
      <c r="AW584">
        <v>486</v>
      </c>
      <c r="AX584">
        <v>378</v>
      </c>
      <c r="AY584">
        <v>283.5</v>
      </c>
      <c r="AZ584">
        <v>0</v>
      </c>
      <c r="BA584">
        <v>0</v>
      </c>
      <c r="BB584">
        <v>81</v>
      </c>
      <c r="BC584">
        <v>356.4</v>
      </c>
      <c r="BD584">
        <v>297</v>
      </c>
      <c r="BE584">
        <v>324</v>
      </c>
      <c r="BF584">
        <v>234</v>
      </c>
      <c r="BG584">
        <v>291.60000000000002</v>
      </c>
      <c r="BH584">
        <v>202.5</v>
      </c>
      <c r="BI584">
        <v>0</v>
      </c>
      <c r="BJ584">
        <v>0</v>
      </c>
      <c r="BK584">
        <v>162</v>
      </c>
      <c r="BL584">
        <v>250.36363636363637</v>
      </c>
      <c r="BM584">
        <v>243</v>
      </c>
      <c r="BN584">
        <v>243</v>
      </c>
      <c r="BO584">
        <v>243</v>
      </c>
      <c r="BP584">
        <v>202.5</v>
      </c>
      <c r="BQ584">
        <f>(I584+J584+N584+O584)/4</f>
        <v>5.333333333333333</v>
      </c>
      <c r="BR584">
        <f>(K584+L584+M584)/3</f>
        <v>6.0444444444444443</v>
      </c>
      <c r="BS584">
        <f>BQ584/BR584</f>
        <v>0.88235294117647056</v>
      </c>
      <c r="BT584">
        <f>AQ584/I584</f>
        <v>81</v>
      </c>
      <c r="BU584" t="str">
        <f>IF(OR(A584=2, A584=12), "Central", IF(A584=3, "Semi-Central", "Periférica"))</f>
        <v>Periférica</v>
      </c>
    </row>
    <row r="585" spans="1:73" x14ac:dyDescent="0.3">
      <c r="A585" s="1">
        <v>19</v>
      </c>
      <c r="B585" s="1">
        <v>1904</v>
      </c>
      <c r="C585" s="1">
        <v>204</v>
      </c>
      <c r="D585" t="s">
        <v>5</v>
      </c>
      <c r="E585" t="s">
        <v>0</v>
      </c>
      <c r="F585">
        <v>0</v>
      </c>
      <c r="G585">
        <v>0</v>
      </c>
      <c r="H585">
        <v>7</v>
      </c>
      <c r="I585">
        <v>8.6666666666666661</v>
      </c>
      <c r="J585">
        <v>10</v>
      </c>
      <c r="K585">
        <v>10</v>
      </c>
      <c r="L585">
        <v>10</v>
      </c>
      <c r="M585">
        <v>9.1999999999999993</v>
      </c>
      <c r="N585">
        <v>8.5</v>
      </c>
      <c r="O585">
        <v>7</v>
      </c>
      <c r="P585">
        <v>5.333333333333333</v>
      </c>
      <c r="Q585">
        <v>4.5</v>
      </c>
      <c r="R585">
        <v>0</v>
      </c>
      <c r="S585">
        <v>0</v>
      </c>
      <c r="T585">
        <v>4</v>
      </c>
      <c r="U585">
        <v>5.2</v>
      </c>
      <c r="V585">
        <v>5</v>
      </c>
      <c r="W585">
        <v>7</v>
      </c>
      <c r="X585">
        <v>6.2222222222222223</v>
      </c>
      <c r="Y585">
        <v>5.2</v>
      </c>
      <c r="Z585">
        <v>4.5</v>
      </c>
      <c r="AA585">
        <v>0</v>
      </c>
      <c r="AB585">
        <v>0</v>
      </c>
      <c r="AC585">
        <v>3.5</v>
      </c>
      <c r="AD585">
        <v>4.7272727272727284</v>
      </c>
      <c r="AE585">
        <v>5</v>
      </c>
      <c r="AF585">
        <v>4.666666666666667</v>
      </c>
      <c r="AG585">
        <v>5</v>
      </c>
      <c r="AH585">
        <v>3.5</v>
      </c>
      <c r="AI585" s="1">
        <v>19</v>
      </c>
      <c r="AJ585" s="1">
        <v>1904</v>
      </c>
      <c r="AK585" s="1">
        <v>204</v>
      </c>
      <c r="AL585" t="s">
        <v>5</v>
      </c>
      <c r="AM585" t="s">
        <v>0</v>
      </c>
      <c r="AN585">
        <v>0</v>
      </c>
      <c r="AO585">
        <v>0</v>
      </c>
      <c r="AP585">
        <v>630</v>
      </c>
      <c r="AQ585">
        <v>780</v>
      </c>
      <c r="AR585">
        <v>900</v>
      </c>
      <c r="AS585">
        <v>900</v>
      </c>
      <c r="AT585">
        <v>900</v>
      </c>
      <c r="AU585">
        <v>828</v>
      </c>
      <c r="AV585">
        <v>765</v>
      </c>
      <c r="AW585">
        <v>630</v>
      </c>
      <c r="AX585">
        <v>480</v>
      </c>
      <c r="AY585">
        <v>405</v>
      </c>
      <c r="AZ585">
        <v>0</v>
      </c>
      <c r="BA585">
        <v>0</v>
      </c>
      <c r="BB585">
        <v>360</v>
      </c>
      <c r="BC585">
        <v>468</v>
      </c>
      <c r="BD585">
        <v>450</v>
      </c>
      <c r="BE585">
        <v>630</v>
      </c>
      <c r="BF585">
        <v>560</v>
      </c>
      <c r="BG585">
        <v>468</v>
      </c>
      <c r="BH585">
        <v>405</v>
      </c>
      <c r="BI585">
        <v>0</v>
      </c>
      <c r="BJ585">
        <v>0</v>
      </c>
      <c r="BK585">
        <v>315</v>
      </c>
      <c r="BL585">
        <v>425.45454545454538</v>
      </c>
      <c r="BM585">
        <v>450</v>
      </c>
      <c r="BN585">
        <v>420</v>
      </c>
      <c r="BO585">
        <v>450</v>
      </c>
      <c r="BP585">
        <v>315</v>
      </c>
      <c r="BQ585">
        <f>(I585+J585+N585+O585)/4</f>
        <v>8.5416666666666661</v>
      </c>
      <c r="BR585">
        <f>(K585+L585+M585)/3</f>
        <v>9.7333333333333325</v>
      </c>
      <c r="BS585">
        <f>BQ585/BR585</f>
        <v>0.87756849315068497</v>
      </c>
      <c r="BT585">
        <f>AQ585/I585</f>
        <v>90</v>
      </c>
      <c r="BU585" t="str">
        <f>IF(OR(A585=2, A585=12), "Central", IF(A585=3, "Semi-Central", "Periférica"))</f>
        <v>Periférica</v>
      </c>
    </row>
    <row r="586" spans="1:73" x14ac:dyDescent="0.3">
      <c r="A586" s="1">
        <v>9</v>
      </c>
      <c r="B586" s="1">
        <v>962</v>
      </c>
      <c r="C586" s="1">
        <v>102</v>
      </c>
      <c r="D586" t="s">
        <v>1</v>
      </c>
      <c r="F586">
        <v>2</v>
      </c>
      <c r="G586">
        <v>0</v>
      </c>
      <c r="H586">
        <v>6</v>
      </c>
      <c r="I586">
        <v>4</v>
      </c>
      <c r="J586">
        <v>4</v>
      </c>
      <c r="K586">
        <v>4.666666666666667</v>
      </c>
      <c r="L586">
        <v>4.666666666666667</v>
      </c>
      <c r="M586">
        <v>5.2</v>
      </c>
      <c r="N586">
        <v>4.5</v>
      </c>
      <c r="O586">
        <v>4.5</v>
      </c>
      <c r="P586">
        <v>4.666666666666667</v>
      </c>
      <c r="Q586">
        <v>3</v>
      </c>
      <c r="R586">
        <v>2</v>
      </c>
      <c r="S586">
        <v>0.66666666666666663</v>
      </c>
      <c r="T586">
        <v>4</v>
      </c>
      <c r="U586">
        <v>5.2</v>
      </c>
      <c r="V586">
        <v>4.666666666666667</v>
      </c>
      <c r="W586">
        <v>5</v>
      </c>
      <c r="X586">
        <v>4.8888888888888893</v>
      </c>
      <c r="Y586">
        <v>4.4000000000000004</v>
      </c>
      <c r="Z586">
        <v>2</v>
      </c>
      <c r="AA586">
        <v>2</v>
      </c>
      <c r="AB586">
        <v>0</v>
      </c>
      <c r="AC586">
        <v>4</v>
      </c>
      <c r="AD586">
        <v>4.5454545454545459</v>
      </c>
      <c r="AE586">
        <v>4.2</v>
      </c>
      <c r="AF586">
        <v>4</v>
      </c>
      <c r="AG586">
        <v>4</v>
      </c>
      <c r="AH586">
        <v>2.5</v>
      </c>
      <c r="AI586" s="1">
        <v>9</v>
      </c>
      <c r="AJ586" s="1">
        <v>962</v>
      </c>
      <c r="AK586" s="1">
        <v>102</v>
      </c>
      <c r="AL586" t="s">
        <v>1</v>
      </c>
      <c r="AN586">
        <v>180</v>
      </c>
      <c r="AO586">
        <v>0</v>
      </c>
      <c r="AP586">
        <v>540</v>
      </c>
      <c r="AQ586">
        <v>360</v>
      </c>
      <c r="AR586">
        <v>360</v>
      </c>
      <c r="AS586">
        <v>420</v>
      </c>
      <c r="AT586">
        <v>420</v>
      </c>
      <c r="AU586">
        <v>468</v>
      </c>
      <c r="AV586">
        <v>405</v>
      </c>
      <c r="AW586">
        <v>405</v>
      </c>
      <c r="AX586">
        <v>420</v>
      </c>
      <c r="AY586">
        <v>270</v>
      </c>
      <c r="AZ586">
        <v>180</v>
      </c>
      <c r="BA586">
        <v>60</v>
      </c>
      <c r="BB586">
        <v>360</v>
      </c>
      <c r="BC586">
        <v>468</v>
      </c>
      <c r="BD586">
        <v>420</v>
      </c>
      <c r="BE586">
        <v>450</v>
      </c>
      <c r="BF586">
        <v>440</v>
      </c>
      <c r="BG586">
        <v>396</v>
      </c>
      <c r="BH586">
        <v>180</v>
      </c>
      <c r="BI586">
        <v>180</v>
      </c>
      <c r="BJ586">
        <v>0</v>
      </c>
      <c r="BK586">
        <v>360</v>
      </c>
      <c r="BL586">
        <v>409.09090909090912</v>
      </c>
      <c r="BM586">
        <v>378</v>
      </c>
      <c r="BN586">
        <v>360</v>
      </c>
      <c r="BO586">
        <v>360</v>
      </c>
      <c r="BP586">
        <v>225</v>
      </c>
      <c r="BQ586">
        <f>(I586+J586+N586+O586)/4</f>
        <v>4.25</v>
      </c>
      <c r="BR586">
        <f>(K586+L586+M586)/3</f>
        <v>4.844444444444445</v>
      </c>
      <c r="BS586">
        <f>BQ586/BR586</f>
        <v>0.87729357798165131</v>
      </c>
      <c r="BT586">
        <f>AQ586/I586</f>
        <v>90</v>
      </c>
      <c r="BU586" t="str">
        <f>IF(OR(A586=2, A586=12), "Central", IF(A586=3, "Semi-Central", "Periférica"))</f>
        <v>Periférica</v>
      </c>
    </row>
    <row r="587" spans="1:73" x14ac:dyDescent="0.3">
      <c r="A587" s="1">
        <v>9</v>
      </c>
      <c r="B587" s="1" t="s">
        <v>255</v>
      </c>
      <c r="C587" s="1" t="s">
        <v>254</v>
      </c>
      <c r="D587" t="s">
        <v>1</v>
      </c>
      <c r="F587">
        <v>0</v>
      </c>
      <c r="G587">
        <v>0.44444444444444442</v>
      </c>
      <c r="H587">
        <v>6</v>
      </c>
      <c r="I587">
        <v>6</v>
      </c>
      <c r="J587">
        <v>6</v>
      </c>
      <c r="K587">
        <v>6</v>
      </c>
      <c r="L587">
        <v>6</v>
      </c>
      <c r="M587">
        <v>6</v>
      </c>
      <c r="N587">
        <v>5</v>
      </c>
      <c r="O587">
        <v>4</v>
      </c>
      <c r="P587">
        <v>4</v>
      </c>
      <c r="Q587">
        <v>1.5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s="1">
        <v>9</v>
      </c>
      <c r="AJ587" s="1" t="s">
        <v>255</v>
      </c>
      <c r="AK587" s="1" t="s">
        <v>254</v>
      </c>
      <c r="AL587" t="s">
        <v>1</v>
      </c>
      <c r="AN587">
        <v>0</v>
      </c>
      <c r="AO587">
        <v>40</v>
      </c>
      <c r="AP587">
        <v>540</v>
      </c>
      <c r="AQ587">
        <v>540</v>
      </c>
      <c r="AR587">
        <v>540</v>
      </c>
      <c r="AS587">
        <v>540</v>
      </c>
      <c r="AT587">
        <v>540</v>
      </c>
      <c r="AU587">
        <v>540</v>
      </c>
      <c r="AV587">
        <v>450</v>
      </c>
      <c r="AW587">
        <v>360</v>
      </c>
      <c r="AX587">
        <v>360</v>
      </c>
      <c r="AY587">
        <v>135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f>(I587+J587+N587+O587)/4</f>
        <v>5.25</v>
      </c>
      <c r="BR587">
        <f>(K587+L587+M587)/3</f>
        <v>6</v>
      </c>
      <c r="BS587">
        <f>BQ587/BR587</f>
        <v>0.875</v>
      </c>
      <c r="BT587">
        <f>AQ587/I587</f>
        <v>90</v>
      </c>
      <c r="BU587" t="str">
        <f>IF(OR(A587=2, A587=12), "Central", IF(A587=3, "Semi-Central", "Periférica"))</f>
        <v>Periférica</v>
      </c>
    </row>
    <row r="588" spans="1:73" x14ac:dyDescent="0.3">
      <c r="A588" s="1">
        <v>11</v>
      </c>
      <c r="B588" s="1">
        <v>1109</v>
      </c>
      <c r="C588" s="1" t="s">
        <v>111</v>
      </c>
      <c r="D588" t="s">
        <v>5</v>
      </c>
      <c r="F588">
        <v>0</v>
      </c>
      <c r="G588">
        <v>0.66666666666666663</v>
      </c>
      <c r="H588">
        <v>5</v>
      </c>
      <c r="I588">
        <v>4.666666666666667</v>
      </c>
      <c r="J588">
        <v>5.333333333333333</v>
      </c>
      <c r="K588">
        <v>6</v>
      </c>
      <c r="L588">
        <v>6</v>
      </c>
      <c r="M588">
        <v>6</v>
      </c>
      <c r="N588">
        <v>5.5</v>
      </c>
      <c r="O588">
        <v>5.5</v>
      </c>
      <c r="P588">
        <v>4.666666666666667</v>
      </c>
      <c r="Q588">
        <v>1.5</v>
      </c>
      <c r="R588">
        <v>0</v>
      </c>
      <c r="S588">
        <v>0.66666666666666663</v>
      </c>
      <c r="T588">
        <v>6</v>
      </c>
      <c r="U588">
        <v>4.8</v>
      </c>
      <c r="V588">
        <v>4.333333333333333</v>
      </c>
      <c r="W588">
        <v>4.333333333333333</v>
      </c>
      <c r="X588">
        <v>4.4444444444444446</v>
      </c>
      <c r="Y588">
        <v>2.8</v>
      </c>
      <c r="Z588">
        <v>1.5</v>
      </c>
      <c r="AA588">
        <v>0</v>
      </c>
      <c r="AB588">
        <v>0</v>
      </c>
      <c r="AC588">
        <v>3</v>
      </c>
      <c r="AD588">
        <v>3.0909090909090908</v>
      </c>
      <c r="AE588">
        <v>3.2</v>
      </c>
      <c r="AF588">
        <v>4.666666666666667</v>
      </c>
      <c r="AG588">
        <v>4</v>
      </c>
      <c r="AH588">
        <v>2.5</v>
      </c>
      <c r="AI588" s="1">
        <v>11</v>
      </c>
      <c r="AJ588" s="1">
        <v>1109</v>
      </c>
      <c r="AK588" s="1" t="s">
        <v>111</v>
      </c>
      <c r="AL588" t="s">
        <v>5</v>
      </c>
      <c r="AN588">
        <v>0</v>
      </c>
      <c r="AO588">
        <v>60</v>
      </c>
      <c r="AP588">
        <v>450</v>
      </c>
      <c r="AQ588">
        <v>420</v>
      </c>
      <c r="AR588">
        <v>480</v>
      </c>
      <c r="AS588">
        <v>540</v>
      </c>
      <c r="AT588">
        <v>540</v>
      </c>
      <c r="AU588">
        <v>540</v>
      </c>
      <c r="AV588">
        <v>495</v>
      </c>
      <c r="AW588">
        <v>495</v>
      </c>
      <c r="AX588">
        <v>420</v>
      </c>
      <c r="AY588">
        <v>135</v>
      </c>
      <c r="AZ588">
        <v>0</v>
      </c>
      <c r="BA588">
        <v>60</v>
      </c>
      <c r="BB588">
        <v>540</v>
      </c>
      <c r="BC588">
        <v>432</v>
      </c>
      <c r="BD588">
        <v>390</v>
      </c>
      <c r="BE588">
        <v>390</v>
      </c>
      <c r="BF588">
        <v>400</v>
      </c>
      <c r="BG588">
        <v>252</v>
      </c>
      <c r="BH588">
        <v>135</v>
      </c>
      <c r="BI588">
        <v>0</v>
      </c>
      <c r="BJ588">
        <v>0</v>
      </c>
      <c r="BK588">
        <v>270</v>
      </c>
      <c r="BL588">
        <v>278.18181818181819</v>
      </c>
      <c r="BM588">
        <v>288</v>
      </c>
      <c r="BN588">
        <v>420</v>
      </c>
      <c r="BO588">
        <v>360</v>
      </c>
      <c r="BP588">
        <v>225</v>
      </c>
      <c r="BQ588">
        <f>(I588+J588+N588+O588)/4</f>
        <v>5.25</v>
      </c>
      <c r="BR588">
        <f>(K588+L588+M588)/3</f>
        <v>6</v>
      </c>
      <c r="BS588">
        <f>BQ588/BR588</f>
        <v>0.875</v>
      </c>
      <c r="BT588">
        <f>AQ588/I588</f>
        <v>90</v>
      </c>
      <c r="BU588" t="str">
        <f>IF(OR(A588=2, A588=12), "Central", IF(A588=3, "Semi-Central", "Periférica"))</f>
        <v>Periférica</v>
      </c>
    </row>
    <row r="589" spans="1:73" x14ac:dyDescent="0.3">
      <c r="A589" s="1">
        <v>14</v>
      </c>
      <c r="B589" s="1">
        <v>1419</v>
      </c>
      <c r="C589" s="1">
        <v>419</v>
      </c>
      <c r="D589" t="s">
        <v>1</v>
      </c>
      <c r="F589">
        <v>0</v>
      </c>
      <c r="G589">
        <v>0</v>
      </c>
      <c r="H589">
        <v>2</v>
      </c>
      <c r="I589">
        <v>3.333333333333333</v>
      </c>
      <c r="J589">
        <v>4</v>
      </c>
      <c r="K589">
        <v>5</v>
      </c>
      <c r="L589">
        <v>4.666666666666667</v>
      </c>
      <c r="M589">
        <v>5.2</v>
      </c>
      <c r="N589">
        <v>5</v>
      </c>
      <c r="O589">
        <v>5</v>
      </c>
      <c r="P589">
        <v>4</v>
      </c>
      <c r="Q589">
        <v>3.5</v>
      </c>
      <c r="R589">
        <v>0</v>
      </c>
      <c r="S589">
        <v>0</v>
      </c>
      <c r="T589">
        <v>2</v>
      </c>
      <c r="U589">
        <v>3.2</v>
      </c>
      <c r="V589">
        <v>4</v>
      </c>
      <c r="W589">
        <v>4</v>
      </c>
      <c r="X589">
        <v>4</v>
      </c>
      <c r="Y589">
        <v>4</v>
      </c>
      <c r="Z589">
        <v>2</v>
      </c>
      <c r="AA589">
        <v>0</v>
      </c>
      <c r="AB589">
        <v>0</v>
      </c>
      <c r="AC589">
        <v>2</v>
      </c>
      <c r="AD589">
        <v>3.8181818181818179</v>
      </c>
      <c r="AE589">
        <v>3.8</v>
      </c>
      <c r="AF589">
        <v>3.666666666666667</v>
      </c>
      <c r="AG589">
        <v>3</v>
      </c>
      <c r="AH589">
        <v>2.5</v>
      </c>
      <c r="AI589" s="1">
        <v>14</v>
      </c>
      <c r="AJ589" s="1">
        <v>1419</v>
      </c>
      <c r="AK589" s="1">
        <v>419</v>
      </c>
      <c r="AL589" t="s">
        <v>1</v>
      </c>
      <c r="AN589">
        <v>0</v>
      </c>
      <c r="AO589">
        <v>0</v>
      </c>
      <c r="AP589">
        <v>300</v>
      </c>
      <c r="AQ589">
        <v>500</v>
      </c>
      <c r="AR589">
        <v>600</v>
      </c>
      <c r="AS589">
        <v>750</v>
      </c>
      <c r="AT589">
        <v>700</v>
      </c>
      <c r="AU589">
        <v>780</v>
      </c>
      <c r="AV589">
        <v>750</v>
      </c>
      <c r="AW589">
        <v>750</v>
      </c>
      <c r="AX589">
        <v>600</v>
      </c>
      <c r="AY589">
        <v>525</v>
      </c>
      <c r="AZ589">
        <v>0</v>
      </c>
      <c r="BA589">
        <v>0</v>
      </c>
      <c r="BB589">
        <v>180</v>
      </c>
      <c r="BC589">
        <v>288</v>
      </c>
      <c r="BD589">
        <v>360</v>
      </c>
      <c r="BE589">
        <v>360</v>
      </c>
      <c r="BF589">
        <v>360</v>
      </c>
      <c r="BG589">
        <v>360</v>
      </c>
      <c r="BH589">
        <v>180</v>
      </c>
      <c r="BI589">
        <v>0</v>
      </c>
      <c r="BJ589">
        <v>0</v>
      </c>
      <c r="BK589">
        <v>180</v>
      </c>
      <c r="BL589">
        <v>343.63636363636363</v>
      </c>
      <c r="BM589">
        <v>342</v>
      </c>
      <c r="BN589">
        <v>330</v>
      </c>
      <c r="BO589">
        <v>270</v>
      </c>
      <c r="BP589">
        <v>225</v>
      </c>
      <c r="BQ589">
        <f>(I589+J589+N589+O589)/4</f>
        <v>4.333333333333333</v>
      </c>
      <c r="BR589">
        <f>(K589+L589+M589)/3</f>
        <v>4.9555555555555557</v>
      </c>
      <c r="BS589">
        <f>BQ589/BR589</f>
        <v>0.87443946188340793</v>
      </c>
      <c r="BT589">
        <f>AQ589/I589</f>
        <v>150</v>
      </c>
      <c r="BU589" t="str">
        <f>IF(OR(A589=2, A589=12), "Central", IF(A589=3, "Semi-Central", "Periférica"))</f>
        <v>Periférica</v>
      </c>
    </row>
    <row r="590" spans="1:73" x14ac:dyDescent="0.3">
      <c r="A590" s="1">
        <v>12</v>
      </c>
      <c r="B590" s="1">
        <v>1205</v>
      </c>
      <c r="C590" s="1" t="s">
        <v>253</v>
      </c>
      <c r="D590" t="s">
        <v>1</v>
      </c>
      <c r="E590" t="s">
        <v>0</v>
      </c>
      <c r="F590">
        <v>0</v>
      </c>
      <c r="G590">
        <v>0.44444444444444442</v>
      </c>
      <c r="H590">
        <v>5</v>
      </c>
      <c r="I590">
        <v>6</v>
      </c>
      <c r="J590">
        <v>6</v>
      </c>
      <c r="K590">
        <v>7</v>
      </c>
      <c r="L590">
        <v>7.333333333333333</v>
      </c>
      <c r="M590">
        <v>6.8</v>
      </c>
      <c r="N590">
        <v>6.5</v>
      </c>
      <c r="O590">
        <v>6</v>
      </c>
      <c r="P590">
        <v>5.333333333333333</v>
      </c>
      <c r="Q590">
        <v>3.5</v>
      </c>
      <c r="R590">
        <v>0</v>
      </c>
      <c r="S590">
        <v>0.44444444444444442</v>
      </c>
      <c r="T590">
        <v>3</v>
      </c>
      <c r="U590">
        <v>5.2</v>
      </c>
      <c r="V590">
        <v>5.333333333333333</v>
      </c>
      <c r="W590">
        <v>5.333333333333333</v>
      </c>
      <c r="X590">
        <v>4.8888888888888893</v>
      </c>
      <c r="Y590">
        <v>4</v>
      </c>
      <c r="Z590">
        <v>3.5</v>
      </c>
      <c r="AA590">
        <v>0</v>
      </c>
      <c r="AB590">
        <v>0.44444444444444442</v>
      </c>
      <c r="AC590">
        <v>2</v>
      </c>
      <c r="AD590">
        <v>4.1818181818181817</v>
      </c>
      <c r="AE590">
        <v>4</v>
      </c>
      <c r="AF590">
        <v>4</v>
      </c>
      <c r="AG590">
        <v>2</v>
      </c>
      <c r="AH590">
        <v>3</v>
      </c>
      <c r="AI590" s="1">
        <v>12</v>
      </c>
      <c r="AJ590" s="1">
        <v>1205</v>
      </c>
      <c r="AK590" s="1" t="s">
        <v>253</v>
      </c>
      <c r="AL590" t="s">
        <v>1</v>
      </c>
      <c r="AM590" t="s">
        <v>0</v>
      </c>
      <c r="AN590">
        <v>0</v>
      </c>
      <c r="AO590">
        <v>40</v>
      </c>
      <c r="AP590">
        <v>450</v>
      </c>
      <c r="AQ590">
        <v>540</v>
      </c>
      <c r="AR590">
        <v>540</v>
      </c>
      <c r="AS590">
        <v>630</v>
      </c>
      <c r="AT590">
        <v>660</v>
      </c>
      <c r="AU590">
        <v>612</v>
      </c>
      <c r="AV590">
        <v>585</v>
      </c>
      <c r="AW590">
        <v>540</v>
      </c>
      <c r="AX590">
        <v>480</v>
      </c>
      <c r="AY590">
        <v>315</v>
      </c>
      <c r="AZ590">
        <v>0</v>
      </c>
      <c r="BA590">
        <v>40</v>
      </c>
      <c r="BB590">
        <v>270</v>
      </c>
      <c r="BC590">
        <v>468</v>
      </c>
      <c r="BD590">
        <v>480</v>
      </c>
      <c r="BE590">
        <v>480</v>
      </c>
      <c r="BF590">
        <v>440</v>
      </c>
      <c r="BG590">
        <v>360</v>
      </c>
      <c r="BH590">
        <v>315</v>
      </c>
      <c r="BI590">
        <v>0</v>
      </c>
      <c r="BJ590">
        <v>40</v>
      </c>
      <c r="BK590">
        <v>180</v>
      </c>
      <c r="BL590">
        <v>376.36363636363637</v>
      </c>
      <c r="BM590">
        <v>360</v>
      </c>
      <c r="BN590">
        <v>360</v>
      </c>
      <c r="BO590">
        <v>180</v>
      </c>
      <c r="BP590">
        <v>270</v>
      </c>
      <c r="BQ590">
        <f>(I590+J590+N590+O590)/4</f>
        <v>6.125</v>
      </c>
      <c r="BR590">
        <f>(K590+L590+M590)/3</f>
        <v>7.0444444444444443</v>
      </c>
      <c r="BS590">
        <f>BQ590/BR590</f>
        <v>0.86947949526813884</v>
      </c>
      <c r="BT590">
        <f>AQ590/I590</f>
        <v>90</v>
      </c>
      <c r="BU590" t="str">
        <f>IF(OR(A590=2, A590=12), "Central", IF(A590=3, "Semi-Central", "Periférica"))</f>
        <v>Central</v>
      </c>
    </row>
    <row r="591" spans="1:73" x14ac:dyDescent="0.3">
      <c r="A591" s="1">
        <v>9</v>
      </c>
      <c r="B591" s="1">
        <v>935</v>
      </c>
      <c r="C591" s="1" t="s">
        <v>252</v>
      </c>
      <c r="D591" t="s">
        <v>1</v>
      </c>
      <c r="F591">
        <v>1</v>
      </c>
      <c r="G591">
        <v>0</v>
      </c>
      <c r="H591">
        <v>5</v>
      </c>
      <c r="I591">
        <v>4</v>
      </c>
      <c r="J591">
        <v>4</v>
      </c>
      <c r="K591">
        <v>5</v>
      </c>
      <c r="L591">
        <v>5.333333333333333</v>
      </c>
      <c r="M591">
        <v>4.8</v>
      </c>
      <c r="N591">
        <v>5</v>
      </c>
      <c r="O591">
        <v>4.5</v>
      </c>
      <c r="P591">
        <v>6</v>
      </c>
      <c r="Q591">
        <v>4</v>
      </c>
      <c r="R591">
        <v>1</v>
      </c>
      <c r="S591">
        <v>0</v>
      </c>
      <c r="T591">
        <v>4</v>
      </c>
      <c r="U591">
        <v>4</v>
      </c>
      <c r="V591">
        <v>4</v>
      </c>
      <c r="W591">
        <v>4</v>
      </c>
      <c r="X591">
        <v>4</v>
      </c>
      <c r="Y591">
        <v>3.2</v>
      </c>
      <c r="Z591">
        <v>2</v>
      </c>
      <c r="AA591">
        <v>1</v>
      </c>
      <c r="AB591">
        <v>0</v>
      </c>
      <c r="AC591">
        <v>3</v>
      </c>
      <c r="AD591">
        <v>3.0909090909090908</v>
      </c>
      <c r="AE591">
        <v>3</v>
      </c>
      <c r="AF591">
        <v>3</v>
      </c>
      <c r="AG591">
        <v>3</v>
      </c>
      <c r="AH591">
        <v>2.5</v>
      </c>
      <c r="AI591" s="1">
        <v>9</v>
      </c>
      <c r="AJ591" s="1">
        <v>935</v>
      </c>
      <c r="AK591" s="1" t="s">
        <v>252</v>
      </c>
      <c r="AL591" t="s">
        <v>1</v>
      </c>
      <c r="AN591">
        <v>90</v>
      </c>
      <c r="AO591">
        <v>0</v>
      </c>
      <c r="AP591">
        <v>450</v>
      </c>
      <c r="AQ591">
        <v>360</v>
      </c>
      <c r="AR591">
        <v>360</v>
      </c>
      <c r="AS591">
        <v>450</v>
      </c>
      <c r="AT591">
        <v>480</v>
      </c>
      <c r="AU591">
        <v>432</v>
      </c>
      <c r="AV591">
        <v>450</v>
      </c>
      <c r="AW591">
        <v>405</v>
      </c>
      <c r="AX591">
        <v>540</v>
      </c>
      <c r="AY591">
        <v>360</v>
      </c>
      <c r="AZ591">
        <v>90</v>
      </c>
      <c r="BA591">
        <v>0</v>
      </c>
      <c r="BB591">
        <v>360</v>
      </c>
      <c r="BC591">
        <v>360</v>
      </c>
      <c r="BD591">
        <v>360</v>
      </c>
      <c r="BE591">
        <v>360</v>
      </c>
      <c r="BF591">
        <v>360</v>
      </c>
      <c r="BG591">
        <v>288</v>
      </c>
      <c r="BH591">
        <v>180</v>
      </c>
      <c r="BI591">
        <v>90</v>
      </c>
      <c r="BJ591">
        <v>0</v>
      </c>
      <c r="BK591">
        <v>270</v>
      </c>
      <c r="BL591">
        <v>278.18181818181819</v>
      </c>
      <c r="BM591">
        <v>270</v>
      </c>
      <c r="BN591">
        <v>270</v>
      </c>
      <c r="BO591">
        <v>270</v>
      </c>
      <c r="BP591">
        <v>225</v>
      </c>
      <c r="BQ591">
        <f>(I591+J591+N591+O591)/4</f>
        <v>4.375</v>
      </c>
      <c r="BR591">
        <f>(K591+L591+M591)/3</f>
        <v>5.0444444444444443</v>
      </c>
      <c r="BS591">
        <f>BQ591/BR591</f>
        <v>0.86729074889867841</v>
      </c>
      <c r="BT591">
        <f>AQ591/I591</f>
        <v>90</v>
      </c>
      <c r="BU591" t="str">
        <f>IF(OR(A591=2, A591=12), "Central", IF(A591=3, "Semi-Central", "Periférica"))</f>
        <v>Periférica</v>
      </c>
    </row>
    <row r="592" spans="1:73" x14ac:dyDescent="0.3">
      <c r="A592" s="1">
        <v>8</v>
      </c>
      <c r="B592" s="1">
        <v>836</v>
      </c>
      <c r="C592" s="1" t="s">
        <v>155</v>
      </c>
      <c r="D592" t="s">
        <v>5</v>
      </c>
      <c r="F592">
        <v>0</v>
      </c>
      <c r="G592">
        <v>0</v>
      </c>
      <c r="H592">
        <v>5</v>
      </c>
      <c r="I592">
        <v>5.333333333333333</v>
      </c>
      <c r="J592">
        <v>4.666666666666667</v>
      </c>
      <c r="K592">
        <v>5.333333333333333</v>
      </c>
      <c r="L592">
        <v>6</v>
      </c>
      <c r="M592">
        <v>6</v>
      </c>
      <c r="N592">
        <v>5</v>
      </c>
      <c r="O592">
        <v>5</v>
      </c>
      <c r="P592">
        <v>4.666666666666667</v>
      </c>
      <c r="Q592">
        <v>2.5</v>
      </c>
      <c r="R592">
        <v>0</v>
      </c>
      <c r="S592">
        <v>0</v>
      </c>
      <c r="T592">
        <v>3</v>
      </c>
      <c r="U592">
        <v>4.8</v>
      </c>
      <c r="V592">
        <v>5</v>
      </c>
      <c r="W592">
        <v>4.666666666666667</v>
      </c>
      <c r="X592">
        <v>3.5555555555555549</v>
      </c>
      <c r="Y592">
        <v>2.8</v>
      </c>
      <c r="Z592">
        <v>2</v>
      </c>
      <c r="AA592">
        <v>0</v>
      </c>
      <c r="AB592">
        <v>0</v>
      </c>
      <c r="AC592">
        <v>3</v>
      </c>
      <c r="AD592">
        <v>4</v>
      </c>
      <c r="AE592">
        <v>4</v>
      </c>
      <c r="AF592">
        <v>4</v>
      </c>
      <c r="AG592">
        <v>3</v>
      </c>
      <c r="AH592">
        <v>2</v>
      </c>
      <c r="AI592" s="1">
        <v>8</v>
      </c>
      <c r="AJ592" s="1">
        <v>836</v>
      </c>
      <c r="AK592" s="1" t="s">
        <v>155</v>
      </c>
      <c r="AL592" t="s">
        <v>5</v>
      </c>
      <c r="AN592">
        <v>0</v>
      </c>
      <c r="AO592">
        <v>0</v>
      </c>
      <c r="AP592">
        <v>450</v>
      </c>
      <c r="AQ592">
        <v>480</v>
      </c>
      <c r="AR592">
        <v>420</v>
      </c>
      <c r="AS592">
        <v>480</v>
      </c>
      <c r="AT592">
        <v>540</v>
      </c>
      <c r="AU592">
        <v>540</v>
      </c>
      <c r="AV592">
        <v>450</v>
      </c>
      <c r="AW592">
        <v>450</v>
      </c>
      <c r="AX592">
        <v>420</v>
      </c>
      <c r="AY592">
        <v>225</v>
      </c>
      <c r="AZ592">
        <v>0</v>
      </c>
      <c r="BA592">
        <v>0</v>
      </c>
      <c r="BB592">
        <v>270</v>
      </c>
      <c r="BC592">
        <v>432</v>
      </c>
      <c r="BD592">
        <v>450</v>
      </c>
      <c r="BE592">
        <v>420</v>
      </c>
      <c r="BF592">
        <v>320</v>
      </c>
      <c r="BG592">
        <v>252</v>
      </c>
      <c r="BH592">
        <v>180</v>
      </c>
      <c r="BI592">
        <v>0</v>
      </c>
      <c r="BJ592">
        <v>0</v>
      </c>
      <c r="BK592">
        <v>270</v>
      </c>
      <c r="BL592">
        <v>360</v>
      </c>
      <c r="BM592">
        <v>360</v>
      </c>
      <c r="BN592">
        <v>360</v>
      </c>
      <c r="BO592">
        <v>270</v>
      </c>
      <c r="BP592">
        <v>180</v>
      </c>
      <c r="BQ592">
        <f>(I592+J592+N592+O592)/4</f>
        <v>5</v>
      </c>
      <c r="BR592">
        <f>(K592+L592+M592)/3</f>
        <v>5.7777777777777777</v>
      </c>
      <c r="BS592">
        <f>BQ592/BR592</f>
        <v>0.86538461538461542</v>
      </c>
      <c r="BT592">
        <f>AQ592/I592</f>
        <v>90</v>
      </c>
      <c r="BU592" t="str">
        <f>IF(OR(A592=2, A592=12), "Central", IF(A592=3, "Semi-Central", "Periférica"))</f>
        <v>Periférica</v>
      </c>
    </row>
    <row r="593" spans="1:73" x14ac:dyDescent="0.3">
      <c r="A593" s="1">
        <v>12</v>
      </c>
      <c r="B593" s="1">
        <v>1217</v>
      </c>
      <c r="C593" s="1" t="s">
        <v>104</v>
      </c>
      <c r="D593" t="s">
        <v>5</v>
      </c>
      <c r="E593" t="s">
        <v>0</v>
      </c>
      <c r="F593">
        <v>0</v>
      </c>
      <c r="G593">
        <v>0.22222222222222221</v>
      </c>
      <c r="H593">
        <v>3</v>
      </c>
      <c r="I593">
        <v>5.333333333333333</v>
      </c>
      <c r="J593">
        <v>5.333333333333333</v>
      </c>
      <c r="K593">
        <v>6</v>
      </c>
      <c r="L593">
        <v>6</v>
      </c>
      <c r="M593">
        <v>6</v>
      </c>
      <c r="N593">
        <v>5</v>
      </c>
      <c r="O593">
        <v>5</v>
      </c>
      <c r="P593">
        <v>4.666666666666667</v>
      </c>
      <c r="Q593">
        <v>3</v>
      </c>
      <c r="R593">
        <v>0</v>
      </c>
      <c r="S593">
        <v>0</v>
      </c>
      <c r="T593">
        <v>2</v>
      </c>
      <c r="U593">
        <v>5.2</v>
      </c>
      <c r="V593">
        <v>4.333333333333333</v>
      </c>
      <c r="W593">
        <v>4</v>
      </c>
      <c r="X593">
        <v>4</v>
      </c>
      <c r="Y593">
        <v>3.6</v>
      </c>
      <c r="Z593">
        <v>2.5</v>
      </c>
      <c r="AA593">
        <v>0</v>
      </c>
      <c r="AB593">
        <v>0</v>
      </c>
      <c r="AC593">
        <v>2.5</v>
      </c>
      <c r="AD593">
        <v>2.9090909090909092</v>
      </c>
      <c r="AE593">
        <v>3</v>
      </c>
      <c r="AF593">
        <v>3</v>
      </c>
      <c r="AG593">
        <v>2</v>
      </c>
      <c r="AH593">
        <v>2</v>
      </c>
      <c r="AI593" s="1">
        <v>12</v>
      </c>
      <c r="AJ593" s="1">
        <v>1217</v>
      </c>
      <c r="AK593" s="1" t="s">
        <v>104</v>
      </c>
      <c r="AL593" t="s">
        <v>5</v>
      </c>
      <c r="AM593" t="s">
        <v>0</v>
      </c>
      <c r="AN593">
        <v>0</v>
      </c>
      <c r="AO593">
        <v>20</v>
      </c>
      <c r="AP593">
        <v>270</v>
      </c>
      <c r="AQ593">
        <v>480</v>
      </c>
      <c r="AR593">
        <v>480</v>
      </c>
      <c r="AS593">
        <v>540</v>
      </c>
      <c r="AT593">
        <v>540</v>
      </c>
      <c r="AU593">
        <v>540</v>
      </c>
      <c r="AV593">
        <v>450</v>
      </c>
      <c r="AW593">
        <v>450</v>
      </c>
      <c r="AX593">
        <v>420</v>
      </c>
      <c r="AY593">
        <v>270</v>
      </c>
      <c r="AZ593">
        <v>0</v>
      </c>
      <c r="BA593">
        <v>0</v>
      </c>
      <c r="BB593">
        <v>180</v>
      </c>
      <c r="BC593">
        <v>468</v>
      </c>
      <c r="BD593">
        <v>390</v>
      </c>
      <c r="BE593">
        <v>360</v>
      </c>
      <c r="BF593">
        <v>360</v>
      </c>
      <c r="BG593">
        <v>324</v>
      </c>
      <c r="BH593">
        <v>225</v>
      </c>
      <c r="BI593">
        <v>0</v>
      </c>
      <c r="BJ593">
        <v>0</v>
      </c>
      <c r="BK593">
        <v>225</v>
      </c>
      <c r="BL593">
        <v>261.81818181818181</v>
      </c>
      <c r="BM593">
        <v>270</v>
      </c>
      <c r="BN593">
        <v>270</v>
      </c>
      <c r="BO593">
        <v>180</v>
      </c>
      <c r="BP593">
        <v>180</v>
      </c>
      <c r="BQ593">
        <f>(I593+J593+N593+O593)/4</f>
        <v>5.1666666666666661</v>
      </c>
      <c r="BR593">
        <f>(K593+L593+M593)/3</f>
        <v>6</v>
      </c>
      <c r="BS593">
        <f>BQ593/BR593</f>
        <v>0.86111111111111105</v>
      </c>
      <c r="BT593">
        <f>AQ593/I593</f>
        <v>90</v>
      </c>
      <c r="BU593" t="str">
        <f>IF(OR(A593=2, A593=12), "Central", IF(A593=3, "Semi-Central", "Periférica"))</f>
        <v>Central</v>
      </c>
    </row>
    <row r="594" spans="1:73" x14ac:dyDescent="0.3">
      <c r="A594" s="1">
        <v>9</v>
      </c>
      <c r="B594" s="1">
        <v>932</v>
      </c>
      <c r="C594" s="1" t="s">
        <v>251</v>
      </c>
      <c r="D594" t="s">
        <v>5</v>
      </c>
      <c r="F594">
        <v>0</v>
      </c>
      <c r="G594">
        <v>0.44444444444444442</v>
      </c>
      <c r="H594">
        <v>3</v>
      </c>
      <c r="I594">
        <v>4</v>
      </c>
      <c r="J594">
        <v>2.666666666666667</v>
      </c>
      <c r="K594">
        <v>3.333333333333333</v>
      </c>
      <c r="L594">
        <v>4</v>
      </c>
      <c r="M594">
        <v>4</v>
      </c>
      <c r="N594">
        <v>3</v>
      </c>
      <c r="O594">
        <v>3</v>
      </c>
      <c r="P594">
        <v>3.333333333333333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s="1">
        <v>9</v>
      </c>
      <c r="AJ594" s="1">
        <v>932</v>
      </c>
      <c r="AK594" s="1" t="s">
        <v>251</v>
      </c>
      <c r="AL594" t="s">
        <v>5</v>
      </c>
      <c r="AN594">
        <v>0</v>
      </c>
      <c r="AO594">
        <v>40</v>
      </c>
      <c r="AP594">
        <v>270</v>
      </c>
      <c r="AQ594">
        <v>360</v>
      </c>
      <c r="AR594">
        <v>240</v>
      </c>
      <c r="AS594">
        <v>300</v>
      </c>
      <c r="AT594">
        <v>360</v>
      </c>
      <c r="AU594">
        <v>360</v>
      </c>
      <c r="AV594">
        <v>270</v>
      </c>
      <c r="AW594">
        <v>270</v>
      </c>
      <c r="AX594">
        <v>300</v>
      </c>
      <c r="AY594">
        <v>90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f>(I594+J594+N594+O594)/4</f>
        <v>3.166666666666667</v>
      </c>
      <c r="BR594">
        <f>(K594+L594+M594)/3</f>
        <v>3.7777777777777772</v>
      </c>
      <c r="BS594">
        <f>BQ594/BR594</f>
        <v>0.8382352941176473</v>
      </c>
      <c r="BT594">
        <f>AQ594/I594</f>
        <v>90</v>
      </c>
      <c r="BU594" t="str">
        <f>IF(OR(A594=2, A594=12), "Central", IF(A594=3, "Semi-Central", "Periférica"))</f>
        <v>Periférica</v>
      </c>
    </row>
    <row r="595" spans="1:73" x14ac:dyDescent="0.3">
      <c r="A595" s="1">
        <v>9</v>
      </c>
      <c r="B595" s="1">
        <v>932</v>
      </c>
      <c r="C595" s="1" t="s">
        <v>251</v>
      </c>
      <c r="D595" t="s">
        <v>1</v>
      </c>
      <c r="F595">
        <v>0</v>
      </c>
      <c r="G595">
        <v>0</v>
      </c>
      <c r="H595">
        <v>3</v>
      </c>
      <c r="I595">
        <v>4</v>
      </c>
      <c r="J595">
        <v>2.666666666666667</v>
      </c>
      <c r="K595">
        <v>3.333333333333333</v>
      </c>
      <c r="L595">
        <v>4</v>
      </c>
      <c r="M595">
        <v>4</v>
      </c>
      <c r="N595">
        <v>3</v>
      </c>
      <c r="O595">
        <v>3</v>
      </c>
      <c r="P595">
        <v>3.333333333333333</v>
      </c>
      <c r="Q595">
        <v>2.5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 s="1">
        <v>9</v>
      </c>
      <c r="AJ595" s="1">
        <v>932</v>
      </c>
      <c r="AK595" s="1" t="s">
        <v>251</v>
      </c>
      <c r="AL595" t="s">
        <v>1</v>
      </c>
      <c r="AN595">
        <v>0</v>
      </c>
      <c r="AO595">
        <v>0</v>
      </c>
      <c r="AP595">
        <v>270</v>
      </c>
      <c r="AQ595">
        <v>360</v>
      </c>
      <c r="AR595">
        <v>240</v>
      </c>
      <c r="AS595">
        <v>300</v>
      </c>
      <c r="AT595">
        <v>360</v>
      </c>
      <c r="AU595">
        <v>360</v>
      </c>
      <c r="AV595">
        <v>270</v>
      </c>
      <c r="AW595">
        <v>270</v>
      </c>
      <c r="AX595">
        <v>300</v>
      </c>
      <c r="AY595">
        <v>225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f>(I595+J595+N595+O595)/4</f>
        <v>3.166666666666667</v>
      </c>
      <c r="BR595">
        <f>(K595+L595+M595)/3</f>
        <v>3.7777777777777772</v>
      </c>
      <c r="BS595">
        <f>BQ595/BR595</f>
        <v>0.8382352941176473</v>
      </c>
      <c r="BT595">
        <f>AQ595/I595</f>
        <v>90</v>
      </c>
      <c r="BU595" t="str">
        <f>IF(OR(A595=2, A595=12), "Central", IF(A595=3, "Semi-Central", "Periférica"))</f>
        <v>Periférica</v>
      </c>
    </row>
    <row r="596" spans="1:73" x14ac:dyDescent="0.3">
      <c r="A596" s="1">
        <v>12</v>
      </c>
      <c r="B596" s="1">
        <v>1218</v>
      </c>
      <c r="C596" s="1" t="s">
        <v>250</v>
      </c>
      <c r="D596" t="s">
        <v>1</v>
      </c>
      <c r="E596" t="s">
        <v>0</v>
      </c>
      <c r="F596">
        <v>0</v>
      </c>
      <c r="G596">
        <v>0</v>
      </c>
      <c r="H596">
        <v>5</v>
      </c>
      <c r="I596">
        <v>4.666666666666667</v>
      </c>
      <c r="J596">
        <v>6</v>
      </c>
      <c r="K596">
        <v>7</v>
      </c>
      <c r="L596">
        <v>7.333333333333333</v>
      </c>
      <c r="M596">
        <v>6.4</v>
      </c>
      <c r="N596">
        <v>6.5</v>
      </c>
      <c r="O596">
        <v>6</v>
      </c>
      <c r="P596">
        <v>5.333333333333333</v>
      </c>
      <c r="Q596">
        <v>3.5</v>
      </c>
      <c r="R596">
        <v>0</v>
      </c>
      <c r="S596">
        <v>0</v>
      </c>
      <c r="T596">
        <v>2</v>
      </c>
      <c r="U596">
        <v>4.8</v>
      </c>
      <c r="V596">
        <v>5</v>
      </c>
      <c r="W596">
        <v>4.333333333333333</v>
      </c>
      <c r="X596">
        <v>4</v>
      </c>
      <c r="Y596">
        <v>4</v>
      </c>
      <c r="Z596">
        <v>3.5</v>
      </c>
      <c r="AA596">
        <v>0</v>
      </c>
      <c r="AB596">
        <v>0</v>
      </c>
      <c r="AC596">
        <v>2.5</v>
      </c>
      <c r="AD596">
        <v>2.7272727272727271</v>
      </c>
      <c r="AE596">
        <v>3</v>
      </c>
      <c r="AF596">
        <v>3</v>
      </c>
      <c r="AG596">
        <v>3</v>
      </c>
      <c r="AH596">
        <v>3</v>
      </c>
      <c r="AI596" s="1">
        <v>12</v>
      </c>
      <c r="AJ596" s="1">
        <v>1218</v>
      </c>
      <c r="AK596" s="1" t="s">
        <v>250</v>
      </c>
      <c r="AL596" t="s">
        <v>1</v>
      </c>
      <c r="AM596" t="s">
        <v>0</v>
      </c>
      <c r="AN596">
        <v>0</v>
      </c>
      <c r="AO596">
        <v>0</v>
      </c>
      <c r="AP596">
        <v>450</v>
      </c>
      <c r="AQ596">
        <v>420</v>
      </c>
      <c r="AR596">
        <v>540</v>
      </c>
      <c r="AS596">
        <v>630</v>
      </c>
      <c r="AT596">
        <v>660</v>
      </c>
      <c r="AU596">
        <v>576</v>
      </c>
      <c r="AV596">
        <v>585</v>
      </c>
      <c r="AW596">
        <v>540</v>
      </c>
      <c r="AX596">
        <v>480</v>
      </c>
      <c r="AY596">
        <v>315</v>
      </c>
      <c r="AZ596">
        <v>0</v>
      </c>
      <c r="BA596">
        <v>0</v>
      </c>
      <c r="BB596">
        <v>180</v>
      </c>
      <c r="BC596">
        <v>432</v>
      </c>
      <c r="BD596">
        <v>450</v>
      </c>
      <c r="BE596">
        <v>390</v>
      </c>
      <c r="BF596">
        <v>360</v>
      </c>
      <c r="BG596">
        <v>360</v>
      </c>
      <c r="BH596">
        <v>315</v>
      </c>
      <c r="BI596">
        <v>0</v>
      </c>
      <c r="BJ596">
        <v>0</v>
      </c>
      <c r="BK596">
        <v>225</v>
      </c>
      <c r="BL596">
        <v>245.4545454545455</v>
      </c>
      <c r="BM596">
        <v>270</v>
      </c>
      <c r="BN596">
        <v>270</v>
      </c>
      <c r="BO596">
        <v>270</v>
      </c>
      <c r="BP596">
        <v>270</v>
      </c>
      <c r="BQ596">
        <f>(I596+J596+N596+O596)/4</f>
        <v>5.791666666666667</v>
      </c>
      <c r="BR596">
        <f>(K596+L596+M596)/3</f>
        <v>6.9111111111111114</v>
      </c>
      <c r="BS596">
        <f>BQ596/BR596</f>
        <v>0.83802250803858525</v>
      </c>
      <c r="BT596">
        <f>AQ596/I596</f>
        <v>90</v>
      </c>
      <c r="BU596" t="str">
        <f>IF(OR(A596=2, A596=12), "Central", IF(A596=3, "Semi-Central", "Periférica"))</f>
        <v>Central</v>
      </c>
    </row>
    <row r="597" spans="1:73" x14ac:dyDescent="0.3">
      <c r="A597" s="1">
        <v>5</v>
      </c>
      <c r="B597" s="1">
        <v>542</v>
      </c>
      <c r="C597" s="1">
        <v>542</v>
      </c>
      <c r="D597" t="s">
        <v>1</v>
      </c>
      <c r="F597">
        <v>0</v>
      </c>
      <c r="G597">
        <v>0</v>
      </c>
      <c r="H597">
        <v>0</v>
      </c>
      <c r="I597">
        <v>1.3333333333333333</v>
      </c>
      <c r="J597">
        <v>4</v>
      </c>
      <c r="K597">
        <v>4</v>
      </c>
      <c r="L597">
        <v>4</v>
      </c>
      <c r="M597">
        <v>4</v>
      </c>
      <c r="N597">
        <v>4</v>
      </c>
      <c r="O597">
        <v>4</v>
      </c>
      <c r="P597">
        <v>4.666666666666667</v>
      </c>
      <c r="Q597">
        <v>0</v>
      </c>
      <c r="R597">
        <v>0</v>
      </c>
      <c r="S597">
        <v>0</v>
      </c>
      <c r="T597">
        <v>0</v>
      </c>
      <c r="U597">
        <v>0.8</v>
      </c>
      <c r="V597">
        <v>3.3333333333333335</v>
      </c>
      <c r="W597">
        <v>3</v>
      </c>
      <c r="X597">
        <v>3.1111111111111112</v>
      </c>
      <c r="Y597">
        <v>2.8</v>
      </c>
      <c r="Z597">
        <v>0</v>
      </c>
      <c r="AA597">
        <v>0</v>
      </c>
      <c r="AB597">
        <v>0</v>
      </c>
      <c r="AC597">
        <v>0</v>
      </c>
      <c r="AD597">
        <v>2.3636363636363638</v>
      </c>
      <c r="AE597">
        <v>3</v>
      </c>
      <c r="AF597">
        <v>3</v>
      </c>
      <c r="AG597">
        <v>2</v>
      </c>
      <c r="AH597">
        <v>0</v>
      </c>
      <c r="AI597" s="1">
        <v>5</v>
      </c>
      <c r="AJ597" s="1">
        <v>542</v>
      </c>
      <c r="AK597" s="1">
        <v>542</v>
      </c>
      <c r="AL597" t="s">
        <v>1</v>
      </c>
      <c r="AN597">
        <v>0</v>
      </c>
      <c r="AO597">
        <v>0</v>
      </c>
      <c r="AP597">
        <v>0</v>
      </c>
      <c r="AQ597">
        <v>108</v>
      </c>
      <c r="AR597">
        <v>324</v>
      </c>
      <c r="AS597">
        <v>324</v>
      </c>
      <c r="AT597">
        <v>324</v>
      </c>
      <c r="AU597">
        <v>324</v>
      </c>
      <c r="AV597">
        <v>324</v>
      </c>
      <c r="AW597">
        <v>324</v>
      </c>
      <c r="AX597">
        <v>378</v>
      </c>
      <c r="AY597">
        <v>0</v>
      </c>
      <c r="AZ597">
        <v>0</v>
      </c>
      <c r="BA597">
        <v>0</v>
      </c>
      <c r="BB597">
        <v>0</v>
      </c>
      <c r="BC597">
        <v>64.8</v>
      </c>
      <c r="BD597">
        <v>270</v>
      </c>
      <c r="BE597">
        <v>243</v>
      </c>
      <c r="BF597">
        <v>252</v>
      </c>
      <c r="BG597">
        <v>226.8</v>
      </c>
      <c r="BH597">
        <v>0</v>
      </c>
      <c r="BI597">
        <v>0</v>
      </c>
      <c r="BJ597">
        <v>0</v>
      </c>
      <c r="BK597">
        <v>0</v>
      </c>
      <c r="BL597">
        <v>191.45454545454547</v>
      </c>
      <c r="BM597">
        <v>243</v>
      </c>
      <c r="BN597">
        <v>243</v>
      </c>
      <c r="BO597">
        <v>162</v>
      </c>
      <c r="BP597">
        <v>0</v>
      </c>
      <c r="BQ597">
        <f>(I597+J597+N597+O597)/4</f>
        <v>3.333333333333333</v>
      </c>
      <c r="BR597">
        <f>(K597+L597+M597)/3</f>
        <v>4</v>
      </c>
      <c r="BS597">
        <f>BQ597/BR597</f>
        <v>0.83333333333333326</v>
      </c>
      <c r="BT597">
        <f>AQ597/I597</f>
        <v>81</v>
      </c>
      <c r="BU597" t="str">
        <f>IF(OR(A597=2, A597=12), "Central", IF(A597=3, "Semi-Central", "Periférica"))</f>
        <v>Periférica</v>
      </c>
    </row>
    <row r="598" spans="1:73" x14ac:dyDescent="0.3">
      <c r="A598" s="1">
        <v>15</v>
      </c>
      <c r="B598" s="1">
        <v>1560</v>
      </c>
      <c r="C598" s="1" t="s">
        <v>249</v>
      </c>
      <c r="D598" t="s">
        <v>1</v>
      </c>
      <c r="E598" t="s">
        <v>0</v>
      </c>
      <c r="F598">
        <v>0</v>
      </c>
      <c r="G598">
        <v>0</v>
      </c>
      <c r="H598">
        <v>3</v>
      </c>
      <c r="I598">
        <v>4.666666666666667</v>
      </c>
      <c r="J598">
        <v>5.333333333333333</v>
      </c>
      <c r="K598">
        <v>4.333333333333333</v>
      </c>
      <c r="L598">
        <v>6</v>
      </c>
      <c r="M598">
        <v>6</v>
      </c>
      <c r="N598">
        <v>4</v>
      </c>
      <c r="O598">
        <v>4</v>
      </c>
      <c r="P598">
        <v>4</v>
      </c>
      <c r="Q598">
        <v>3.5</v>
      </c>
      <c r="R598">
        <v>0</v>
      </c>
      <c r="S598">
        <v>0</v>
      </c>
      <c r="T598">
        <v>3</v>
      </c>
      <c r="U598">
        <v>4</v>
      </c>
      <c r="V598">
        <v>4</v>
      </c>
      <c r="W598">
        <v>4</v>
      </c>
      <c r="X598">
        <v>4.8888888888888893</v>
      </c>
      <c r="Y598">
        <v>4.8</v>
      </c>
      <c r="Z598">
        <v>3.5</v>
      </c>
      <c r="AA598">
        <v>0</v>
      </c>
      <c r="AB598">
        <v>0</v>
      </c>
      <c r="AC598">
        <v>2.5</v>
      </c>
      <c r="AD598">
        <v>3.454545454545455</v>
      </c>
      <c r="AE598">
        <v>4.5999999999999996</v>
      </c>
      <c r="AF598">
        <v>4</v>
      </c>
      <c r="AG598">
        <v>4</v>
      </c>
      <c r="AH598">
        <v>3</v>
      </c>
      <c r="AI598" s="1">
        <v>15</v>
      </c>
      <c r="AJ598" s="1">
        <v>1560</v>
      </c>
      <c r="AK598" s="1" t="s">
        <v>249</v>
      </c>
      <c r="AL598" t="s">
        <v>1</v>
      </c>
      <c r="AM598" t="s">
        <v>0</v>
      </c>
      <c r="AN598">
        <v>0</v>
      </c>
      <c r="AO598">
        <v>0</v>
      </c>
      <c r="AP598">
        <v>270</v>
      </c>
      <c r="AQ598">
        <v>420</v>
      </c>
      <c r="AR598">
        <v>480</v>
      </c>
      <c r="AS598">
        <v>390</v>
      </c>
      <c r="AT598">
        <v>540</v>
      </c>
      <c r="AU598">
        <v>540</v>
      </c>
      <c r="AV598">
        <v>360</v>
      </c>
      <c r="AW598">
        <v>360</v>
      </c>
      <c r="AX598">
        <v>360</v>
      </c>
      <c r="AY598">
        <v>315</v>
      </c>
      <c r="AZ598">
        <v>0</v>
      </c>
      <c r="BA598">
        <v>0</v>
      </c>
      <c r="BB598">
        <v>270</v>
      </c>
      <c r="BC598">
        <v>360</v>
      </c>
      <c r="BD598">
        <v>360</v>
      </c>
      <c r="BE598">
        <v>360</v>
      </c>
      <c r="BF598">
        <v>440</v>
      </c>
      <c r="BG598">
        <v>432</v>
      </c>
      <c r="BH598">
        <v>315</v>
      </c>
      <c r="BI598">
        <v>0</v>
      </c>
      <c r="BJ598">
        <v>0</v>
      </c>
      <c r="BK598">
        <v>225</v>
      </c>
      <c r="BL598">
        <v>310.90909090909088</v>
      </c>
      <c r="BM598">
        <v>414</v>
      </c>
      <c r="BN598">
        <v>360</v>
      </c>
      <c r="BO598">
        <v>360</v>
      </c>
      <c r="BP598">
        <v>270</v>
      </c>
      <c r="BQ598">
        <f>(I598+J598+N598+O598)/4</f>
        <v>4.5</v>
      </c>
      <c r="BR598">
        <f>(K598+L598+M598)/3</f>
        <v>5.4444444444444438</v>
      </c>
      <c r="BS598">
        <f>BQ598/BR598</f>
        <v>0.8265306122448981</v>
      </c>
      <c r="BT598">
        <f>AQ598/I598</f>
        <v>90</v>
      </c>
      <c r="BU598" t="str">
        <f>IF(OR(A598=2, A598=12), "Central", IF(A598=3, "Semi-Central", "Periférica"))</f>
        <v>Periférica</v>
      </c>
    </row>
    <row r="599" spans="1:73" x14ac:dyDescent="0.3">
      <c r="A599" s="1">
        <v>5</v>
      </c>
      <c r="B599" s="1">
        <v>576</v>
      </c>
      <c r="C599" s="1">
        <v>426</v>
      </c>
      <c r="D599" t="s">
        <v>5</v>
      </c>
      <c r="E599" t="s">
        <v>0</v>
      </c>
      <c r="F599">
        <v>2</v>
      </c>
      <c r="G599">
        <v>2.4444444444444446</v>
      </c>
      <c r="H599">
        <v>13</v>
      </c>
      <c r="I599">
        <v>10</v>
      </c>
      <c r="J599">
        <v>8.6666666666666661</v>
      </c>
      <c r="K599">
        <v>7.666666666666667</v>
      </c>
      <c r="L599">
        <v>8.6666666666666661</v>
      </c>
      <c r="M599">
        <v>11.2</v>
      </c>
      <c r="N599">
        <v>6.5</v>
      </c>
      <c r="O599">
        <v>5</v>
      </c>
      <c r="P599">
        <v>4</v>
      </c>
      <c r="Q599">
        <v>2.5</v>
      </c>
      <c r="R599">
        <v>2</v>
      </c>
      <c r="S599">
        <v>2.2222222222222223</v>
      </c>
      <c r="T599">
        <v>6</v>
      </c>
      <c r="U599">
        <v>4</v>
      </c>
      <c r="V599">
        <v>3.6666666666666665</v>
      </c>
      <c r="W599">
        <v>4</v>
      </c>
      <c r="X599">
        <v>4</v>
      </c>
      <c r="Y599">
        <v>3.2</v>
      </c>
      <c r="Z599">
        <v>2.5</v>
      </c>
      <c r="AA599">
        <v>2</v>
      </c>
      <c r="AB599">
        <v>2.2222222222222223</v>
      </c>
      <c r="AC599">
        <v>4.5</v>
      </c>
      <c r="AD599">
        <v>3.4545454545454546</v>
      </c>
      <c r="AE599">
        <v>3.4</v>
      </c>
      <c r="AF599">
        <v>3.6666666666666665</v>
      </c>
      <c r="AG599">
        <v>3</v>
      </c>
      <c r="AH599">
        <v>2</v>
      </c>
      <c r="AI599" s="1">
        <v>5</v>
      </c>
      <c r="AJ599" s="1">
        <v>576</v>
      </c>
      <c r="AK599" s="1">
        <v>426</v>
      </c>
      <c r="AL599" t="s">
        <v>5</v>
      </c>
      <c r="AM599" t="s">
        <v>0</v>
      </c>
      <c r="AN599">
        <v>162</v>
      </c>
      <c r="AO599">
        <v>198</v>
      </c>
      <c r="AP599">
        <v>1053</v>
      </c>
      <c r="AQ599">
        <v>810</v>
      </c>
      <c r="AR599">
        <v>702</v>
      </c>
      <c r="AS599">
        <v>621</v>
      </c>
      <c r="AT599">
        <v>702</v>
      </c>
      <c r="AU599">
        <v>907.2</v>
      </c>
      <c r="AV599">
        <v>526.5</v>
      </c>
      <c r="AW599">
        <v>405</v>
      </c>
      <c r="AX599">
        <v>324</v>
      </c>
      <c r="AY599">
        <v>202.5</v>
      </c>
      <c r="AZ599">
        <v>162</v>
      </c>
      <c r="BA599">
        <v>180</v>
      </c>
      <c r="BB599">
        <v>486</v>
      </c>
      <c r="BC599">
        <v>324</v>
      </c>
      <c r="BD599">
        <v>297</v>
      </c>
      <c r="BE599">
        <v>324</v>
      </c>
      <c r="BF599">
        <v>324</v>
      </c>
      <c r="BG599">
        <v>259.2</v>
      </c>
      <c r="BH599">
        <v>202.5</v>
      </c>
      <c r="BI599">
        <v>162</v>
      </c>
      <c r="BJ599">
        <v>180</v>
      </c>
      <c r="BK599">
        <v>364.5</v>
      </c>
      <c r="BL599">
        <v>279.81818181818181</v>
      </c>
      <c r="BM599">
        <v>275.39999999999998</v>
      </c>
      <c r="BN599">
        <v>297</v>
      </c>
      <c r="BO599">
        <v>243</v>
      </c>
      <c r="BP599">
        <v>162</v>
      </c>
      <c r="BQ599">
        <f>(I599+J599+N599+O599)/4</f>
        <v>7.5416666666666661</v>
      </c>
      <c r="BR599">
        <f>(K599+L599+M599)/3</f>
        <v>9.1777777777777771</v>
      </c>
      <c r="BS599">
        <f>BQ599/BR599</f>
        <v>0.82173123486682809</v>
      </c>
      <c r="BT599">
        <f>AQ599/I599</f>
        <v>81</v>
      </c>
      <c r="BU599" t="str">
        <f>IF(OR(A599=2, A599=12), "Central", IF(A599=3, "Semi-Central", "Periférica"))</f>
        <v>Periférica</v>
      </c>
    </row>
    <row r="600" spans="1:73" x14ac:dyDescent="0.3">
      <c r="A600" s="1">
        <v>11</v>
      </c>
      <c r="B600" s="1">
        <v>1120</v>
      </c>
      <c r="C600" s="1" t="s">
        <v>120</v>
      </c>
      <c r="D600" t="s">
        <v>5</v>
      </c>
      <c r="F600">
        <v>0</v>
      </c>
      <c r="G600">
        <v>0</v>
      </c>
      <c r="H600">
        <v>2</v>
      </c>
      <c r="I600">
        <v>8.6666666666666661</v>
      </c>
      <c r="J600">
        <v>11.33333333333333</v>
      </c>
      <c r="K600">
        <v>13</v>
      </c>
      <c r="L600">
        <v>12.66666666666667</v>
      </c>
      <c r="M600">
        <v>12.4</v>
      </c>
      <c r="N600">
        <v>12</v>
      </c>
      <c r="O600">
        <v>9</v>
      </c>
      <c r="P600">
        <v>10</v>
      </c>
      <c r="Q600">
        <v>3</v>
      </c>
      <c r="R600">
        <v>0</v>
      </c>
      <c r="S600">
        <v>0</v>
      </c>
      <c r="T600">
        <v>0</v>
      </c>
      <c r="U600">
        <v>9.1999999999999993</v>
      </c>
      <c r="V600">
        <v>11</v>
      </c>
      <c r="W600">
        <v>11</v>
      </c>
      <c r="X600">
        <v>11.111111111111111</v>
      </c>
      <c r="Y600">
        <v>15.6</v>
      </c>
      <c r="Z600">
        <v>4.5</v>
      </c>
      <c r="AA600">
        <v>0</v>
      </c>
      <c r="AB600">
        <v>0</v>
      </c>
      <c r="AC600">
        <v>1.5</v>
      </c>
      <c r="AD600">
        <v>8.1818181818181817</v>
      </c>
      <c r="AE600">
        <v>10</v>
      </c>
      <c r="AF600">
        <v>11.33333333333333</v>
      </c>
      <c r="AG600">
        <v>12</v>
      </c>
      <c r="AH600">
        <v>4</v>
      </c>
      <c r="AI600" s="1">
        <v>11</v>
      </c>
      <c r="AJ600" s="1">
        <v>1120</v>
      </c>
      <c r="AK600" s="1" t="s">
        <v>120</v>
      </c>
      <c r="AL600" t="s">
        <v>5</v>
      </c>
      <c r="AN600">
        <v>0</v>
      </c>
      <c r="AO600">
        <v>0</v>
      </c>
      <c r="AP600">
        <v>180</v>
      </c>
      <c r="AQ600">
        <v>780</v>
      </c>
      <c r="AR600">
        <v>1020</v>
      </c>
      <c r="AS600">
        <v>1170</v>
      </c>
      <c r="AT600">
        <v>1140</v>
      </c>
      <c r="AU600">
        <v>1116</v>
      </c>
      <c r="AV600">
        <v>1080</v>
      </c>
      <c r="AW600">
        <v>810</v>
      </c>
      <c r="AX600">
        <v>900</v>
      </c>
      <c r="AY600">
        <v>270</v>
      </c>
      <c r="AZ600">
        <v>0</v>
      </c>
      <c r="BA600">
        <v>0</v>
      </c>
      <c r="BB600">
        <v>0</v>
      </c>
      <c r="BC600">
        <v>828</v>
      </c>
      <c r="BD600">
        <v>990</v>
      </c>
      <c r="BE600">
        <v>990</v>
      </c>
      <c r="BF600">
        <v>1000</v>
      </c>
      <c r="BG600">
        <v>1404</v>
      </c>
      <c r="BH600">
        <v>405</v>
      </c>
      <c r="BI600">
        <v>0</v>
      </c>
      <c r="BJ600">
        <v>0</v>
      </c>
      <c r="BK600">
        <v>135</v>
      </c>
      <c r="BL600">
        <v>736.36363636363637</v>
      </c>
      <c r="BM600">
        <v>900</v>
      </c>
      <c r="BN600">
        <v>1020</v>
      </c>
      <c r="BO600">
        <v>1080</v>
      </c>
      <c r="BP600">
        <v>360</v>
      </c>
      <c r="BQ600">
        <f>(I600+J600+N600+O600)/4</f>
        <v>10.25</v>
      </c>
      <c r="BR600">
        <f>(K600+L600+M600)/3</f>
        <v>12.68888888888889</v>
      </c>
      <c r="BS600">
        <f>BQ600/BR600</f>
        <v>0.80779334500875655</v>
      </c>
      <c r="BT600">
        <f>AQ600/I600</f>
        <v>90</v>
      </c>
      <c r="BU600" t="str">
        <f>IF(OR(A600=2, A600=12), "Central", IF(A600=3, "Semi-Central", "Periférica"))</f>
        <v>Periférica</v>
      </c>
    </row>
    <row r="601" spans="1:73" x14ac:dyDescent="0.3">
      <c r="A601" s="1">
        <v>12</v>
      </c>
      <c r="B601" s="1">
        <v>1220</v>
      </c>
      <c r="C601" s="1" t="s">
        <v>81</v>
      </c>
      <c r="D601" t="s">
        <v>5</v>
      </c>
      <c r="E601" t="s">
        <v>0</v>
      </c>
      <c r="F601">
        <v>0</v>
      </c>
      <c r="G601">
        <v>0</v>
      </c>
      <c r="H601">
        <v>0</v>
      </c>
      <c r="I601">
        <v>0</v>
      </c>
      <c r="J601">
        <v>3.333333333333333</v>
      </c>
      <c r="K601">
        <v>4</v>
      </c>
      <c r="L601">
        <v>4</v>
      </c>
      <c r="M601">
        <v>4</v>
      </c>
      <c r="N601">
        <v>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0.8</v>
      </c>
      <c r="V601">
        <v>3</v>
      </c>
      <c r="W601">
        <v>3</v>
      </c>
      <c r="X601">
        <v>1.555555555555556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2.545454545454545</v>
      </c>
      <c r="AE601">
        <v>2.6</v>
      </c>
      <c r="AF601">
        <v>0</v>
      </c>
      <c r="AG601">
        <v>0</v>
      </c>
      <c r="AH601">
        <v>0</v>
      </c>
      <c r="AI601" s="1">
        <v>12</v>
      </c>
      <c r="AJ601" s="1">
        <v>1220</v>
      </c>
      <c r="AK601" s="1" t="s">
        <v>81</v>
      </c>
      <c r="AL601" t="s">
        <v>5</v>
      </c>
      <c r="AM601" t="s">
        <v>0</v>
      </c>
      <c r="AN601">
        <v>0</v>
      </c>
      <c r="AO601">
        <v>0</v>
      </c>
      <c r="AP601">
        <v>0</v>
      </c>
      <c r="AQ601">
        <v>0</v>
      </c>
      <c r="AR601">
        <v>300</v>
      </c>
      <c r="AS601">
        <v>360</v>
      </c>
      <c r="AT601">
        <v>360</v>
      </c>
      <c r="AU601">
        <v>360</v>
      </c>
      <c r="AV601">
        <v>180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72</v>
      </c>
      <c r="BD601">
        <v>270</v>
      </c>
      <c r="BE601">
        <v>270</v>
      </c>
      <c r="BF601">
        <v>140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229.09090909090909</v>
      </c>
      <c r="BM601">
        <v>234</v>
      </c>
      <c r="BN601">
        <v>0</v>
      </c>
      <c r="BO601">
        <v>0</v>
      </c>
      <c r="BP601">
        <v>0</v>
      </c>
      <c r="BQ601">
        <f>(I601+J601+N601+O601)/4</f>
        <v>1.3333333333333333</v>
      </c>
      <c r="BR601">
        <f>(K601+L601+M601)/3</f>
        <v>4</v>
      </c>
      <c r="BS601">
        <f>BQ601/BR601</f>
        <v>0.33333333333333331</v>
      </c>
      <c r="BT601">
        <v>0</v>
      </c>
      <c r="BU601" t="str">
        <f>IF(OR(A601=2, A601=12), "Central", IF(A601=3, "Semi-Central", "Periférica"))</f>
        <v>Central</v>
      </c>
    </row>
    <row r="602" spans="1:73" x14ac:dyDescent="0.3">
      <c r="A602" s="1">
        <v>2</v>
      </c>
      <c r="B602" s="1" t="s">
        <v>248</v>
      </c>
      <c r="C602" s="1" t="s">
        <v>248</v>
      </c>
      <c r="D602" t="s">
        <v>5</v>
      </c>
      <c r="E602" t="s">
        <v>0</v>
      </c>
      <c r="F602">
        <v>0</v>
      </c>
      <c r="G602">
        <v>0</v>
      </c>
      <c r="H602">
        <v>3</v>
      </c>
      <c r="I602">
        <v>3.3333333333333335</v>
      </c>
      <c r="J602">
        <v>2.6666666666666665</v>
      </c>
      <c r="K602">
        <v>0</v>
      </c>
      <c r="L602">
        <v>0</v>
      </c>
      <c r="M602">
        <v>0</v>
      </c>
      <c r="N602">
        <v>1.5</v>
      </c>
      <c r="O602">
        <v>3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 s="1">
        <v>2</v>
      </c>
      <c r="AJ602" s="1" t="s">
        <v>248</v>
      </c>
      <c r="AK602" s="1" t="s">
        <v>248</v>
      </c>
      <c r="AL602" t="s">
        <v>5</v>
      </c>
      <c r="AM602" t="s">
        <v>0</v>
      </c>
      <c r="AN602">
        <v>0</v>
      </c>
      <c r="AO602">
        <v>0</v>
      </c>
      <c r="AP602">
        <v>276</v>
      </c>
      <c r="AQ602">
        <v>306.66666666666669</v>
      </c>
      <c r="AR602">
        <v>245.33333333333334</v>
      </c>
      <c r="AS602">
        <v>0</v>
      </c>
      <c r="AT602">
        <v>0</v>
      </c>
      <c r="AU602">
        <v>0</v>
      </c>
      <c r="AV602">
        <v>138</v>
      </c>
      <c r="AW602">
        <v>276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f>(I602+J602+N602+O602)/4</f>
        <v>2.625</v>
      </c>
      <c r="BR602">
        <f>(K602+L602+M602)/3</f>
        <v>0</v>
      </c>
      <c r="BS602">
        <v>0</v>
      </c>
      <c r="BT602">
        <f>AQ602/I602</f>
        <v>92</v>
      </c>
      <c r="BU602" t="str">
        <f>IF(OR(A602=2, A602=12), "Central", IF(A602=3, "Semi-Central", "Periférica"))</f>
        <v>Central</v>
      </c>
    </row>
    <row r="603" spans="1:73" x14ac:dyDescent="0.3">
      <c r="A603" s="1">
        <v>2</v>
      </c>
      <c r="B603" s="1" t="s">
        <v>248</v>
      </c>
      <c r="C603" s="1" t="s">
        <v>248</v>
      </c>
      <c r="D603" t="s">
        <v>1</v>
      </c>
      <c r="E603" t="s">
        <v>0</v>
      </c>
      <c r="F603">
        <v>0</v>
      </c>
      <c r="G603">
        <v>0</v>
      </c>
      <c r="H603">
        <v>1</v>
      </c>
      <c r="I603">
        <v>3.3333333333333335</v>
      </c>
      <c r="J603">
        <v>2.6666666666666665</v>
      </c>
      <c r="K603">
        <v>0</v>
      </c>
      <c r="L603">
        <v>0</v>
      </c>
      <c r="M603">
        <v>0</v>
      </c>
      <c r="N603">
        <v>1.5</v>
      </c>
      <c r="O603">
        <v>3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s="1">
        <v>2</v>
      </c>
      <c r="AJ603" s="1" t="s">
        <v>248</v>
      </c>
      <c r="AK603" s="1" t="s">
        <v>248</v>
      </c>
      <c r="AL603" t="s">
        <v>1</v>
      </c>
      <c r="AM603" t="s">
        <v>0</v>
      </c>
      <c r="AN603">
        <v>0</v>
      </c>
      <c r="AO603">
        <v>0</v>
      </c>
      <c r="AP603">
        <v>92</v>
      </c>
      <c r="AQ603">
        <v>306.66666666666669</v>
      </c>
      <c r="AR603">
        <v>245.33333333333334</v>
      </c>
      <c r="AS603">
        <v>0</v>
      </c>
      <c r="AT603">
        <v>0</v>
      </c>
      <c r="AU603">
        <v>0</v>
      </c>
      <c r="AV603">
        <v>138</v>
      </c>
      <c r="AW603">
        <v>276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f>(I603+J603+N603+O603)/4</f>
        <v>2.625</v>
      </c>
      <c r="BR603">
        <f>(K603+L603+M603)/3</f>
        <v>0</v>
      </c>
      <c r="BS603">
        <v>0</v>
      </c>
      <c r="BT603">
        <f>AQ603/I603</f>
        <v>92</v>
      </c>
      <c r="BU603" t="str">
        <f>IF(OR(A603=2, A603=12), "Central", IF(A603=3, "Semi-Central", "Periférica"))</f>
        <v>Central</v>
      </c>
    </row>
    <row r="604" spans="1:73" x14ac:dyDescent="0.3">
      <c r="A604" s="1">
        <v>2</v>
      </c>
      <c r="B604" s="1">
        <v>284</v>
      </c>
      <c r="C604" s="1" t="s">
        <v>247</v>
      </c>
      <c r="D604" t="s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 s="1">
        <v>2</v>
      </c>
      <c r="AJ604" s="1">
        <v>284</v>
      </c>
      <c r="AK604" s="1" t="s">
        <v>247</v>
      </c>
      <c r="AL604" t="s">
        <v>1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f>(I604+J604+N604+O604)/4</f>
        <v>0</v>
      </c>
      <c r="BR604">
        <f>(K604+L604+M604)/3</f>
        <v>0</v>
      </c>
      <c r="BS604">
        <v>0</v>
      </c>
      <c r="BT604">
        <v>0</v>
      </c>
      <c r="BU604" t="str">
        <f>IF(OR(A604=2, A604=12), "Central", IF(A604=3, "Semi-Central", "Periférica"))</f>
        <v>Central</v>
      </c>
    </row>
    <row r="605" spans="1:73" x14ac:dyDescent="0.3">
      <c r="A605" s="1">
        <v>2</v>
      </c>
      <c r="B605" s="1">
        <v>276</v>
      </c>
      <c r="C605" s="1" t="s">
        <v>246</v>
      </c>
      <c r="D605" t="s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s="1">
        <v>2</v>
      </c>
      <c r="AJ605" s="1">
        <v>276</v>
      </c>
      <c r="AK605" s="1" t="s">
        <v>246</v>
      </c>
      <c r="AL605" t="s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f>(I605+J605+N605+O605)/4</f>
        <v>0</v>
      </c>
      <c r="BR605">
        <f>(K605+L605+M605)/3</f>
        <v>0</v>
      </c>
      <c r="BS605">
        <v>0</v>
      </c>
      <c r="BT605">
        <v>0</v>
      </c>
      <c r="BU605" t="str">
        <f>IF(OR(A605=2, A605=12), "Central", IF(A605=3, "Semi-Central", "Periférica"))</f>
        <v>Central</v>
      </c>
    </row>
    <row r="606" spans="1:73" x14ac:dyDescent="0.3">
      <c r="A606" s="1">
        <v>3</v>
      </c>
      <c r="B606" s="1">
        <v>307</v>
      </c>
      <c r="C606" s="1">
        <v>307</v>
      </c>
      <c r="D606" t="s">
        <v>1</v>
      </c>
      <c r="E606" t="s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 s="1">
        <v>3</v>
      </c>
      <c r="AJ606" s="1">
        <v>307</v>
      </c>
      <c r="AK606" s="1">
        <v>307</v>
      </c>
      <c r="AL606" t="s">
        <v>1</v>
      </c>
      <c r="AM606" t="s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f>(I606+J606+N606+O606)/4</f>
        <v>0</v>
      </c>
      <c r="BR606">
        <f>(K606+L606+M606)/3</f>
        <v>0</v>
      </c>
      <c r="BS606">
        <v>0</v>
      </c>
      <c r="BT606">
        <v>0</v>
      </c>
      <c r="BU606" t="str">
        <f>IF(OR(A606=2, A606=12), "Central", IF(A606=3, "Semi-Central", "Periférica"))</f>
        <v>Semi-Central</v>
      </c>
    </row>
    <row r="607" spans="1:73" x14ac:dyDescent="0.3">
      <c r="A607" s="1">
        <v>3</v>
      </c>
      <c r="B607" s="1" t="s">
        <v>245</v>
      </c>
      <c r="C607" s="1" t="s">
        <v>245</v>
      </c>
      <c r="D607" t="s">
        <v>5</v>
      </c>
      <c r="E607" t="s">
        <v>0</v>
      </c>
      <c r="F607">
        <v>0</v>
      </c>
      <c r="G607">
        <v>0.66666666666666663</v>
      </c>
      <c r="H607">
        <v>6</v>
      </c>
      <c r="I607">
        <v>6.666666666666667</v>
      </c>
      <c r="J607">
        <v>4.666666666666667</v>
      </c>
      <c r="K607">
        <v>0</v>
      </c>
      <c r="L607">
        <v>0</v>
      </c>
      <c r="M607">
        <v>0</v>
      </c>
      <c r="N607">
        <v>5</v>
      </c>
      <c r="O607">
        <v>7</v>
      </c>
      <c r="P607">
        <v>2.6666666666666665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s="1">
        <v>3</v>
      </c>
      <c r="AJ607" s="1" t="s">
        <v>245</v>
      </c>
      <c r="AK607" s="1" t="s">
        <v>245</v>
      </c>
      <c r="AL607" t="s">
        <v>5</v>
      </c>
      <c r="AM607" t="s">
        <v>0</v>
      </c>
      <c r="AN607">
        <v>0</v>
      </c>
      <c r="AO607">
        <v>62</v>
      </c>
      <c r="AP607">
        <v>543</v>
      </c>
      <c r="AQ607">
        <v>606.66666666666663</v>
      </c>
      <c r="AR607">
        <v>427.33333333333331</v>
      </c>
      <c r="AS607">
        <v>0</v>
      </c>
      <c r="AT607">
        <v>0</v>
      </c>
      <c r="AU607">
        <v>0</v>
      </c>
      <c r="AV607">
        <v>457.5</v>
      </c>
      <c r="AW607">
        <v>638.5</v>
      </c>
      <c r="AX607">
        <v>248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f>(I607+J607+N607+O607)/4</f>
        <v>5.8333333333333339</v>
      </c>
      <c r="BR607">
        <f>(K607+L607+M607)/3</f>
        <v>0</v>
      </c>
      <c r="BS607">
        <v>0</v>
      </c>
      <c r="BT607">
        <f>AQ607/I607</f>
        <v>90.999999999999986</v>
      </c>
      <c r="BU607" t="str">
        <f>IF(OR(A607=2, A607=12), "Central", IF(A607=3, "Semi-Central", "Periférica"))</f>
        <v>Semi-Central</v>
      </c>
    </row>
    <row r="608" spans="1:73" x14ac:dyDescent="0.3">
      <c r="A608" s="1">
        <v>3</v>
      </c>
      <c r="B608" s="1" t="s">
        <v>245</v>
      </c>
      <c r="C608" s="1" t="s">
        <v>245</v>
      </c>
      <c r="D608" t="s">
        <v>1</v>
      </c>
      <c r="E608" t="s">
        <v>0</v>
      </c>
      <c r="F608">
        <v>0</v>
      </c>
      <c r="G608">
        <v>0</v>
      </c>
      <c r="H608">
        <v>3</v>
      </c>
      <c r="I608">
        <v>6</v>
      </c>
      <c r="J608">
        <v>4</v>
      </c>
      <c r="K608">
        <v>0</v>
      </c>
      <c r="L608">
        <v>0</v>
      </c>
      <c r="M608">
        <v>0</v>
      </c>
      <c r="N608">
        <v>5</v>
      </c>
      <c r="O608">
        <v>7.5</v>
      </c>
      <c r="P608">
        <v>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s="1">
        <v>3</v>
      </c>
      <c r="AJ608" s="1" t="s">
        <v>245</v>
      </c>
      <c r="AK608" s="1" t="s">
        <v>245</v>
      </c>
      <c r="AL608" t="s">
        <v>1</v>
      </c>
      <c r="AM608" t="s">
        <v>0</v>
      </c>
      <c r="AN608">
        <v>0</v>
      </c>
      <c r="AO608">
        <v>0</v>
      </c>
      <c r="AP608">
        <v>279</v>
      </c>
      <c r="AQ608">
        <v>544.66666666666663</v>
      </c>
      <c r="AR608">
        <v>368.66666666666669</v>
      </c>
      <c r="AS608">
        <v>0</v>
      </c>
      <c r="AT608">
        <v>0</v>
      </c>
      <c r="AU608">
        <v>0</v>
      </c>
      <c r="AV608">
        <v>455</v>
      </c>
      <c r="AW608">
        <v>692.5</v>
      </c>
      <c r="AX608">
        <v>362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f>(I608+J608+N608+O608)/4</f>
        <v>5.625</v>
      </c>
      <c r="BR608">
        <f>(K608+L608+M608)/3</f>
        <v>0</v>
      </c>
      <c r="BS608">
        <v>0</v>
      </c>
      <c r="BT608">
        <f>AQ608/I608</f>
        <v>90.777777777777771</v>
      </c>
      <c r="BU608" t="str">
        <f>IF(OR(A608=2, A608=12), "Central", IF(A608=3, "Semi-Central", "Periférica"))</f>
        <v>Semi-Central</v>
      </c>
    </row>
    <row r="609" spans="1:73" x14ac:dyDescent="0.3">
      <c r="A609" s="1">
        <v>3</v>
      </c>
      <c r="B609" s="1" t="s">
        <v>244</v>
      </c>
      <c r="C609" s="1" t="s">
        <v>244</v>
      </c>
      <c r="D609" t="s">
        <v>5</v>
      </c>
      <c r="E609" t="s">
        <v>0</v>
      </c>
      <c r="F609">
        <v>0</v>
      </c>
      <c r="G609">
        <v>0</v>
      </c>
      <c r="H609">
        <v>4</v>
      </c>
      <c r="I609">
        <v>6</v>
      </c>
      <c r="J609">
        <v>2.6666666666666665</v>
      </c>
      <c r="K609">
        <v>0</v>
      </c>
      <c r="L609">
        <v>0</v>
      </c>
      <c r="M609">
        <v>0</v>
      </c>
      <c r="N609">
        <v>3.5</v>
      </c>
      <c r="O609">
        <v>5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 s="1">
        <v>3</v>
      </c>
      <c r="AJ609" s="1" t="s">
        <v>244</v>
      </c>
      <c r="AK609" s="1" t="s">
        <v>244</v>
      </c>
      <c r="AL609" t="s">
        <v>5</v>
      </c>
      <c r="AM609" t="s">
        <v>0</v>
      </c>
      <c r="AN609">
        <v>0</v>
      </c>
      <c r="AO609">
        <v>0</v>
      </c>
      <c r="AP609">
        <v>372</v>
      </c>
      <c r="AQ609">
        <v>558</v>
      </c>
      <c r="AR609">
        <v>248</v>
      </c>
      <c r="AS609">
        <v>0</v>
      </c>
      <c r="AT609">
        <v>0</v>
      </c>
      <c r="AU609">
        <v>0</v>
      </c>
      <c r="AV609">
        <v>325.5</v>
      </c>
      <c r="AW609">
        <v>465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f>(I609+J609+N609+O609)/4</f>
        <v>4.2916666666666661</v>
      </c>
      <c r="BR609">
        <f>(K609+L609+M609)/3</f>
        <v>0</v>
      </c>
      <c r="BS609">
        <v>0</v>
      </c>
      <c r="BT609">
        <f>AQ609/I609</f>
        <v>93</v>
      </c>
      <c r="BU609" t="str">
        <f>IF(OR(A609=2, A609=12), "Central", IF(A609=3, "Semi-Central", "Periférica"))</f>
        <v>Semi-Central</v>
      </c>
    </row>
    <row r="610" spans="1:73" x14ac:dyDescent="0.3">
      <c r="A610" s="1">
        <v>3</v>
      </c>
      <c r="B610" s="1" t="s">
        <v>244</v>
      </c>
      <c r="C610" s="1" t="s">
        <v>244</v>
      </c>
      <c r="D610" t="s">
        <v>1</v>
      </c>
      <c r="E610" t="s">
        <v>0</v>
      </c>
      <c r="F610">
        <v>0</v>
      </c>
      <c r="G610">
        <v>0</v>
      </c>
      <c r="H610">
        <v>1</v>
      </c>
      <c r="I610">
        <v>6</v>
      </c>
      <c r="J610">
        <v>4</v>
      </c>
      <c r="K610">
        <v>0</v>
      </c>
      <c r="L610">
        <v>0</v>
      </c>
      <c r="M610">
        <v>0</v>
      </c>
      <c r="N610">
        <v>3.5</v>
      </c>
      <c r="O610">
        <v>7</v>
      </c>
      <c r="P610">
        <v>2.6666666666666665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s="1">
        <v>3</v>
      </c>
      <c r="AJ610" s="1" t="s">
        <v>244</v>
      </c>
      <c r="AK610" s="1" t="s">
        <v>244</v>
      </c>
      <c r="AL610" t="s">
        <v>1</v>
      </c>
      <c r="AM610" t="s">
        <v>0</v>
      </c>
      <c r="AN610">
        <v>0</v>
      </c>
      <c r="AO610">
        <v>0</v>
      </c>
      <c r="AP610">
        <v>93</v>
      </c>
      <c r="AQ610">
        <v>558</v>
      </c>
      <c r="AR610">
        <v>372</v>
      </c>
      <c r="AS610">
        <v>0</v>
      </c>
      <c r="AT610">
        <v>0</v>
      </c>
      <c r="AU610">
        <v>0</v>
      </c>
      <c r="AV610">
        <v>325.5</v>
      </c>
      <c r="AW610">
        <v>651</v>
      </c>
      <c r="AX610">
        <v>248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f>(I610+J610+N610+O610)/4</f>
        <v>5.125</v>
      </c>
      <c r="BR610">
        <f>(K610+L610+M610)/3</f>
        <v>0</v>
      </c>
      <c r="BS610">
        <v>0</v>
      </c>
      <c r="BT610">
        <f>AQ610/I610</f>
        <v>93</v>
      </c>
      <c r="BU610" t="str">
        <f>IF(OR(A610=2, A610=12), "Central", IF(A610=3, "Semi-Central", "Periférica"))</f>
        <v>Semi-Central</v>
      </c>
    </row>
    <row r="611" spans="1:73" x14ac:dyDescent="0.3">
      <c r="A611" s="1">
        <v>3</v>
      </c>
      <c r="B611" s="1" t="s">
        <v>243</v>
      </c>
      <c r="C611" s="1" t="s">
        <v>243</v>
      </c>
      <c r="D611" t="s">
        <v>5</v>
      </c>
      <c r="E611">
        <v>1</v>
      </c>
      <c r="F611">
        <v>0</v>
      </c>
      <c r="G611">
        <v>0</v>
      </c>
      <c r="H611">
        <v>2</v>
      </c>
      <c r="I611">
        <v>0.66666666666666663</v>
      </c>
      <c r="J611">
        <v>0</v>
      </c>
      <c r="K611">
        <v>0</v>
      </c>
      <c r="L611">
        <v>0</v>
      </c>
      <c r="M611">
        <v>0</v>
      </c>
      <c r="N611">
        <v>2.5</v>
      </c>
      <c r="O611">
        <v>0</v>
      </c>
      <c r="P611">
        <v>0.66666666666666663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 s="1">
        <v>3</v>
      </c>
      <c r="AJ611" s="1" t="s">
        <v>243</v>
      </c>
      <c r="AK611" s="1" t="s">
        <v>243</v>
      </c>
      <c r="AL611" t="s">
        <v>5</v>
      </c>
      <c r="AM611">
        <v>1</v>
      </c>
      <c r="AN611">
        <v>0</v>
      </c>
      <c r="AO611">
        <v>0</v>
      </c>
      <c r="AP611">
        <v>186</v>
      </c>
      <c r="AQ611">
        <v>62</v>
      </c>
      <c r="AR611">
        <v>0</v>
      </c>
      <c r="AS611">
        <v>0</v>
      </c>
      <c r="AT611">
        <v>0</v>
      </c>
      <c r="AU611">
        <v>0</v>
      </c>
      <c r="AV611">
        <v>232.5</v>
      </c>
      <c r="AW611">
        <v>0</v>
      </c>
      <c r="AX611">
        <v>62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f>(I611+J611+N611+O611)/4</f>
        <v>0.79166666666666663</v>
      </c>
      <c r="BR611">
        <f>(K611+L611+M611)/3</f>
        <v>0</v>
      </c>
      <c r="BS611">
        <v>0</v>
      </c>
      <c r="BT611">
        <f>AQ611/I611</f>
        <v>93</v>
      </c>
      <c r="BU611" t="str">
        <f>IF(OR(A611=2, A611=12), "Central", IF(A611=3, "Semi-Central", "Periférica"))</f>
        <v>Semi-Central</v>
      </c>
    </row>
    <row r="612" spans="1:73" x14ac:dyDescent="0.3">
      <c r="A612" s="1">
        <v>3</v>
      </c>
      <c r="B612" s="1">
        <v>314</v>
      </c>
      <c r="C612" s="1">
        <v>314</v>
      </c>
      <c r="D612" t="s">
        <v>1</v>
      </c>
      <c r="E612" t="s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s="1">
        <v>3</v>
      </c>
      <c r="AJ612" s="1">
        <v>314</v>
      </c>
      <c r="AK612" s="1">
        <v>314</v>
      </c>
      <c r="AL612" t="s">
        <v>1</v>
      </c>
      <c r="AM612" t="s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f>(I612+J612+N612+O612)/4</f>
        <v>0</v>
      </c>
      <c r="BR612">
        <f>(K612+L612+M612)/3</f>
        <v>0</v>
      </c>
      <c r="BS612">
        <v>0</v>
      </c>
      <c r="BT612">
        <v>0</v>
      </c>
      <c r="BU612" t="str">
        <f>IF(OR(A612=2, A612=12), "Central", IF(A612=3, "Semi-Central", "Periférica"))</f>
        <v>Semi-Central</v>
      </c>
    </row>
    <row r="613" spans="1:73" x14ac:dyDescent="0.3">
      <c r="A613" s="1">
        <v>3</v>
      </c>
      <c r="B613" s="1">
        <v>317</v>
      </c>
      <c r="C613" s="1" t="s">
        <v>242</v>
      </c>
      <c r="D613" t="s">
        <v>1</v>
      </c>
      <c r="E613" t="s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s="1">
        <v>3</v>
      </c>
      <c r="AJ613" s="1">
        <v>317</v>
      </c>
      <c r="AK613" s="1" t="s">
        <v>242</v>
      </c>
      <c r="AL613" t="s">
        <v>1</v>
      </c>
      <c r="AM613" t="s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f>(I613+J613+N613+O613)/4</f>
        <v>0</v>
      </c>
      <c r="BR613">
        <f>(K613+L613+M613)/3</f>
        <v>0</v>
      </c>
      <c r="BS613">
        <v>0</v>
      </c>
      <c r="BT613">
        <v>0</v>
      </c>
      <c r="BU613" t="str">
        <f>IF(OR(A613=2, A613=12), "Central", IF(A613=3, "Semi-Central", "Periférica"))</f>
        <v>Semi-Central</v>
      </c>
    </row>
    <row r="614" spans="1:73" x14ac:dyDescent="0.3">
      <c r="A614" s="1">
        <v>3</v>
      </c>
      <c r="B614" s="1" t="s">
        <v>241</v>
      </c>
      <c r="C614" s="1" t="s">
        <v>241</v>
      </c>
      <c r="D614" t="s">
        <v>1</v>
      </c>
      <c r="E614" t="s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s="1">
        <v>3</v>
      </c>
      <c r="AJ614" s="1" t="s">
        <v>241</v>
      </c>
      <c r="AK614" s="1" t="s">
        <v>241</v>
      </c>
      <c r="AL614" t="s">
        <v>1</v>
      </c>
      <c r="AM614" t="s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f>(I614+J614+N614+O614)/4</f>
        <v>0</v>
      </c>
      <c r="BR614">
        <f>(K614+L614+M614)/3</f>
        <v>0</v>
      </c>
      <c r="BS614">
        <v>0</v>
      </c>
      <c r="BT614">
        <v>0</v>
      </c>
      <c r="BU614" t="str">
        <f>IF(OR(A614=2, A614=12), "Central", IF(A614=3, "Semi-Central", "Periférica"))</f>
        <v>Semi-Central</v>
      </c>
    </row>
    <row r="615" spans="1:73" x14ac:dyDescent="0.3">
      <c r="A615" s="1">
        <v>3</v>
      </c>
      <c r="B615" s="1" t="s">
        <v>240</v>
      </c>
      <c r="C615" s="1" t="s">
        <v>239</v>
      </c>
      <c r="D615" t="s">
        <v>5</v>
      </c>
      <c r="E615" t="s">
        <v>0</v>
      </c>
      <c r="F615">
        <v>0</v>
      </c>
      <c r="G615">
        <v>0</v>
      </c>
      <c r="H615">
        <v>3</v>
      </c>
      <c r="I615">
        <v>7.333333333333333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4.5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s="1">
        <v>3</v>
      </c>
      <c r="AJ615" s="1" t="s">
        <v>240</v>
      </c>
      <c r="AK615" s="1" t="s">
        <v>239</v>
      </c>
      <c r="AL615" t="s">
        <v>5</v>
      </c>
      <c r="AM615" t="s">
        <v>0</v>
      </c>
      <c r="AN615">
        <v>0</v>
      </c>
      <c r="AO615">
        <v>0</v>
      </c>
      <c r="AP615">
        <v>294</v>
      </c>
      <c r="AQ615">
        <v>718.66666666666663</v>
      </c>
      <c r="AR615">
        <v>196</v>
      </c>
      <c r="AS615">
        <v>0</v>
      </c>
      <c r="AT615">
        <v>0</v>
      </c>
      <c r="AU615">
        <v>0</v>
      </c>
      <c r="AV615">
        <v>0</v>
      </c>
      <c r="AW615">
        <v>441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f>(I615+J615+N615+O615)/4</f>
        <v>3.458333333333333</v>
      </c>
      <c r="BR615">
        <f>(K615+L615+M615)/3</f>
        <v>0</v>
      </c>
      <c r="BS615">
        <v>0</v>
      </c>
      <c r="BT615">
        <f>AQ615/I615</f>
        <v>98</v>
      </c>
      <c r="BU615" t="str">
        <f>IF(OR(A615=2, A615=12), "Central", IF(A615=3, "Semi-Central", "Periférica"))</f>
        <v>Semi-Central</v>
      </c>
    </row>
    <row r="616" spans="1:73" x14ac:dyDescent="0.3">
      <c r="A616" s="1">
        <v>3</v>
      </c>
      <c r="B616" s="1" t="s">
        <v>240</v>
      </c>
      <c r="C616" s="1" t="s">
        <v>239</v>
      </c>
      <c r="D616" t="s">
        <v>1</v>
      </c>
      <c r="E616" t="s">
        <v>0</v>
      </c>
      <c r="F616">
        <v>0</v>
      </c>
      <c r="G616">
        <v>0</v>
      </c>
      <c r="H616">
        <v>0</v>
      </c>
      <c r="I616">
        <v>5.333333333333333</v>
      </c>
      <c r="J616">
        <v>2</v>
      </c>
      <c r="K616">
        <v>0</v>
      </c>
      <c r="L616">
        <v>0</v>
      </c>
      <c r="M616">
        <v>0</v>
      </c>
      <c r="N616">
        <v>0</v>
      </c>
      <c r="O616">
        <v>4.5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 s="1">
        <v>3</v>
      </c>
      <c r="AJ616" s="1" t="s">
        <v>240</v>
      </c>
      <c r="AK616" s="1" t="s">
        <v>239</v>
      </c>
      <c r="AL616" t="s">
        <v>1</v>
      </c>
      <c r="AM616" t="s">
        <v>0</v>
      </c>
      <c r="AN616">
        <v>0</v>
      </c>
      <c r="AO616">
        <v>0</v>
      </c>
      <c r="AP616">
        <v>0</v>
      </c>
      <c r="AQ616">
        <v>522.66666666666663</v>
      </c>
      <c r="AR616">
        <v>196</v>
      </c>
      <c r="AS616">
        <v>0</v>
      </c>
      <c r="AT616">
        <v>0</v>
      </c>
      <c r="AU616">
        <v>0</v>
      </c>
      <c r="AV616">
        <v>0</v>
      </c>
      <c r="AW616">
        <v>441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f>(I616+J616+N616+O616)/4</f>
        <v>2.958333333333333</v>
      </c>
      <c r="BR616">
        <f>(K616+L616+M616)/3</f>
        <v>0</v>
      </c>
      <c r="BS616">
        <v>0</v>
      </c>
      <c r="BT616">
        <f>AQ616/I616</f>
        <v>98</v>
      </c>
      <c r="BU616" t="str">
        <f>IF(OR(A616=2, A616=12), "Central", IF(A616=3, "Semi-Central", "Periférica"))</f>
        <v>Semi-Central</v>
      </c>
    </row>
    <row r="617" spans="1:73" x14ac:dyDescent="0.3">
      <c r="A617" s="1">
        <v>3</v>
      </c>
      <c r="B617" s="1" t="s">
        <v>238</v>
      </c>
      <c r="C617" s="1" t="s">
        <v>237</v>
      </c>
      <c r="D617" t="s">
        <v>5</v>
      </c>
      <c r="E617" t="s">
        <v>0</v>
      </c>
      <c r="F617">
        <v>0</v>
      </c>
      <c r="G617">
        <v>0</v>
      </c>
      <c r="H617">
        <v>3</v>
      </c>
      <c r="I617">
        <v>5.333333333333333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 s="1">
        <v>3</v>
      </c>
      <c r="AJ617" s="1" t="s">
        <v>238</v>
      </c>
      <c r="AK617" s="1" t="s">
        <v>237</v>
      </c>
      <c r="AL617" t="s">
        <v>5</v>
      </c>
      <c r="AM617" t="s">
        <v>0</v>
      </c>
      <c r="AN617">
        <v>0</v>
      </c>
      <c r="AO617">
        <v>0</v>
      </c>
      <c r="AP617">
        <v>294</v>
      </c>
      <c r="AQ617">
        <v>522.66666666666663</v>
      </c>
      <c r="AR617">
        <v>196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f>(I617+J617+N617+O617)/4</f>
        <v>1.8333333333333333</v>
      </c>
      <c r="BR617">
        <f>(K617+L617+M617)/3</f>
        <v>0</v>
      </c>
      <c r="BS617">
        <v>0</v>
      </c>
      <c r="BT617">
        <f>AQ617/I617</f>
        <v>98</v>
      </c>
      <c r="BU617" t="str">
        <f>IF(OR(A617=2, A617=12), "Central", IF(A617=3, "Semi-Central", "Periférica"))</f>
        <v>Semi-Central</v>
      </c>
    </row>
    <row r="618" spans="1:73" x14ac:dyDescent="0.3">
      <c r="A618" s="1">
        <v>3</v>
      </c>
      <c r="B618" s="1" t="s">
        <v>238</v>
      </c>
      <c r="C618" s="1" t="s">
        <v>237</v>
      </c>
      <c r="D618" t="s">
        <v>1</v>
      </c>
      <c r="E618" t="s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5</v>
      </c>
      <c r="O618">
        <v>7</v>
      </c>
      <c r="P618">
        <v>2.6666666666666665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s="1">
        <v>3</v>
      </c>
      <c r="AJ618" s="1" t="s">
        <v>238</v>
      </c>
      <c r="AK618" s="1" t="s">
        <v>237</v>
      </c>
      <c r="AL618" t="s">
        <v>1</v>
      </c>
      <c r="AM618" t="s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490</v>
      </c>
      <c r="AW618">
        <v>686</v>
      </c>
      <c r="AX618">
        <v>261.33333333333331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f>(I618+J618+N618+O618)/4</f>
        <v>3</v>
      </c>
      <c r="BR618">
        <f>(K618+L618+M618)/3</f>
        <v>0</v>
      </c>
      <c r="BS618">
        <v>0</v>
      </c>
      <c r="BT618">
        <v>0</v>
      </c>
      <c r="BU618" t="str">
        <f>IF(OR(A618=2, A618=12), "Central", IF(A618=3, "Semi-Central", "Periférica"))</f>
        <v>Semi-Central</v>
      </c>
    </row>
    <row r="619" spans="1:73" x14ac:dyDescent="0.3">
      <c r="A619" s="1">
        <v>3</v>
      </c>
      <c r="B619" s="1" t="s">
        <v>236</v>
      </c>
      <c r="C619" s="1" t="s">
        <v>235</v>
      </c>
      <c r="D619" t="s">
        <v>5</v>
      </c>
      <c r="E619" t="s">
        <v>0</v>
      </c>
      <c r="F619">
        <v>0</v>
      </c>
      <c r="G619">
        <v>0</v>
      </c>
      <c r="H619">
        <v>0</v>
      </c>
      <c r="I619">
        <v>8</v>
      </c>
      <c r="J619">
        <v>1.3333333333333333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 s="1">
        <v>3</v>
      </c>
      <c r="AJ619" s="1" t="s">
        <v>236</v>
      </c>
      <c r="AK619" s="1" t="s">
        <v>235</v>
      </c>
      <c r="AL619" t="s">
        <v>5</v>
      </c>
      <c r="AM619" t="s">
        <v>0</v>
      </c>
      <c r="AN619">
        <v>0</v>
      </c>
      <c r="AO619">
        <v>0</v>
      </c>
      <c r="AP619">
        <v>0</v>
      </c>
      <c r="AQ619">
        <v>368</v>
      </c>
      <c r="AR619">
        <v>61.333333333333336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f>(I619+J619+N619+O619)/4</f>
        <v>2.3333333333333335</v>
      </c>
      <c r="BR619">
        <f>(K619+L619+M619)/3</f>
        <v>0</v>
      </c>
      <c r="BS619">
        <v>0</v>
      </c>
      <c r="BT619">
        <f>AQ619/I619</f>
        <v>46</v>
      </c>
      <c r="BU619" t="str">
        <f>IF(OR(A619=2, A619=12), "Central", IF(A619=3, "Semi-Central", "Periférica"))</f>
        <v>Semi-Central</v>
      </c>
    </row>
    <row r="620" spans="1:73" x14ac:dyDescent="0.3">
      <c r="A620" s="1">
        <v>3</v>
      </c>
      <c r="B620" s="1" t="s">
        <v>236</v>
      </c>
      <c r="C620" s="1" t="s">
        <v>235</v>
      </c>
      <c r="D620" t="s">
        <v>1</v>
      </c>
      <c r="E620" t="s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2</v>
      </c>
      <c r="O620">
        <v>4.5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s="1">
        <v>3</v>
      </c>
      <c r="AJ620" s="1" t="s">
        <v>236</v>
      </c>
      <c r="AK620" s="1" t="s">
        <v>235</v>
      </c>
      <c r="AL620" t="s">
        <v>1</v>
      </c>
      <c r="AM620" t="s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92</v>
      </c>
      <c r="AW620">
        <v>207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f>(I620+J620+N620+O620)/4</f>
        <v>1.625</v>
      </c>
      <c r="BR620">
        <f>(K620+L620+M620)/3</f>
        <v>0</v>
      </c>
      <c r="BS620">
        <v>0</v>
      </c>
      <c r="BT620">
        <v>0</v>
      </c>
      <c r="BU620" t="str">
        <f>IF(OR(A620=2, A620=12), "Central", IF(A620=3, "Semi-Central", "Periférica"))</f>
        <v>Semi-Central</v>
      </c>
    </row>
    <row r="621" spans="1:73" x14ac:dyDescent="0.3">
      <c r="A621" s="1">
        <v>3</v>
      </c>
      <c r="B621" s="1" t="s">
        <v>234</v>
      </c>
      <c r="C621" s="1" t="s">
        <v>233</v>
      </c>
      <c r="D621" t="s">
        <v>5</v>
      </c>
      <c r="E621" t="s">
        <v>0</v>
      </c>
      <c r="F621">
        <v>0</v>
      </c>
      <c r="G621">
        <v>0</v>
      </c>
      <c r="H621">
        <v>0</v>
      </c>
      <c r="I621">
        <v>8</v>
      </c>
      <c r="J621">
        <v>2</v>
      </c>
      <c r="K621">
        <v>0</v>
      </c>
      <c r="L621">
        <v>0</v>
      </c>
      <c r="M621">
        <v>0</v>
      </c>
      <c r="N621">
        <v>2.5</v>
      </c>
      <c r="O621">
        <v>5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s="1">
        <v>3</v>
      </c>
      <c r="AJ621" s="1" t="s">
        <v>234</v>
      </c>
      <c r="AK621" s="1" t="s">
        <v>233</v>
      </c>
      <c r="AL621" t="s">
        <v>5</v>
      </c>
      <c r="AM621" t="s">
        <v>0</v>
      </c>
      <c r="AN621">
        <v>0</v>
      </c>
      <c r="AO621">
        <v>0</v>
      </c>
      <c r="AP621">
        <v>0</v>
      </c>
      <c r="AQ621">
        <v>744</v>
      </c>
      <c r="AR621">
        <v>186</v>
      </c>
      <c r="AS621">
        <v>0</v>
      </c>
      <c r="AT621">
        <v>0</v>
      </c>
      <c r="AU621">
        <v>0</v>
      </c>
      <c r="AV621">
        <v>232.5</v>
      </c>
      <c r="AW621">
        <v>465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f>(I621+J621+N621+O621)/4</f>
        <v>4.375</v>
      </c>
      <c r="BR621">
        <f>(K621+L621+M621)/3</f>
        <v>0</v>
      </c>
      <c r="BS621">
        <v>0</v>
      </c>
      <c r="BT621">
        <f>AQ621/I621</f>
        <v>93</v>
      </c>
      <c r="BU621" t="str">
        <f>IF(OR(A621=2, A621=12), "Central", IF(A621=3, "Semi-Central", "Periférica"))</f>
        <v>Semi-Central</v>
      </c>
    </row>
    <row r="622" spans="1:73" x14ac:dyDescent="0.3">
      <c r="A622" s="1">
        <v>3</v>
      </c>
      <c r="B622" s="1" t="s">
        <v>234</v>
      </c>
      <c r="C622" s="1" t="s">
        <v>233</v>
      </c>
      <c r="D622" t="s">
        <v>1</v>
      </c>
      <c r="E622" t="s">
        <v>0</v>
      </c>
      <c r="F622">
        <v>0</v>
      </c>
      <c r="G622">
        <v>0</v>
      </c>
      <c r="H622">
        <v>0</v>
      </c>
      <c r="I622">
        <v>5.333333333333333</v>
      </c>
      <c r="J622">
        <v>1.3333333333333333</v>
      </c>
      <c r="K622">
        <v>0</v>
      </c>
      <c r="L622">
        <v>0</v>
      </c>
      <c r="M622">
        <v>0</v>
      </c>
      <c r="N622">
        <v>2.5</v>
      </c>
      <c r="O622">
        <v>5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 s="1">
        <v>3</v>
      </c>
      <c r="AJ622" s="1" t="s">
        <v>234</v>
      </c>
      <c r="AK622" s="1" t="s">
        <v>233</v>
      </c>
      <c r="AL622" t="s">
        <v>1</v>
      </c>
      <c r="AM622" t="s">
        <v>0</v>
      </c>
      <c r="AN622">
        <v>0</v>
      </c>
      <c r="AO622">
        <v>0</v>
      </c>
      <c r="AP622">
        <v>0</v>
      </c>
      <c r="AQ622">
        <v>496</v>
      </c>
      <c r="AR622">
        <v>124</v>
      </c>
      <c r="AS622">
        <v>0</v>
      </c>
      <c r="AT622">
        <v>0</v>
      </c>
      <c r="AU622">
        <v>0</v>
      </c>
      <c r="AV622">
        <v>232.5</v>
      </c>
      <c r="AW622">
        <v>465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f>(I622+J622+N622+O622)/4</f>
        <v>3.5416666666666665</v>
      </c>
      <c r="BR622">
        <f>(K622+L622+M622)/3</f>
        <v>0</v>
      </c>
      <c r="BS622">
        <v>0</v>
      </c>
      <c r="BT622">
        <f>AQ622/I622</f>
        <v>93</v>
      </c>
      <c r="BU622" t="str">
        <f>IF(OR(A622=2, A622=12), "Central", IF(A622=3, "Semi-Central", "Periférica"))</f>
        <v>Semi-Central</v>
      </c>
    </row>
    <row r="623" spans="1:73" x14ac:dyDescent="0.3">
      <c r="A623" s="1">
        <v>3</v>
      </c>
      <c r="B623" s="1" t="s">
        <v>232</v>
      </c>
      <c r="C623" s="1" t="s">
        <v>231</v>
      </c>
      <c r="D623" t="s">
        <v>5</v>
      </c>
      <c r="E623" t="s">
        <v>0</v>
      </c>
      <c r="F623">
        <v>0</v>
      </c>
      <c r="G623">
        <v>0</v>
      </c>
      <c r="H623">
        <v>0</v>
      </c>
      <c r="I623">
        <v>6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 s="1">
        <v>3</v>
      </c>
      <c r="AJ623" s="1" t="s">
        <v>232</v>
      </c>
      <c r="AK623" s="1" t="s">
        <v>231</v>
      </c>
      <c r="AL623" t="s">
        <v>5</v>
      </c>
      <c r="AM623" t="s">
        <v>0</v>
      </c>
      <c r="AN623">
        <v>0</v>
      </c>
      <c r="AO623">
        <v>0</v>
      </c>
      <c r="AP623">
        <v>0</v>
      </c>
      <c r="AQ623">
        <v>558</v>
      </c>
      <c r="AR623">
        <v>186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f>(I623+J623+N623+O623)/4</f>
        <v>2</v>
      </c>
      <c r="BR623">
        <f>(K623+L623+M623)/3</f>
        <v>0</v>
      </c>
      <c r="BS623">
        <v>0</v>
      </c>
      <c r="BT623">
        <f>AQ623/I623</f>
        <v>93</v>
      </c>
      <c r="BU623" t="str">
        <f>IF(OR(A623=2, A623=12), "Central", IF(A623=3, "Semi-Central", "Periférica"))</f>
        <v>Semi-Central</v>
      </c>
    </row>
    <row r="624" spans="1:73" x14ac:dyDescent="0.3">
      <c r="A624" s="1">
        <v>3</v>
      </c>
      <c r="B624" s="1" t="s">
        <v>232</v>
      </c>
      <c r="C624" s="1" t="s">
        <v>231</v>
      </c>
      <c r="D624" t="s">
        <v>1</v>
      </c>
      <c r="E624" t="s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 s="1">
        <v>3</v>
      </c>
      <c r="AJ624" s="1" t="s">
        <v>232</v>
      </c>
      <c r="AK624" s="1" t="s">
        <v>231</v>
      </c>
      <c r="AL624" t="s">
        <v>1</v>
      </c>
      <c r="AM624" t="s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f>(I624+J624+N624+O624)/4</f>
        <v>0</v>
      </c>
      <c r="BR624">
        <f>(K624+L624+M624)/3</f>
        <v>0</v>
      </c>
      <c r="BS624">
        <v>0</v>
      </c>
      <c r="BT624">
        <v>0</v>
      </c>
      <c r="BU624" t="str">
        <f>IF(OR(A624=2, A624=12), "Central", IF(A624=3, "Semi-Central", "Periférica"))</f>
        <v>Semi-Central</v>
      </c>
    </row>
    <row r="625" spans="1:73" x14ac:dyDescent="0.3">
      <c r="A625" s="1">
        <v>3</v>
      </c>
      <c r="B625" s="1" t="s">
        <v>230</v>
      </c>
      <c r="C625" s="1" t="s">
        <v>229</v>
      </c>
      <c r="D625" t="s">
        <v>5</v>
      </c>
      <c r="E625" t="s">
        <v>0</v>
      </c>
      <c r="F625">
        <v>0</v>
      </c>
      <c r="G625">
        <v>0</v>
      </c>
      <c r="H625">
        <v>0</v>
      </c>
      <c r="I625">
        <v>8</v>
      </c>
      <c r="J625">
        <v>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s="1">
        <v>3</v>
      </c>
      <c r="AJ625" s="1" t="s">
        <v>230</v>
      </c>
      <c r="AK625" s="1" t="s">
        <v>229</v>
      </c>
      <c r="AL625" t="s">
        <v>5</v>
      </c>
      <c r="AM625" t="s">
        <v>0</v>
      </c>
      <c r="AN625">
        <v>0</v>
      </c>
      <c r="AO625">
        <v>0</v>
      </c>
      <c r="AP625">
        <v>0</v>
      </c>
      <c r="AQ625">
        <v>744</v>
      </c>
      <c r="AR625">
        <v>186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f>(I625+J625+N625+O625)/4</f>
        <v>2.5</v>
      </c>
      <c r="BR625">
        <f>(K625+L625+M625)/3</f>
        <v>0</v>
      </c>
      <c r="BS625">
        <v>0</v>
      </c>
      <c r="BT625">
        <f>AQ625/I625</f>
        <v>93</v>
      </c>
      <c r="BU625" t="str">
        <f>IF(OR(A625=2, A625=12), "Central", IF(A625=3, "Semi-Central", "Periférica"))</f>
        <v>Semi-Central</v>
      </c>
    </row>
    <row r="626" spans="1:73" x14ac:dyDescent="0.3">
      <c r="A626" s="1">
        <v>3</v>
      </c>
      <c r="B626" s="1" t="s">
        <v>230</v>
      </c>
      <c r="C626" s="1" t="s">
        <v>229</v>
      </c>
      <c r="D626" t="s">
        <v>1</v>
      </c>
      <c r="E626" t="s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 s="1">
        <v>3</v>
      </c>
      <c r="AJ626" s="1" t="s">
        <v>230</v>
      </c>
      <c r="AK626" s="1" t="s">
        <v>229</v>
      </c>
      <c r="AL626" t="s">
        <v>1</v>
      </c>
      <c r="AM626" t="s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f>(I626+J626+N626+O626)/4</f>
        <v>0</v>
      </c>
      <c r="BR626">
        <f>(K626+L626+M626)/3</f>
        <v>0</v>
      </c>
      <c r="BS626">
        <v>0</v>
      </c>
      <c r="BT626">
        <v>0</v>
      </c>
      <c r="BU626" t="str">
        <f>IF(OR(A626=2, A626=12), "Central", IF(A626=3, "Semi-Central", "Periférica"))</f>
        <v>Semi-Central</v>
      </c>
    </row>
    <row r="627" spans="1:73" x14ac:dyDescent="0.3">
      <c r="A627" s="1">
        <v>3</v>
      </c>
      <c r="B627" s="1" t="s">
        <v>228</v>
      </c>
      <c r="C627" s="1" t="s">
        <v>227</v>
      </c>
      <c r="D627" t="s">
        <v>5</v>
      </c>
      <c r="E627" t="s">
        <v>0</v>
      </c>
      <c r="F627">
        <v>2</v>
      </c>
      <c r="G627">
        <v>2.2222222222222223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</v>
      </c>
      <c r="S627">
        <v>2.2222222222222223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2</v>
      </c>
      <c r="AB627">
        <v>2.2222222222222223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 s="1">
        <v>3</v>
      </c>
      <c r="AJ627" s="1" t="s">
        <v>228</v>
      </c>
      <c r="AK627" s="1" t="s">
        <v>227</v>
      </c>
      <c r="AL627" t="s">
        <v>5</v>
      </c>
      <c r="AM627" t="s">
        <v>0</v>
      </c>
      <c r="AN627">
        <v>196</v>
      </c>
      <c r="AO627">
        <v>102.22222222222223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196</v>
      </c>
      <c r="BA627">
        <v>102.22222222222223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196</v>
      </c>
      <c r="BJ627">
        <v>102.22222222222223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f>(I627+J627+N627+O627)/4</f>
        <v>0</v>
      </c>
      <c r="BR627">
        <f>(K627+L627+M627)/3</f>
        <v>0</v>
      </c>
      <c r="BS627">
        <v>0</v>
      </c>
      <c r="BT627">
        <v>0</v>
      </c>
      <c r="BU627" t="str">
        <f>IF(OR(A627=2, A627=12), "Central", IF(A627=3, "Semi-Central", "Periférica"))</f>
        <v>Semi-Central</v>
      </c>
    </row>
    <row r="628" spans="1:73" x14ac:dyDescent="0.3">
      <c r="A628" s="1">
        <v>3</v>
      </c>
      <c r="B628" s="1" t="s">
        <v>228</v>
      </c>
      <c r="C628" s="1" t="s">
        <v>227</v>
      </c>
      <c r="D628" t="s">
        <v>1</v>
      </c>
      <c r="E628" t="s">
        <v>0</v>
      </c>
      <c r="F628">
        <v>2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</v>
      </c>
      <c r="S628">
        <v>2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2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s="1">
        <v>3</v>
      </c>
      <c r="AJ628" s="1" t="s">
        <v>228</v>
      </c>
      <c r="AK628" s="1" t="s">
        <v>227</v>
      </c>
      <c r="AL628" t="s">
        <v>1</v>
      </c>
      <c r="AM628" t="s">
        <v>0</v>
      </c>
      <c r="AN628">
        <v>196</v>
      </c>
      <c r="AO628">
        <v>92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196</v>
      </c>
      <c r="BA628">
        <v>92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294</v>
      </c>
      <c r="BJ628">
        <v>92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f>(I628+J628+N628+O628)/4</f>
        <v>0</v>
      </c>
      <c r="BR628">
        <f>(K628+L628+M628)/3</f>
        <v>0</v>
      </c>
      <c r="BS628">
        <v>0</v>
      </c>
      <c r="BT628">
        <v>0</v>
      </c>
      <c r="BU628" t="str">
        <f>IF(OR(A628=2, A628=12), "Central", IF(A628=3, "Semi-Central", "Periférica"))</f>
        <v>Semi-Central</v>
      </c>
    </row>
    <row r="629" spans="1:73" x14ac:dyDescent="0.3">
      <c r="A629" s="1">
        <v>3</v>
      </c>
      <c r="B629" s="1" t="s">
        <v>226</v>
      </c>
      <c r="C629" s="1" t="s">
        <v>225</v>
      </c>
      <c r="D629" t="s">
        <v>5</v>
      </c>
      <c r="E629" t="s">
        <v>0</v>
      </c>
      <c r="F629">
        <v>0</v>
      </c>
      <c r="G629">
        <v>0</v>
      </c>
      <c r="H629">
        <v>0</v>
      </c>
      <c r="I629">
        <v>4</v>
      </c>
      <c r="J629">
        <v>3.3333333333333335</v>
      </c>
      <c r="K629">
        <v>0</v>
      </c>
      <c r="L629">
        <v>0</v>
      </c>
      <c r="M629">
        <v>0</v>
      </c>
      <c r="N629">
        <v>2.5</v>
      </c>
      <c r="O629">
        <v>4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s="1">
        <v>3</v>
      </c>
      <c r="AJ629" s="1" t="s">
        <v>226</v>
      </c>
      <c r="AK629" s="1" t="s">
        <v>225</v>
      </c>
      <c r="AL629" t="s">
        <v>5</v>
      </c>
      <c r="AM629" t="s">
        <v>0</v>
      </c>
      <c r="AN629">
        <v>0</v>
      </c>
      <c r="AO629">
        <v>0</v>
      </c>
      <c r="AP629">
        <v>0</v>
      </c>
      <c r="AQ629">
        <v>360</v>
      </c>
      <c r="AR629">
        <v>300</v>
      </c>
      <c r="AS629">
        <v>0</v>
      </c>
      <c r="AT629">
        <v>0</v>
      </c>
      <c r="AU629">
        <v>0</v>
      </c>
      <c r="AV629">
        <v>225</v>
      </c>
      <c r="AW629">
        <v>360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f>(I629+J629+N629+O629)/4</f>
        <v>3.4583333333333335</v>
      </c>
      <c r="BR629">
        <f>(K629+L629+M629)/3</f>
        <v>0</v>
      </c>
      <c r="BS629">
        <v>0</v>
      </c>
      <c r="BT629">
        <f>AQ629/I629</f>
        <v>90</v>
      </c>
      <c r="BU629" t="str">
        <f>IF(OR(A629=2, A629=12), "Central", IF(A629=3, "Semi-Central", "Periférica"))</f>
        <v>Semi-Central</v>
      </c>
    </row>
    <row r="630" spans="1:73" x14ac:dyDescent="0.3">
      <c r="A630" s="1">
        <v>3</v>
      </c>
      <c r="B630" s="1" t="s">
        <v>226</v>
      </c>
      <c r="C630" s="1" t="s">
        <v>225</v>
      </c>
      <c r="D630" t="s">
        <v>1</v>
      </c>
      <c r="E630" t="s">
        <v>0</v>
      </c>
      <c r="F630">
        <v>0</v>
      </c>
      <c r="G630">
        <v>0</v>
      </c>
      <c r="H630">
        <v>0</v>
      </c>
      <c r="I630">
        <v>2.6666666666666665</v>
      </c>
      <c r="J630">
        <v>2.6666666666666665</v>
      </c>
      <c r="K630">
        <v>0</v>
      </c>
      <c r="L630">
        <v>0</v>
      </c>
      <c r="M630">
        <v>0</v>
      </c>
      <c r="N630">
        <v>2.5</v>
      </c>
      <c r="O630">
        <v>4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 s="1">
        <v>3</v>
      </c>
      <c r="AJ630" s="1" t="s">
        <v>226</v>
      </c>
      <c r="AK630" s="1" t="s">
        <v>225</v>
      </c>
      <c r="AL630" t="s">
        <v>1</v>
      </c>
      <c r="AM630" t="s">
        <v>0</v>
      </c>
      <c r="AN630">
        <v>0</v>
      </c>
      <c r="AO630">
        <v>0</v>
      </c>
      <c r="AP630">
        <v>0</v>
      </c>
      <c r="AQ630">
        <v>240</v>
      </c>
      <c r="AR630">
        <v>240</v>
      </c>
      <c r="AS630">
        <v>0</v>
      </c>
      <c r="AT630">
        <v>0</v>
      </c>
      <c r="AU630">
        <v>0</v>
      </c>
      <c r="AV630">
        <v>225</v>
      </c>
      <c r="AW630">
        <v>360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f>(I630+J630+N630+O630)/4</f>
        <v>2.958333333333333</v>
      </c>
      <c r="BR630">
        <f>(K630+L630+M630)/3</f>
        <v>0</v>
      </c>
      <c r="BS630">
        <v>0</v>
      </c>
      <c r="BT630">
        <f>AQ630/I630</f>
        <v>90</v>
      </c>
      <c r="BU630" t="str">
        <f>IF(OR(A630=2, A630=12), "Central", IF(A630=3, "Semi-Central", "Periférica"))</f>
        <v>Semi-Central</v>
      </c>
    </row>
    <row r="631" spans="1:73" x14ac:dyDescent="0.3">
      <c r="A631" s="1">
        <v>3</v>
      </c>
      <c r="B631" s="1" t="s">
        <v>224</v>
      </c>
      <c r="C631" s="1" t="s">
        <v>223</v>
      </c>
      <c r="D631" t="s">
        <v>5</v>
      </c>
      <c r="E631" t="s">
        <v>0</v>
      </c>
      <c r="F631">
        <v>0</v>
      </c>
      <c r="G631">
        <v>0</v>
      </c>
      <c r="H631">
        <v>3</v>
      </c>
      <c r="I631">
        <v>8.6666666666666661</v>
      </c>
      <c r="J631">
        <v>2.6666666666666665</v>
      </c>
      <c r="K631">
        <v>0</v>
      </c>
      <c r="L631">
        <v>0</v>
      </c>
      <c r="M631">
        <v>0</v>
      </c>
      <c r="N631">
        <v>3</v>
      </c>
      <c r="O631">
        <v>3.5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 s="1">
        <v>3</v>
      </c>
      <c r="AJ631" s="1" t="s">
        <v>224</v>
      </c>
      <c r="AK631" s="1" t="s">
        <v>223</v>
      </c>
      <c r="AL631" t="s">
        <v>5</v>
      </c>
      <c r="AM631" t="s">
        <v>0</v>
      </c>
      <c r="AN631">
        <v>0</v>
      </c>
      <c r="AO631">
        <v>0</v>
      </c>
      <c r="AP631">
        <v>270</v>
      </c>
      <c r="AQ631">
        <v>780</v>
      </c>
      <c r="AR631">
        <v>240</v>
      </c>
      <c r="AS631">
        <v>0</v>
      </c>
      <c r="AT631">
        <v>0</v>
      </c>
      <c r="AU631">
        <v>0</v>
      </c>
      <c r="AV631">
        <v>270</v>
      </c>
      <c r="AW631">
        <v>315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f>(I631+J631+N631+O631)/4</f>
        <v>4.458333333333333</v>
      </c>
      <c r="BR631">
        <f>(K631+L631+M631)/3</f>
        <v>0</v>
      </c>
      <c r="BS631">
        <v>0</v>
      </c>
      <c r="BT631">
        <f>AQ631/I631</f>
        <v>90</v>
      </c>
      <c r="BU631" t="str">
        <f>IF(OR(A631=2, A631=12), "Central", IF(A631=3, "Semi-Central", "Periférica"))</f>
        <v>Semi-Central</v>
      </c>
    </row>
    <row r="632" spans="1:73" x14ac:dyDescent="0.3">
      <c r="A632" s="1">
        <v>3</v>
      </c>
      <c r="B632" s="1" t="s">
        <v>224</v>
      </c>
      <c r="C632" s="1" t="s">
        <v>223</v>
      </c>
      <c r="D632" t="s">
        <v>1</v>
      </c>
      <c r="E632" t="s">
        <v>0</v>
      </c>
      <c r="F632">
        <v>0</v>
      </c>
      <c r="G632">
        <v>0</v>
      </c>
      <c r="H632">
        <v>0</v>
      </c>
      <c r="I632">
        <v>5.333333333333333</v>
      </c>
      <c r="J632">
        <v>1.3333333333333333</v>
      </c>
      <c r="K632">
        <v>0</v>
      </c>
      <c r="L632">
        <v>0</v>
      </c>
      <c r="M632">
        <v>0</v>
      </c>
      <c r="N632">
        <v>4</v>
      </c>
      <c r="O632">
        <v>6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s="1">
        <v>3</v>
      </c>
      <c r="AJ632" s="1" t="s">
        <v>224</v>
      </c>
      <c r="AK632" s="1" t="s">
        <v>223</v>
      </c>
      <c r="AL632" t="s">
        <v>1</v>
      </c>
      <c r="AM632" t="s">
        <v>0</v>
      </c>
      <c r="AN632">
        <v>0</v>
      </c>
      <c r="AO632">
        <v>0</v>
      </c>
      <c r="AP632">
        <v>0</v>
      </c>
      <c r="AQ632">
        <v>480</v>
      </c>
      <c r="AR632">
        <v>120</v>
      </c>
      <c r="AS632">
        <v>0</v>
      </c>
      <c r="AT632">
        <v>0</v>
      </c>
      <c r="AU632">
        <v>0</v>
      </c>
      <c r="AV632">
        <v>360</v>
      </c>
      <c r="AW632">
        <v>540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f>(I632+J632+N632+O632)/4</f>
        <v>4.1666666666666661</v>
      </c>
      <c r="BR632">
        <f>(K632+L632+M632)/3</f>
        <v>0</v>
      </c>
      <c r="BS632">
        <v>0</v>
      </c>
      <c r="BT632">
        <f>AQ632/I632</f>
        <v>90</v>
      </c>
      <c r="BU632" t="str">
        <f>IF(OR(A632=2, A632=12), "Central", IF(A632=3, "Semi-Central", "Periférica"))</f>
        <v>Semi-Central</v>
      </c>
    </row>
    <row r="633" spans="1:73" x14ac:dyDescent="0.3">
      <c r="A633" s="1">
        <v>3</v>
      </c>
      <c r="B633" s="1" t="s">
        <v>222</v>
      </c>
      <c r="C633" s="1" t="s">
        <v>221</v>
      </c>
      <c r="D633" t="s">
        <v>5</v>
      </c>
      <c r="E633" t="s">
        <v>0</v>
      </c>
      <c r="F633">
        <v>2</v>
      </c>
      <c r="G633">
        <v>2.4444444444444446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</v>
      </c>
      <c r="S633">
        <v>2.4444444444444446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2</v>
      </c>
      <c r="AB633">
        <v>2.4444444444444446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s="1">
        <v>3</v>
      </c>
      <c r="AJ633" s="1" t="s">
        <v>222</v>
      </c>
      <c r="AK633" s="1" t="s">
        <v>221</v>
      </c>
      <c r="AL633" t="s">
        <v>5</v>
      </c>
      <c r="AM633" t="s">
        <v>0</v>
      </c>
      <c r="AN633">
        <v>92</v>
      </c>
      <c r="AO633">
        <v>112.44444444444444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92</v>
      </c>
      <c r="BA633">
        <v>112.44444444444444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92</v>
      </c>
      <c r="BJ633">
        <v>112.44444444444444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f>(I633+J633+N633+O633)/4</f>
        <v>0</v>
      </c>
      <c r="BR633">
        <f>(K633+L633+M633)/3</f>
        <v>0</v>
      </c>
      <c r="BS633">
        <v>0</v>
      </c>
      <c r="BT633">
        <v>0</v>
      </c>
      <c r="BU633" t="str">
        <f>IF(OR(A633=2, A633=12), "Central", IF(A633=3, "Semi-Central", "Periférica"))</f>
        <v>Semi-Central</v>
      </c>
    </row>
    <row r="634" spans="1:73" x14ac:dyDescent="0.3">
      <c r="A634" s="1">
        <v>3</v>
      </c>
      <c r="B634" s="1" t="s">
        <v>222</v>
      </c>
      <c r="C634" s="1" t="s">
        <v>221</v>
      </c>
      <c r="D634" t="s">
        <v>1</v>
      </c>
      <c r="E634" t="s">
        <v>0</v>
      </c>
      <c r="F634">
        <v>2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</v>
      </c>
      <c r="S634">
        <v>2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2</v>
      </c>
      <c r="AB634">
        <v>2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 s="1">
        <v>3</v>
      </c>
      <c r="AJ634" s="1" t="s">
        <v>222</v>
      </c>
      <c r="AK634" s="1" t="s">
        <v>221</v>
      </c>
      <c r="AL634" t="s">
        <v>1</v>
      </c>
      <c r="AM634" t="s">
        <v>0</v>
      </c>
      <c r="AN634">
        <v>92</v>
      </c>
      <c r="AO634">
        <v>92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92</v>
      </c>
      <c r="BA634">
        <v>92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92</v>
      </c>
      <c r="BJ634">
        <v>92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f>(I634+J634+N634+O634)/4</f>
        <v>0</v>
      </c>
      <c r="BR634">
        <f>(K634+L634+M634)/3</f>
        <v>0</v>
      </c>
      <c r="BS634">
        <v>0</v>
      </c>
      <c r="BT634">
        <v>0</v>
      </c>
      <c r="BU634" t="str">
        <f>IF(OR(A634=2, A634=12), "Central", IF(A634=3, "Semi-Central", "Periférica"))</f>
        <v>Semi-Central</v>
      </c>
    </row>
    <row r="635" spans="1:73" x14ac:dyDescent="0.3">
      <c r="A635" s="1">
        <v>3</v>
      </c>
      <c r="B635" s="1" t="s">
        <v>220</v>
      </c>
      <c r="C635" s="1" t="s">
        <v>219</v>
      </c>
      <c r="D635" t="s">
        <v>5</v>
      </c>
      <c r="F635">
        <v>0</v>
      </c>
      <c r="G635">
        <v>0.22222222222222221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s="1">
        <v>3</v>
      </c>
      <c r="AJ635" s="1" t="s">
        <v>220</v>
      </c>
      <c r="AK635" s="1" t="s">
        <v>219</v>
      </c>
      <c r="AL635" t="s">
        <v>5</v>
      </c>
      <c r="AN635">
        <v>0</v>
      </c>
      <c r="AO635">
        <v>10.222222222222221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f>(I635+J635+N635+O635)/4</f>
        <v>0</v>
      </c>
      <c r="BR635">
        <f>(K635+L635+M635)/3</f>
        <v>0</v>
      </c>
      <c r="BS635">
        <v>0</v>
      </c>
      <c r="BT635">
        <v>0</v>
      </c>
      <c r="BU635" t="str">
        <f>IF(OR(A635=2, A635=12), "Central", IF(A635=3, "Semi-Central", "Periférica"))</f>
        <v>Semi-Central</v>
      </c>
    </row>
    <row r="636" spans="1:73" x14ac:dyDescent="0.3">
      <c r="A636" s="1">
        <v>3</v>
      </c>
      <c r="B636" s="1" t="s">
        <v>220</v>
      </c>
      <c r="C636" s="1" t="s">
        <v>219</v>
      </c>
      <c r="D636" t="s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s="1">
        <v>3</v>
      </c>
      <c r="AJ636" s="1" t="s">
        <v>220</v>
      </c>
      <c r="AK636" s="1" t="s">
        <v>219</v>
      </c>
      <c r="AL636" t="s">
        <v>1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f>(I636+J636+N636+O636)/4</f>
        <v>0</v>
      </c>
      <c r="BR636">
        <f>(K636+L636+M636)/3</f>
        <v>0</v>
      </c>
      <c r="BS636">
        <v>0</v>
      </c>
      <c r="BT636">
        <v>0</v>
      </c>
      <c r="BU636" t="str">
        <f>IF(OR(A636=2, A636=12), "Central", IF(A636=3, "Semi-Central", "Periférica"))</f>
        <v>Semi-Central</v>
      </c>
    </row>
    <row r="637" spans="1:73" x14ac:dyDescent="0.3">
      <c r="A637" s="1">
        <v>3</v>
      </c>
      <c r="B637" s="1" t="s">
        <v>218</v>
      </c>
      <c r="C637" s="1" t="s">
        <v>217</v>
      </c>
      <c r="D637" t="s">
        <v>5</v>
      </c>
      <c r="E637" t="s">
        <v>0</v>
      </c>
      <c r="F637">
        <v>2</v>
      </c>
      <c r="G637">
        <v>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</v>
      </c>
      <c r="S637">
        <v>2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2</v>
      </c>
      <c r="AB637">
        <v>2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s="1">
        <v>3</v>
      </c>
      <c r="AJ637" s="1" t="s">
        <v>218</v>
      </c>
      <c r="AK637" s="1" t="s">
        <v>217</v>
      </c>
      <c r="AL637" t="s">
        <v>5</v>
      </c>
      <c r="AM637" t="s">
        <v>0</v>
      </c>
      <c r="AN637">
        <v>92</v>
      </c>
      <c r="AO637">
        <v>92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92</v>
      </c>
      <c r="BA637">
        <v>92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92</v>
      </c>
      <c r="BJ637">
        <v>92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f>(I637+J637+N637+O637)/4</f>
        <v>0</v>
      </c>
      <c r="BR637">
        <f>(K637+L637+M637)/3</f>
        <v>0</v>
      </c>
      <c r="BS637">
        <v>0</v>
      </c>
      <c r="BT637">
        <v>0</v>
      </c>
      <c r="BU637" t="str">
        <f>IF(OR(A637=2, A637=12), "Central", IF(A637=3, "Semi-Central", "Periférica"))</f>
        <v>Semi-Central</v>
      </c>
    </row>
    <row r="638" spans="1:73" x14ac:dyDescent="0.3">
      <c r="A638" s="1">
        <v>3</v>
      </c>
      <c r="B638" s="1" t="s">
        <v>218</v>
      </c>
      <c r="C638" s="1" t="s">
        <v>217</v>
      </c>
      <c r="D638" t="s">
        <v>1</v>
      </c>
      <c r="E638" t="s">
        <v>0</v>
      </c>
      <c r="F638">
        <v>2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</v>
      </c>
      <c r="S638">
        <v>2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2</v>
      </c>
      <c r="AB638">
        <v>2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s="1">
        <v>3</v>
      </c>
      <c r="AJ638" s="1" t="s">
        <v>218</v>
      </c>
      <c r="AK638" s="1" t="s">
        <v>217</v>
      </c>
      <c r="AL638" t="s">
        <v>1</v>
      </c>
      <c r="AM638" t="s">
        <v>0</v>
      </c>
      <c r="AN638">
        <v>92</v>
      </c>
      <c r="AO638">
        <v>92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92</v>
      </c>
      <c r="BA638">
        <v>92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92</v>
      </c>
      <c r="BJ638">
        <v>92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f>(I638+J638+N638+O638)/4</f>
        <v>0</v>
      </c>
      <c r="BR638">
        <f>(K638+L638+M638)/3</f>
        <v>0</v>
      </c>
      <c r="BS638">
        <v>0</v>
      </c>
      <c r="BT638">
        <v>0</v>
      </c>
      <c r="BU638" t="str">
        <f>IF(OR(A638=2, A638=12), "Central", IF(A638=3, "Semi-Central", "Periférica"))</f>
        <v>Semi-Central</v>
      </c>
    </row>
    <row r="639" spans="1:73" x14ac:dyDescent="0.3">
      <c r="A639" s="1">
        <v>3</v>
      </c>
      <c r="B639" s="1" t="s">
        <v>216</v>
      </c>
      <c r="C639" s="1" t="s">
        <v>215</v>
      </c>
      <c r="D639" t="s">
        <v>5</v>
      </c>
      <c r="E639" t="s">
        <v>0</v>
      </c>
      <c r="F639">
        <v>2</v>
      </c>
      <c r="G639">
        <v>1.7777777777777777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</v>
      </c>
      <c r="S639">
        <v>2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2</v>
      </c>
      <c r="AB639">
        <v>2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s="1">
        <v>3</v>
      </c>
      <c r="AJ639" s="1" t="s">
        <v>216</v>
      </c>
      <c r="AK639" s="1" t="s">
        <v>215</v>
      </c>
      <c r="AL639" t="s">
        <v>5</v>
      </c>
      <c r="AM639" t="s">
        <v>0</v>
      </c>
      <c r="AN639">
        <v>196</v>
      </c>
      <c r="AO639">
        <v>174.22222222222223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196</v>
      </c>
      <c r="BA639">
        <v>196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196</v>
      </c>
      <c r="BJ639">
        <v>196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f>(I639+J639+N639+O639)/4</f>
        <v>0</v>
      </c>
      <c r="BR639">
        <f>(K639+L639+M639)/3</f>
        <v>0</v>
      </c>
      <c r="BS639">
        <v>0</v>
      </c>
      <c r="BT639">
        <v>0</v>
      </c>
      <c r="BU639" t="str">
        <f>IF(OR(A639=2, A639=12), "Central", IF(A639=3, "Semi-Central", "Periférica"))</f>
        <v>Semi-Central</v>
      </c>
    </row>
    <row r="640" spans="1:73" x14ac:dyDescent="0.3">
      <c r="A640" s="1">
        <v>3</v>
      </c>
      <c r="B640" s="1" t="s">
        <v>216</v>
      </c>
      <c r="C640" s="1" t="s">
        <v>215</v>
      </c>
      <c r="D640" t="s">
        <v>1</v>
      </c>
      <c r="E640" t="s">
        <v>0</v>
      </c>
      <c r="F640">
        <v>2</v>
      </c>
      <c r="G640">
        <v>1.7777777777777777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</v>
      </c>
      <c r="S640">
        <v>2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2</v>
      </c>
      <c r="AB640">
        <v>2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s="1">
        <v>3</v>
      </c>
      <c r="AJ640" s="1" t="s">
        <v>216</v>
      </c>
      <c r="AK640" s="1" t="s">
        <v>215</v>
      </c>
      <c r="AL640" t="s">
        <v>1</v>
      </c>
      <c r="AM640" t="s">
        <v>0</v>
      </c>
      <c r="AN640">
        <v>196</v>
      </c>
      <c r="AO640">
        <v>174.22222222222223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196</v>
      </c>
      <c r="BA640">
        <v>196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196</v>
      </c>
      <c r="BJ640">
        <v>196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f>(I640+J640+N640+O640)/4</f>
        <v>0</v>
      </c>
      <c r="BR640">
        <f>(K640+L640+M640)/3</f>
        <v>0</v>
      </c>
      <c r="BS640">
        <v>0</v>
      </c>
      <c r="BT640">
        <v>0</v>
      </c>
      <c r="BU640" t="str">
        <f>IF(OR(A640=2, A640=12), "Central", IF(A640=3, "Semi-Central", "Periférica"))</f>
        <v>Semi-Central</v>
      </c>
    </row>
    <row r="641" spans="1:73" x14ac:dyDescent="0.3">
      <c r="A641" s="1">
        <v>3</v>
      </c>
      <c r="B641" s="1" t="s">
        <v>214</v>
      </c>
      <c r="C641" s="1" t="s">
        <v>213</v>
      </c>
      <c r="D641" t="s">
        <v>5</v>
      </c>
      <c r="F641">
        <v>0</v>
      </c>
      <c r="G641">
        <v>0</v>
      </c>
      <c r="H641">
        <v>5</v>
      </c>
      <c r="I641">
        <v>7.333333333333333</v>
      </c>
      <c r="J641">
        <v>5.333333333333333</v>
      </c>
      <c r="K641">
        <v>0</v>
      </c>
      <c r="L641">
        <v>0</v>
      </c>
      <c r="M641">
        <v>0</v>
      </c>
      <c r="N641">
        <v>6</v>
      </c>
      <c r="O641">
        <v>7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s="1">
        <v>3</v>
      </c>
      <c r="AJ641" s="1" t="s">
        <v>214</v>
      </c>
      <c r="AK641" s="1" t="s">
        <v>213</v>
      </c>
      <c r="AL641" t="s">
        <v>5</v>
      </c>
      <c r="AN641">
        <v>0</v>
      </c>
      <c r="AO641">
        <v>0</v>
      </c>
      <c r="AP641">
        <v>450</v>
      </c>
      <c r="AQ641">
        <v>662</v>
      </c>
      <c r="AR641">
        <v>482.66666666666669</v>
      </c>
      <c r="AS641">
        <v>0</v>
      </c>
      <c r="AT641">
        <v>0</v>
      </c>
      <c r="AU641">
        <v>0</v>
      </c>
      <c r="AV641">
        <v>540.5</v>
      </c>
      <c r="AW641">
        <v>631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f>(I641+J641+N641+O641)/4</f>
        <v>6.4166666666666661</v>
      </c>
      <c r="BR641">
        <f>(K641+L641+M641)/3</f>
        <v>0</v>
      </c>
      <c r="BS641">
        <v>0</v>
      </c>
      <c r="BT641">
        <f>AQ641/I641</f>
        <v>90.27272727272728</v>
      </c>
      <c r="BU641" t="str">
        <f>IF(OR(A641=2, A641=12), "Central", IF(A641=3, "Semi-Central", "Periférica"))</f>
        <v>Semi-Central</v>
      </c>
    </row>
    <row r="642" spans="1:73" x14ac:dyDescent="0.3">
      <c r="A642" s="1">
        <v>3</v>
      </c>
      <c r="B642" s="1" t="s">
        <v>214</v>
      </c>
      <c r="C642" s="1" t="s">
        <v>213</v>
      </c>
      <c r="D642" t="s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s="1">
        <v>3</v>
      </c>
      <c r="AJ642" s="1" t="s">
        <v>214</v>
      </c>
      <c r="AK642" s="1" t="s">
        <v>213</v>
      </c>
      <c r="AL642" t="s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f>(I642+J642+N642+O642)/4</f>
        <v>0</v>
      </c>
      <c r="BR642">
        <f>(K642+L642+M642)/3</f>
        <v>0</v>
      </c>
      <c r="BS642">
        <v>0</v>
      </c>
      <c r="BT642">
        <v>0</v>
      </c>
      <c r="BU642" t="str">
        <f>IF(OR(A642=2, A642=12), "Central", IF(A642=3, "Semi-Central", "Periférica"))</f>
        <v>Semi-Central</v>
      </c>
    </row>
    <row r="643" spans="1:73" x14ac:dyDescent="0.3">
      <c r="A643" s="1">
        <v>4</v>
      </c>
      <c r="B643" s="1" t="s">
        <v>212</v>
      </c>
      <c r="C643" s="1" t="s">
        <v>211</v>
      </c>
      <c r="D643" t="s">
        <v>5</v>
      </c>
      <c r="E643" t="s">
        <v>0</v>
      </c>
      <c r="F643">
        <v>0</v>
      </c>
      <c r="G643">
        <v>0</v>
      </c>
      <c r="H643">
        <v>5</v>
      </c>
      <c r="I643">
        <v>6</v>
      </c>
      <c r="J643">
        <v>1.3333333333333333</v>
      </c>
      <c r="K643">
        <v>0</v>
      </c>
      <c r="L643">
        <v>0</v>
      </c>
      <c r="M643">
        <v>0</v>
      </c>
      <c r="N643">
        <v>5</v>
      </c>
      <c r="O643">
        <v>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s="1">
        <v>4</v>
      </c>
      <c r="AJ643" s="1" t="s">
        <v>212</v>
      </c>
      <c r="AK643" s="1" t="s">
        <v>211</v>
      </c>
      <c r="AL643" t="s">
        <v>5</v>
      </c>
      <c r="AM643" t="s">
        <v>0</v>
      </c>
      <c r="AN643">
        <v>0</v>
      </c>
      <c r="AO643">
        <v>0</v>
      </c>
      <c r="AP643">
        <v>455</v>
      </c>
      <c r="AQ643">
        <v>546</v>
      </c>
      <c r="AR643">
        <v>121.33333333333333</v>
      </c>
      <c r="AS643">
        <v>0</v>
      </c>
      <c r="AT643">
        <v>0</v>
      </c>
      <c r="AU643">
        <v>0</v>
      </c>
      <c r="AV643">
        <v>455</v>
      </c>
      <c r="AW643">
        <v>455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f>(I643+J643+N643+O643)/4</f>
        <v>4.333333333333333</v>
      </c>
      <c r="BR643">
        <f>(K643+L643+M643)/3</f>
        <v>0</v>
      </c>
      <c r="BS643">
        <v>0</v>
      </c>
      <c r="BT643">
        <f>AQ643/I643</f>
        <v>91</v>
      </c>
      <c r="BU643" t="str">
        <f>IF(OR(A643=2, A643=12), "Central", IF(A643=3, "Semi-Central", "Periférica"))</f>
        <v>Periférica</v>
      </c>
    </row>
    <row r="644" spans="1:73" x14ac:dyDescent="0.3">
      <c r="A644" s="1">
        <v>4</v>
      </c>
      <c r="B644" s="1" t="s">
        <v>212</v>
      </c>
      <c r="C644" s="1" t="s">
        <v>211</v>
      </c>
      <c r="D644" t="s">
        <v>1</v>
      </c>
      <c r="E644" t="s">
        <v>0</v>
      </c>
      <c r="F644">
        <v>0</v>
      </c>
      <c r="G644">
        <v>0</v>
      </c>
      <c r="H644">
        <v>5</v>
      </c>
      <c r="I644">
        <v>6</v>
      </c>
      <c r="J644">
        <v>1.3333333333333333</v>
      </c>
      <c r="K644">
        <v>0</v>
      </c>
      <c r="L644">
        <v>0</v>
      </c>
      <c r="M644">
        <v>0</v>
      </c>
      <c r="N644">
        <v>5</v>
      </c>
      <c r="O644">
        <v>5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s="1">
        <v>4</v>
      </c>
      <c r="AJ644" s="1" t="s">
        <v>212</v>
      </c>
      <c r="AK644" s="1" t="s">
        <v>211</v>
      </c>
      <c r="AL644" t="s">
        <v>1</v>
      </c>
      <c r="AM644" t="s">
        <v>0</v>
      </c>
      <c r="AN644">
        <v>0</v>
      </c>
      <c r="AO644">
        <v>0</v>
      </c>
      <c r="AP644">
        <v>455</v>
      </c>
      <c r="AQ644">
        <v>546</v>
      </c>
      <c r="AR644">
        <v>121.33333333333333</v>
      </c>
      <c r="AS644">
        <v>0</v>
      </c>
      <c r="AT644">
        <v>0</v>
      </c>
      <c r="AU644">
        <v>0</v>
      </c>
      <c r="AV644">
        <v>455</v>
      </c>
      <c r="AW644">
        <v>455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f>(I644+J644+N644+O644)/4</f>
        <v>4.333333333333333</v>
      </c>
      <c r="BR644">
        <f>(K644+L644+M644)/3</f>
        <v>0</v>
      </c>
      <c r="BS644">
        <v>0</v>
      </c>
      <c r="BT644">
        <f>AQ644/I644</f>
        <v>91</v>
      </c>
      <c r="BU644" t="str">
        <f>IF(OR(A644=2, A644=12), "Central", IF(A644=3, "Semi-Central", "Periférica"))</f>
        <v>Periférica</v>
      </c>
    </row>
    <row r="645" spans="1:73" x14ac:dyDescent="0.3">
      <c r="A645" s="1">
        <v>4</v>
      </c>
      <c r="B645" s="1">
        <v>469</v>
      </c>
      <c r="C645" s="1" t="s">
        <v>210</v>
      </c>
      <c r="D645" t="s">
        <v>1</v>
      </c>
      <c r="E645" t="s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s="1">
        <v>4</v>
      </c>
      <c r="AJ645" s="1">
        <v>469</v>
      </c>
      <c r="AK645" s="1" t="s">
        <v>210</v>
      </c>
      <c r="AL645" t="s">
        <v>1</v>
      </c>
      <c r="AM645" t="s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f>(I645+J645+N645+O645)/4</f>
        <v>0</v>
      </c>
      <c r="BR645">
        <f>(K645+L645+M645)/3</f>
        <v>0</v>
      </c>
      <c r="BS645">
        <v>0</v>
      </c>
      <c r="BT645">
        <v>0</v>
      </c>
      <c r="BU645" t="str">
        <f>IF(OR(A645=2, A645=12), "Central", IF(A645=3, "Semi-Central", "Periférica"))</f>
        <v>Periférica</v>
      </c>
    </row>
    <row r="646" spans="1:73" x14ac:dyDescent="0.3">
      <c r="A646" s="1">
        <v>4</v>
      </c>
      <c r="B646" s="1">
        <v>471</v>
      </c>
      <c r="C646" s="1" t="s">
        <v>209</v>
      </c>
      <c r="D646" t="s">
        <v>1</v>
      </c>
      <c r="E646" t="s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 s="1">
        <v>4</v>
      </c>
      <c r="AJ646" s="1">
        <v>471</v>
      </c>
      <c r="AK646" s="1" t="s">
        <v>209</v>
      </c>
      <c r="AL646" t="s">
        <v>1</v>
      </c>
      <c r="AM646" t="s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f>(I646+J646+N646+O646)/4</f>
        <v>0</v>
      </c>
      <c r="BR646">
        <f>(K646+L646+M646)/3</f>
        <v>0</v>
      </c>
      <c r="BS646">
        <v>0</v>
      </c>
      <c r="BT646">
        <v>0</v>
      </c>
      <c r="BU646" t="str">
        <f>IF(OR(A646=2, A646=12), "Central", IF(A646=3, "Semi-Central", "Periférica"))</f>
        <v>Periférica</v>
      </c>
    </row>
    <row r="647" spans="1:73" x14ac:dyDescent="0.3">
      <c r="A647" s="1">
        <v>4</v>
      </c>
      <c r="B647" s="1">
        <v>433</v>
      </c>
      <c r="C647" s="1">
        <v>233</v>
      </c>
      <c r="D647" t="s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s="1">
        <v>4</v>
      </c>
      <c r="AJ647" s="1">
        <v>433</v>
      </c>
      <c r="AK647" s="1">
        <v>233</v>
      </c>
      <c r="AL647" t="s">
        <v>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f>(I647+J647+N647+O647)/4</f>
        <v>0</v>
      </c>
      <c r="BR647">
        <f>(K647+L647+M647)/3</f>
        <v>0</v>
      </c>
      <c r="BS647">
        <v>0</v>
      </c>
      <c r="BT647">
        <v>0</v>
      </c>
      <c r="BU647" t="str">
        <f>IF(OR(A647=2, A647=12), "Central", IF(A647=3, "Semi-Central", "Periférica"))</f>
        <v>Periférica</v>
      </c>
    </row>
    <row r="648" spans="1:73" x14ac:dyDescent="0.3">
      <c r="A648" s="1">
        <v>4</v>
      </c>
      <c r="B648" s="1">
        <v>482</v>
      </c>
      <c r="C648" s="1" t="s">
        <v>208</v>
      </c>
      <c r="D648" t="s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s="1">
        <v>4</v>
      </c>
      <c r="AJ648" s="1">
        <v>482</v>
      </c>
      <c r="AK648" s="1" t="s">
        <v>208</v>
      </c>
      <c r="AL648" t="s">
        <v>1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f>(I648+J648+N648+O648)/4</f>
        <v>0</v>
      </c>
      <c r="BR648">
        <f>(K648+L648+M648)/3</f>
        <v>0</v>
      </c>
      <c r="BS648">
        <v>0</v>
      </c>
      <c r="BT648">
        <v>0</v>
      </c>
      <c r="BU648" t="str">
        <f>IF(OR(A648=2, A648=12), "Central", IF(A648=3, "Semi-Central", "Periférica"))</f>
        <v>Periférica</v>
      </c>
    </row>
    <row r="649" spans="1:73" x14ac:dyDescent="0.3">
      <c r="A649" s="1">
        <v>4</v>
      </c>
      <c r="B649" s="1" t="s">
        <v>207</v>
      </c>
      <c r="C649" s="1" t="s">
        <v>206</v>
      </c>
      <c r="D649" t="s">
        <v>5</v>
      </c>
      <c r="E649" t="s">
        <v>0</v>
      </c>
      <c r="F649">
        <v>3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3</v>
      </c>
      <c r="S649">
        <v>2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2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s="1">
        <v>4</v>
      </c>
      <c r="AJ649" s="1" t="s">
        <v>207</v>
      </c>
      <c r="AK649" s="1" t="s">
        <v>206</v>
      </c>
      <c r="AL649" t="s">
        <v>5</v>
      </c>
      <c r="AM649" t="s">
        <v>0</v>
      </c>
      <c r="AN649">
        <v>297</v>
      </c>
      <c r="AO649">
        <v>198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297</v>
      </c>
      <c r="BA649">
        <v>198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297</v>
      </c>
      <c r="BJ649">
        <v>198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f>(I649+J649+N649+O649)/4</f>
        <v>0</v>
      </c>
      <c r="BR649">
        <f>(K649+L649+M649)/3</f>
        <v>0</v>
      </c>
      <c r="BS649">
        <v>0</v>
      </c>
      <c r="BT649">
        <v>0</v>
      </c>
      <c r="BU649" t="str">
        <f>IF(OR(A649=2, A649=12), "Central", IF(A649=3, "Semi-Central", "Periférica"))</f>
        <v>Periférica</v>
      </c>
    </row>
    <row r="650" spans="1:73" x14ac:dyDescent="0.3">
      <c r="A650" s="1">
        <v>4</v>
      </c>
      <c r="B650" s="1" t="s">
        <v>207</v>
      </c>
      <c r="C650" s="1" t="s">
        <v>206</v>
      </c>
      <c r="D650" t="s">
        <v>1</v>
      </c>
      <c r="E650" t="s">
        <v>0</v>
      </c>
      <c r="F650">
        <v>2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</v>
      </c>
      <c r="S650">
        <v>2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2</v>
      </c>
      <c r="AB650">
        <v>2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 s="1">
        <v>4</v>
      </c>
      <c r="AJ650" s="1" t="s">
        <v>207</v>
      </c>
      <c r="AK650" s="1" t="s">
        <v>206</v>
      </c>
      <c r="AL650" t="s">
        <v>1</v>
      </c>
      <c r="AM650" t="s">
        <v>0</v>
      </c>
      <c r="AN650">
        <v>198</v>
      </c>
      <c r="AO650">
        <v>198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198</v>
      </c>
      <c r="BA650">
        <v>198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198</v>
      </c>
      <c r="BJ650">
        <v>198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f>(I650+J650+N650+O650)/4</f>
        <v>0</v>
      </c>
      <c r="BR650">
        <f>(K650+L650+M650)/3</f>
        <v>0</v>
      </c>
      <c r="BS650">
        <v>0</v>
      </c>
      <c r="BT650">
        <v>0</v>
      </c>
      <c r="BU650" t="str">
        <f>IF(OR(A650=2, A650=12), "Central", IF(A650=3, "Semi-Central", "Periférica"))</f>
        <v>Periférica</v>
      </c>
    </row>
    <row r="651" spans="1:73" x14ac:dyDescent="0.3">
      <c r="A651" s="1">
        <v>4</v>
      </c>
      <c r="B651" s="1" t="s">
        <v>205</v>
      </c>
      <c r="C651" s="1" t="s">
        <v>204</v>
      </c>
      <c r="D651" t="s">
        <v>5</v>
      </c>
      <c r="E651" t="s">
        <v>0</v>
      </c>
      <c r="F651">
        <v>0</v>
      </c>
      <c r="G651">
        <v>0</v>
      </c>
      <c r="H651">
        <v>0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 s="1">
        <v>4</v>
      </c>
      <c r="AJ651" s="1" t="s">
        <v>205</v>
      </c>
      <c r="AK651" s="1" t="s">
        <v>204</v>
      </c>
      <c r="AL651" t="s">
        <v>5</v>
      </c>
      <c r="AM651" t="s">
        <v>0</v>
      </c>
      <c r="AN651">
        <v>0</v>
      </c>
      <c r="AO651">
        <v>0</v>
      </c>
      <c r="AP651">
        <v>0</v>
      </c>
      <c r="AQ651">
        <v>182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f>(I651+J651+N651+O651)/4</f>
        <v>0.5</v>
      </c>
      <c r="BR651">
        <f>(K651+L651+M651)/3</f>
        <v>0</v>
      </c>
      <c r="BS651">
        <v>0</v>
      </c>
      <c r="BT651">
        <f>AQ651/I651</f>
        <v>91</v>
      </c>
      <c r="BU651" t="str">
        <f>IF(OR(A651=2, A651=12), "Central", IF(A651=3, "Semi-Central", "Periférica"))</f>
        <v>Periférica</v>
      </c>
    </row>
    <row r="652" spans="1:73" x14ac:dyDescent="0.3">
      <c r="A652" s="1">
        <v>4</v>
      </c>
      <c r="B652" s="1" t="s">
        <v>205</v>
      </c>
      <c r="C652" s="1" t="s">
        <v>204</v>
      </c>
      <c r="D652" t="s">
        <v>1</v>
      </c>
      <c r="E652" t="s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 s="1">
        <v>4</v>
      </c>
      <c r="AJ652" s="1" t="s">
        <v>205</v>
      </c>
      <c r="AK652" s="1" t="s">
        <v>204</v>
      </c>
      <c r="AL652" t="s">
        <v>1</v>
      </c>
      <c r="AM652" t="s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f>(I652+J652+N652+O652)/4</f>
        <v>0</v>
      </c>
      <c r="BR652">
        <f>(K652+L652+M652)/3</f>
        <v>0</v>
      </c>
      <c r="BS652">
        <v>0</v>
      </c>
      <c r="BT652">
        <v>0</v>
      </c>
      <c r="BU652" t="str">
        <f>IF(OR(A652=2, A652=12), "Central", IF(A652=3, "Semi-Central", "Periférica"))</f>
        <v>Periférica</v>
      </c>
    </row>
    <row r="653" spans="1:73" x14ac:dyDescent="0.3">
      <c r="A653" s="1">
        <v>4</v>
      </c>
      <c r="B653" s="1">
        <v>438</v>
      </c>
      <c r="C653" s="1" t="s">
        <v>203</v>
      </c>
      <c r="D653" s="1" t="s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 s="1">
        <v>4</v>
      </c>
      <c r="AJ653" s="1">
        <v>438</v>
      </c>
      <c r="AK653" s="1" t="s">
        <v>203</v>
      </c>
      <c r="AL653" s="1" t="s">
        <v>1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f>(I653+J653+N653+O653)/4</f>
        <v>0</v>
      </c>
      <c r="BR653">
        <f>(K653+L653+M653)/3</f>
        <v>0</v>
      </c>
      <c r="BS653">
        <v>0</v>
      </c>
      <c r="BT653">
        <v>0</v>
      </c>
      <c r="BU653" t="str">
        <f>IF(OR(A653=2, A653=12), "Central", IF(A653=3, "Semi-Central", "Periférica"))</f>
        <v>Periférica</v>
      </c>
    </row>
    <row r="654" spans="1:73" x14ac:dyDescent="0.3">
      <c r="A654" s="1">
        <v>4</v>
      </c>
      <c r="B654" s="1">
        <v>470</v>
      </c>
      <c r="C654" s="1" t="s">
        <v>202</v>
      </c>
      <c r="D654" s="1" t="s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 s="1">
        <v>4</v>
      </c>
      <c r="AJ654" s="1">
        <v>470</v>
      </c>
      <c r="AK654" s="1" t="s">
        <v>202</v>
      </c>
      <c r="AL654" s="1" t="s">
        <v>1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f>(I654+J654+N654+O654)/4</f>
        <v>0</v>
      </c>
      <c r="BR654">
        <f>(K654+L654+M654)/3</f>
        <v>0</v>
      </c>
      <c r="BS654">
        <v>0</v>
      </c>
      <c r="BT654">
        <v>0</v>
      </c>
      <c r="BU654" t="str">
        <f>IF(OR(A654=2, A654=12), "Central", IF(A654=3, "Semi-Central", "Periférica"))</f>
        <v>Periférica</v>
      </c>
    </row>
    <row r="655" spans="1:73" x14ac:dyDescent="0.3">
      <c r="A655" s="1">
        <v>4</v>
      </c>
      <c r="B655" s="1" t="s">
        <v>201</v>
      </c>
      <c r="C655" s="1" t="s">
        <v>200</v>
      </c>
      <c r="D655" s="1" t="s">
        <v>5</v>
      </c>
      <c r="F655">
        <v>0</v>
      </c>
      <c r="G655">
        <v>0</v>
      </c>
      <c r="H655">
        <v>5</v>
      </c>
      <c r="I655">
        <v>5.333333333333333</v>
      </c>
      <c r="J655">
        <v>1.3333333333333333</v>
      </c>
      <c r="K655">
        <v>0</v>
      </c>
      <c r="L655">
        <v>0</v>
      </c>
      <c r="M655">
        <v>0</v>
      </c>
      <c r="N655">
        <v>5</v>
      </c>
      <c r="O655">
        <v>5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 s="1">
        <v>4</v>
      </c>
      <c r="AJ655" s="1" t="s">
        <v>201</v>
      </c>
      <c r="AK655" s="1" t="s">
        <v>200</v>
      </c>
      <c r="AL655" s="1" t="s">
        <v>5</v>
      </c>
      <c r="AN655">
        <v>0</v>
      </c>
      <c r="AO655">
        <v>0</v>
      </c>
      <c r="AP655">
        <v>380</v>
      </c>
      <c r="AQ655">
        <v>405.33333333333331</v>
      </c>
      <c r="AR655">
        <v>101.33333333333333</v>
      </c>
      <c r="AS655">
        <v>0</v>
      </c>
      <c r="AT655">
        <v>0</v>
      </c>
      <c r="AU655">
        <v>0</v>
      </c>
      <c r="AV655">
        <v>380</v>
      </c>
      <c r="AW655">
        <v>380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f>(I655+J655+N655+O655)/4</f>
        <v>4.1666666666666661</v>
      </c>
      <c r="BR655">
        <f>(K655+L655+M655)/3</f>
        <v>0</v>
      </c>
      <c r="BS655">
        <v>0</v>
      </c>
      <c r="BT655">
        <f>AQ655/I655</f>
        <v>76</v>
      </c>
      <c r="BU655" t="str">
        <f>IF(OR(A655=2, A655=12), "Central", IF(A655=3, "Semi-Central", "Periférica"))</f>
        <v>Periférica</v>
      </c>
    </row>
    <row r="656" spans="1:73" x14ac:dyDescent="0.3">
      <c r="A656" s="1">
        <v>4</v>
      </c>
      <c r="B656" s="1" t="s">
        <v>201</v>
      </c>
      <c r="C656" s="1" t="s">
        <v>200</v>
      </c>
      <c r="D656" s="1" t="s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s="1">
        <v>4</v>
      </c>
      <c r="AJ656" s="1" t="s">
        <v>201</v>
      </c>
      <c r="AK656" s="1" t="s">
        <v>200</v>
      </c>
      <c r="AL656" s="1" t="s">
        <v>1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f>(I656+J656+N656+O656)/4</f>
        <v>0</v>
      </c>
      <c r="BR656">
        <f>(K656+L656+M656)/3</f>
        <v>0</v>
      </c>
      <c r="BS656">
        <v>0</v>
      </c>
      <c r="BT656">
        <v>0</v>
      </c>
      <c r="BU656" t="str">
        <f>IF(OR(A656=2, A656=12), "Central", IF(A656=3, "Semi-Central", "Periférica"))</f>
        <v>Periférica</v>
      </c>
    </row>
    <row r="657" spans="1:73" x14ac:dyDescent="0.3">
      <c r="A657" s="1">
        <v>4</v>
      </c>
      <c r="B657" s="1">
        <v>459</v>
      </c>
      <c r="C657" s="1" t="s">
        <v>199</v>
      </c>
      <c r="D657" s="1" t="s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 s="1">
        <v>4</v>
      </c>
      <c r="AJ657" s="1">
        <v>459</v>
      </c>
      <c r="AK657" s="1" t="s">
        <v>199</v>
      </c>
      <c r="AL657" s="1" t="s">
        <v>1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f>(I657+J657+N657+O657)/4</f>
        <v>0</v>
      </c>
      <c r="BR657">
        <f>(K657+L657+M657)/3</f>
        <v>0</v>
      </c>
      <c r="BS657">
        <v>0</v>
      </c>
      <c r="BT657">
        <v>0</v>
      </c>
      <c r="BU657" t="str">
        <f>IF(OR(A657=2, A657=12), "Central", IF(A657=3, "Semi-Central", "Periférica"))</f>
        <v>Periférica</v>
      </c>
    </row>
    <row r="658" spans="1:73" x14ac:dyDescent="0.3">
      <c r="A658" s="1">
        <v>4</v>
      </c>
      <c r="B658" s="1">
        <v>479</v>
      </c>
      <c r="C658" t="s">
        <v>198</v>
      </c>
      <c r="D658" t="s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 s="1">
        <v>4</v>
      </c>
      <c r="AJ658" s="1">
        <v>479</v>
      </c>
      <c r="AK658" t="s">
        <v>198</v>
      </c>
      <c r="AL658" t="s">
        <v>1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f>(I658+J658+N658+O658)/4</f>
        <v>0</v>
      </c>
      <c r="BR658">
        <f>(K658+L658+M658)/3</f>
        <v>0</v>
      </c>
      <c r="BS658">
        <v>0</v>
      </c>
      <c r="BT658">
        <v>0</v>
      </c>
      <c r="BU658" t="str">
        <f>IF(OR(A658=2, A658=12), "Central", IF(A658=3, "Semi-Central", "Periférica"))</f>
        <v>Periférica</v>
      </c>
    </row>
    <row r="659" spans="1:73" x14ac:dyDescent="0.3">
      <c r="A659" s="1">
        <v>4</v>
      </c>
      <c r="B659" s="1">
        <v>434</v>
      </c>
      <c r="C659" s="1" t="s">
        <v>197</v>
      </c>
      <c r="D659" t="s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 s="1">
        <v>4</v>
      </c>
      <c r="AJ659" s="1">
        <v>434</v>
      </c>
      <c r="AK659" s="1" t="s">
        <v>197</v>
      </c>
      <c r="AL659" t="s">
        <v>1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f>(I659+J659+N659+O659)/4</f>
        <v>0</v>
      </c>
      <c r="BR659">
        <f>(K659+L659+M659)/3</f>
        <v>0</v>
      </c>
      <c r="BS659">
        <v>0</v>
      </c>
      <c r="BT659">
        <v>0</v>
      </c>
      <c r="BU659" t="str">
        <f>IF(OR(A659=2, A659=12), "Central", IF(A659=3, "Semi-Central", "Periférica"))</f>
        <v>Periférica</v>
      </c>
    </row>
    <row r="660" spans="1:73" x14ac:dyDescent="0.3">
      <c r="A660" s="1">
        <v>4</v>
      </c>
      <c r="B660" s="1">
        <v>489</v>
      </c>
      <c r="C660" s="1" t="s">
        <v>196</v>
      </c>
      <c r="D660" t="s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s="1">
        <v>4</v>
      </c>
      <c r="AJ660" s="1">
        <v>489</v>
      </c>
      <c r="AK660" s="1" t="s">
        <v>196</v>
      </c>
      <c r="AL660" t="s">
        <v>1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f>(I660+J660+N660+O660)/4</f>
        <v>0</v>
      </c>
      <c r="BR660">
        <f>(K660+L660+M660)/3</f>
        <v>0</v>
      </c>
      <c r="BS660">
        <v>0</v>
      </c>
      <c r="BT660">
        <v>0</v>
      </c>
      <c r="BU660" t="str">
        <f>IF(OR(A660=2, A660=12), "Central", IF(A660=3, "Semi-Central", "Periférica"))</f>
        <v>Periférica</v>
      </c>
    </row>
    <row r="661" spans="1:73" x14ac:dyDescent="0.3">
      <c r="A661" s="1">
        <v>5</v>
      </c>
      <c r="B661" s="1" t="s">
        <v>195</v>
      </c>
      <c r="C661" s="1" t="s">
        <v>195</v>
      </c>
      <c r="D661" t="s">
        <v>5</v>
      </c>
      <c r="E661" t="s">
        <v>0</v>
      </c>
      <c r="F661">
        <v>0</v>
      </c>
      <c r="G661">
        <v>0</v>
      </c>
      <c r="H661">
        <v>5</v>
      </c>
      <c r="I661">
        <v>5.333333333333333</v>
      </c>
      <c r="J661">
        <v>1.3333333333333333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 s="1">
        <v>5</v>
      </c>
      <c r="AJ661" s="1" t="s">
        <v>195</v>
      </c>
      <c r="AK661" s="1" t="s">
        <v>195</v>
      </c>
      <c r="AL661" t="s">
        <v>5</v>
      </c>
      <c r="AM661" t="s">
        <v>0</v>
      </c>
      <c r="AN661">
        <v>0</v>
      </c>
      <c r="AO661">
        <v>0</v>
      </c>
      <c r="AP661">
        <v>405</v>
      </c>
      <c r="AQ661">
        <v>432</v>
      </c>
      <c r="AR661">
        <v>108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f>(I661+J661+N661+O661)/4</f>
        <v>1.6666666666666665</v>
      </c>
      <c r="BR661">
        <f>(K661+L661+M661)/3</f>
        <v>0</v>
      </c>
      <c r="BS661">
        <v>0</v>
      </c>
      <c r="BT661">
        <f>AQ661/I661</f>
        <v>81</v>
      </c>
      <c r="BU661" t="str">
        <f>IF(OR(A661=2, A661=12), "Central", IF(A661=3, "Semi-Central", "Periférica"))</f>
        <v>Periférica</v>
      </c>
    </row>
    <row r="662" spans="1:73" x14ac:dyDescent="0.3">
      <c r="A662" s="1">
        <v>5</v>
      </c>
      <c r="B662" s="1" t="s">
        <v>195</v>
      </c>
      <c r="C662" s="1" t="s">
        <v>195</v>
      </c>
      <c r="D662" t="s">
        <v>1</v>
      </c>
      <c r="E662" t="s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3</v>
      </c>
      <c r="O662">
        <v>4</v>
      </c>
      <c r="P662">
        <v>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 s="1">
        <v>5</v>
      </c>
      <c r="AJ662" s="1" t="s">
        <v>195</v>
      </c>
      <c r="AK662" s="1" t="s">
        <v>195</v>
      </c>
      <c r="AL662" t="s">
        <v>1</v>
      </c>
      <c r="AM662" t="s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243</v>
      </c>
      <c r="AW662">
        <v>324</v>
      </c>
      <c r="AX662">
        <v>162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f>(I662+J662+N662+O662)/4</f>
        <v>1.75</v>
      </c>
      <c r="BR662">
        <f>(K662+L662+M662)/3</f>
        <v>0</v>
      </c>
      <c r="BS662">
        <v>0</v>
      </c>
      <c r="BT662">
        <v>0</v>
      </c>
      <c r="BU662" t="str">
        <f>IF(OR(A662=2, A662=12), "Central", IF(A662=3, "Semi-Central", "Periférica"))</f>
        <v>Periférica</v>
      </c>
    </row>
    <row r="663" spans="1:73" x14ac:dyDescent="0.3">
      <c r="A663" s="1">
        <v>5</v>
      </c>
      <c r="B663" s="1" t="s">
        <v>194</v>
      </c>
      <c r="C663" s="1" t="s">
        <v>194</v>
      </c>
      <c r="D663" t="s">
        <v>5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4</v>
      </c>
      <c r="O663">
        <v>4.5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 s="1">
        <v>5</v>
      </c>
      <c r="AJ663" s="1" t="s">
        <v>194</v>
      </c>
      <c r="AK663" s="1" t="s">
        <v>194</v>
      </c>
      <c r="AL663" t="s">
        <v>5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324</v>
      </c>
      <c r="AW663">
        <v>364.5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f>(I663+J663+N663+O663)/4</f>
        <v>2.125</v>
      </c>
      <c r="BR663">
        <f>(K663+L663+M663)/3</f>
        <v>0</v>
      </c>
      <c r="BS663">
        <v>0</v>
      </c>
      <c r="BT663">
        <v>0</v>
      </c>
      <c r="BU663" t="str">
        <f>IF(OR(A663=2, A663=12), "Central", IF(A663=3, "Semi-Central", "Periférica"))</f>
        <v>Periférica</v>
      </c>
    </row>
    <row r="664" spans="1:73" x14ac:dyDescent="0.3">
      <c r="A664" s="1">
        <v>5</v>
      </c>
      <c r="B664" s="1" t="s">
        <v>194</v>
      </c>
      <c r="C664" s="1" t="s">
        <v>194</v>
      </c>
      <c r="D664" t="s">
        <v>1</v>
      </c>
      <c r="E664">
        <v>1</v>
      </c>
      <c r="F664">
        <v>0</v>
      </c>
      <c r="G664">
        <v>0</v>
      </c>
      <c r="H664">
        <v>3</v>
      </c>
      <c r="I664">
        <v>4</v>
      </c>
      <c r="J664">
        <v>4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 s="1">
        <v>5</v>
      </c>
      <c r="AJ664" s="1" t="s">
        <v>194</v>
      </c>
      <c r="AK664" s="1" t="s">
        <v>194</v>
      </c>
      <c r="AL664" t="s">
        <v>1</v>
      </c>
      <c r="AM664">
        <v>1</v>
      </c>
      <c r="AN664">
        <v>0</v>
      </c>
      <c r="AO664">
        <v>0</v>
      </c>
      <c r="AP664">
        <v>243</v>
      </c>
      <c r="AQ664">
        <v>324</v>
      </c>
      <c r="AR664">
        <v>324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f>(I664+J664+N664+O664)/4</f>
        <v>2</v>
      </c>
      <c r="BR664">
        <f>(K664+L664+M664)/3</f>
        <v>0</v>
      </c>
      <c r="BS664">
        <v>0</v>
      </c>
      <c r="BT664">
        <f>AQ664/I664</f>
        <v>81</v>
      </c>
      <c r="BU664" t="str">
        <f>IF(OR(A664=2, A664=12), "Central", IF(A664=3, "Semi-Central", "Periférica"))</f>
        <v>Periférica</v>
      </c>
    </row>
    <row r="665" spans="1:73" x14ac:dyDescent="0.3">
      <c r="A665" s="1">
        <v>5</v>
      </c>
      <c r="B665" s="1" t="s">
        <v>193</v>
      </c>
      <c r="C665" s="1" t="s">
        <v>193</v>
      </c>
      <c r="D665" t="s">
        <v>5</v>
      </c>
      <c r="E665" t="s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6</v>
      </c>
      <c r="O665">
        <v>5</v>
      </c>
      <c r="P665">
        <v>2.6666666666666665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 s="1">
        <v>5</v>
      </c>
      <c r="AJ665" s="1" t="s">
        <v>193</v>
      </c>
      <c r="AK665" s="1" t="s">
        <v>193</v>
      </c>
      <c r="AL665" t="s">
        <v>5</v>
      </c>
      <c r="AM665" t="s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552</v>
      </c>
      <c r="AW665">
        <v>460</v>
      </c>
      <c r="AX665">
        <v>245.33333333333334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f>(I665+J665+N665+O665)/4</f>
        <v>2.75</v>
      </c>
      <c r="BR665">
        <f>(K665+L665+M665)/3</f>
        <v>0</v>
      </c>
      <c r="BS665">
        <v>0</v>
      </c>
      <c r="BT665">
        <v>0</v>
      </c>
      <c r="BU665" t="str">
        <f>IF(OR(A665=2, A665=12), "Central", IF(A665=3, "Semi-Central", "Periférica"))</f>
        <v>Periférica</v>
      </c>
    </row>
    <row r="666" spans="1:73" x14ac:dyDescent="0.3">
      <c r="A666" s="1">
        <v>5</v>
      </c>
      <c r="B666" s="1" t="s">
        <v>193</v>
      </c>
      <c r="C666" s="1" t="s">
        <v>193</v>
      </c>
      <c r="D666" t="s">
        <v>1</v>
      </c>
      <c r="E666" t="s">
        <v>0</v>
      </c>
      <c r="F666">
        <v>0</v>
      </c>
      <c r="G666">
        <v>0</v>
      </c>
      <c r="H666">
        <v>2</v>
      </c>
      <c r="I666">
        <v>3.3333333333333335</v>
      </c>
      <c r="J666">
        <v>2.6666666666666665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s="1">
        <v>5</v>
      </c>
      <c r="AJ666" s="1" t="s">
        <v>193</v>
      </c>
      <c r="AK666" s="1" t="s">
        <v>193</v>
      </c>
      <c r="AL666" t="s">
        <v>1</v>
      </c>
      <c r="AM666" t="s">
        <v>0</v>
      </c>
      <c r="AN666">
        <v>0</v>
      </c>
      <c r="AO666">
        <v>0</v>
      </c>
      <c r="AP666">
        <v>184</v>
      </c>
      <c r="AQ666">
        <v>306.66666666666669</v>
      </c>
      <c r="AR666">
        <v>245.33333333333334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f>(I666+J666+N666+O666)/4</f>
        <v>1.5</v>
      </c>
      <c r="BR666">
        <f>(K666+L666+M666)/3</f>
        <v>0</v>
      </c>
      <c r="BS666">
        <v>0</v>
      </c>
      <c r="BT666">
        <f>AQ666/I666</f>
        <v>92</v>
      </c>
      <c r="BU666" t="str">
        <f>IF(OR(A666=2, A666=12), "Central", IF(A666=3, "Semi-Central", "Periférica"))</f>
        <v>Periférica</v>
      </c>
    </row>
    <row r="667" spans="1:73" x14ac:dyDescent="0.3">
      <c r="A667" s="1">
        <v>5</v>
      </c>
      <c r="B667" s="1" t="s">
        <v>192</v>
      </c>
      <c r="C667" s="1" t="s">
        <v>192</v>
      </c>
      <c r="D667" t="s">
        <v>5</v>
      </c>
      <c r="E667" t="s">
        <v>0</v>
      </c>
      <c r="F667">
        <v>2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</v>
      </c>
      <c r="S667">
        <v>2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2</v>
      </c>
      <c r="AB667">
        <v>2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 s="1">
        <v>5</v>
      </c>
      <c r="AJ667" s="1" t="s">
        <v>192</v>
      </c>
      <c r="AK667" s="1" t="s">
        <v>192</v>
      </c>
      <c r="AL667" t="s">
        <v>5</v>
      </c>
      <c r="AM667" t="s">
        <v>0</v>
      </c>
      <c r="AN667">
        <v>162</v>
      </c>
      <c r="AO667">
        <v>162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162</v>
      </c>
      <c r="BA667">
        <v>162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162</v>
      </c>
      <c r="BJ667">
        <v>162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f>(I667+J667+N667+O667)/4</f>
        <v>0</v>
      </c>
      <c r="BR667">
        <f>(K667+L667+M667)/3</f>
        <v>0</v>
      </c>
      <c r="BS667">
        <v>0</v>
      </c>
      <c r="BT667">
        <v>0</v>
      </c>
      <c r="BU667" t="str">
        <f>IF(OR(A667=2, A667=12), "Central", IF(A667=3, "Semi-Central", "Periférica"))</f>
        <v>Periférica</v>
      </c>
    </row>
    <row r="668" spans="1:73" x14ac:dyDescent="0.3">
      <c r="A668" s="1">
        <v>5</v>
      </c>
      <c r="B668" s="1" t="s">
        <v>192</v>
      </c>
      <c r="C668" s="1" t="s">
        <v>192</v>
      </c>
      <c r="D668" t="s">
        <v>1</v>
      </c>
      <c r="E668" t="s">
        <v>0</v>
      </c>
      <c r="F668">
        <v>2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</v>
      </c>
      <c r="S668">
        <v>2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2</v>
      </c>
      <c r="AB668">
        <v>2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 s="1">
        <v>5</v>
      </c>
      <c r="AJ668" s="1" t="s">
        <v>192</v>
      </c>
      <c r="AK668" s="1" t="s">
        <v>192</v>
      </c>
      <c r="AL668" t="s">
        <v>1</v>
      </c>
      <c r="AM668" t="s">
        <v>0</v>
      </c>
      <c r="AN668">
        <v>162</v>
      </c>
      <c r="AO668">
        <v>162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162</v>
      </c>
      <c r="BA668">
        <v>162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162</v>
      </c>
      <c r="BJ668">
        <v>162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f>(I668+J668+N668+O668)/4</f>
        <v>0</v>
      </c>
      <c r="BR668">
        <f>(K668+L668+M668)/3</f>
        <v>0</v>
      </c>
      <c r="BS668">
        <v>0</v>
      </c>
      <c r="BT668">
        <v>0</v>
      </c>
      <c r="BU668" t="str">
        <f>IF(OR(A668=2, A668=12), "Central", IF(A668=3, "Semi-Central", "Periférica"))</f>
        <v>Periférica</v>
      </c>
    </row>
    <row r="669" spans="1:73" x14ac:dyDescent="0.3">
      <c r="A669" s="1">
        <v>5</v>
      </c>
      <c r="B669" s="1" t="s">
        <v>191</v>
      </c>
      <c r="C669" s="1" t="s">
        <v>191</v>
      </c>
      <c r="D669" t="s">
        <v>5</v>
      </c>
      <c r="E669" t="s">
        <v>0</v>
      </c>
      <c r="F669">
        <v>0</v>
      </c>
      <c r="G669">
        <v>0</v>
      </c>
      <c r="H669">
        <v>4</v>
      </c>
      <c r="I669">
        <v>3.3333333333333335</v>
      </c>
      <c r="J669">
        <v>1.3333333333333333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 s="1">
        <v>5</v>
      </c>
      <c r="AJ669" s="1" t="s">
        <v>191</v>
      </c>
      <c r="AK669" s="1" t="s">
        <v>191</v>
      </c>
      <c r="AL669" t="s">
        <v>5</v>
      </c>
      <c r="AM669" t="s">
        <v>0</v>
      </c>
      <c r="AN669">
        <v>0</v>
      </c>
      <c r="AO669">
        <v>0</v>
      </c>
      <c r="AP669">
        <v>324</v>
      </c>
      <c r="AQ669">
        <v>270</v>
      </c>
      <c r="AR669">
        <v>108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f>(I669+J669+N669+O669)/4</f>
        <v>1.1666666666666667</v>
      </c>
      <c r="BR669">
        <f>(K669+L669+M669)/3</f>
        <v>0</v>
      </c>
      <c r="BS669">
        <v>0</v>
      </c>
      <c r="BT669">
        <f>AQ669/I669</f>
        <v>81</v>
      </c>
      <c r="BU669" t="str">
        <f>IF(OR(A669=2, A669=12), "Central", IF(A669=3, "Semi-Central", "Periférica"))</f>
        <v>Periférica</v>
      </c>
    </row>
    <row r="670" spans="1:73" x14ac:dyDescent="0.3">
      <c r="A670" s="1">
        <v>5</v>
      </c>
      <c r="B670" s="1" t="s">
        <v>191</v>
      </c>
      <c r="C670" s="1" t="s">
        <v>191</v>
      </c>
      <c r="D670" t="s">
        <v>1</v>
      </c>
      <c r="E670" t="s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2</v>
      </c>
      <c r="O670">
        <v>3.5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 s="1">
        <v>5</v>
      </c>
      <c r="AJ670" s="1" t="s">
        <v>191</v>
      </c>
      <c r="AK670" s="1" t="s">
        <v>191</v>
      </c>
      <c r="AL670" t="s">
        <v>1</v>
      </c>
      <c r="AM670" t="s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162</v>
      </c>
      <c r="AW670">
        <v>283.5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f>(I670+J670+N670+O670)/4</f>
        <v>1.375</v>
      </c>
      <c r="BR670">
        <f>(K670+L670+M670)/3</f>
        <v>0</v>
      </c>
      <c r="BS670">
        <v>0</v>
      </c>
      <c r="BT670">
        <v>0</v>
      </c>
      <c r="BU670" t="str">
        <f>IF(OR(A670=2, A670=12), "Central", IF(A670=3, "Semi-Central", "Periférica"))</f>
        <v>Periférica</v>
      </c>
    </row>
    <row r="671" spans="1:73" x14ac:dyDescent="0.3">
      <c r="A671" s="1">
        <v>5</v>
      </c>
      <c r="B671" s="1" t="s">
        <v>190</v>
      </c>
      <c r="C671" s="1" t="s">
        <v>189</v>
      </c>
      <c r="D671" t="s">
        <v>5</v>
      </c>
      <c r="E671" t="s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2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s="1">
        <v>5</v>
      </c>
      <c r="AJ671" s="1" t="s">
        <v>190</v>
      </c>
      <c r="AK671" s="1" t="s">
        <v>189</v>
      </c>
      <c r="AL671" t="s">
        <v>5</v>
      </c>
      <c r="AM671" t="s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162</v>
      </c>
      <c r="AW671">
        <v>162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f>(I671+J671+N671+O671)/4</f>
        <v>1</v>
      </c>
      <c r="BR671">
        <f>(K671+L671+M671)/3</f>
        <v>0</v>
      </c>
      <c r="BS671">
        <v>0</v>
      </c>
      <c r="BT671">
        <v>0</v>
      </c>
      <c r="BU671" t="str">
        <f>IF(OR(A671=2, A671=12), "Central", IF(A671=3, "Semi-Central", "Periférica"))</f>
        <v>Periférica</v>
      </c>
    </row>
    <row r="672" spans="1:73" x14ac:dyDescent="0.3">
      <c r="A672" s="1">
        <v>5</v>
      </c>
      <c r="B672" s="1" t="s">
        <v>190</v>
      </c>
      <c r="C672" s="1" t="s">
        <v>189</v>
      </c>
      <c r="D672" t="s">
        <v>1</v>
      </c>
      <c r="E672" t="s">
        <v>0</v>
      </c>
      <c r="F672">
        <v>0</v>
      </c>
      <c r="G672">
        <v>0</v>
      </c>
      <c r="H672">
        <v>0</v>
      </c>
      <c r="I672">
        <v>5.333333333333333</v>
      </c>
      <c r="J672">
        <v>2.6666666666666665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 s="1">
        <v>5</v>
      </c>
      <c r="AJ672" s="1" t="s">
        <v>190</v>
      </c>
      <c r="AK672" s="1" t="s">
        <v>189</v>
      </c>
      <c r="AL672" t="s">
        <v>1</v>
      </c>
      <c r="AM672" t="s">
        <v>0</v>
      </c>
      <c r="AN672">
        <v>0</v>
      </c>
      <c r="AO672">
        <v>0</v>
      </c>
      <c r="AP672">
        <v>0</v>
      </c>
      <c r="AQ672">
        <v>432</v>
      </c>
      <c r="AR672">
        <v>216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f>(I672+J672+N672+O672)/4</f>
        <v>2</v>
      </c>
      <c r="BR672">
        <f>(K672+L672+M672)/3</f>
        <v>0</v>
      </c>
      <c r="BS672">
        <v>0</v>
      </c>
      <c r="BT672">
        <f>AQ672/I672</f>
        <v>81</v>
      </c>
      <c r="BU672" t="str">
        <f>IF(OR(A672=2, A672=12), "Central", IF(A672=3, "Semi-Central", "Periférica"))</f>
        <v>Periférica</v>
      </c>
    </row>
    <row r="673" spans="1:73" x14ac:dyDescent="0.3">
      <c r="A673" s="1">
        <v>5</v>
      </c>
      <c r="B673" s="1">
        <v>523</v>
      </c>
      <c r="C673" s="1" t="s">
        <v>188</v>
      </c>
      <c r="D673" t="s">
        <v>1</v>
      </c>
      <c r="E673" t="s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 s="1">
        <v>5</v>
      </c>
      <c r="AJ673" s="1">
        <v>523</v>
      </c>
      <c r="AK673" s="1" t="s">
        <v>188</v>
      </c>
      <c r="AL673" t="s">
        <v>1</v>
      </c>
      <c r="AM673" t="s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f>(I673+J673+N673+O673)/4</f>
        <v>0</v>
      </c>
      <c r="BR673">
        <f>(K673+L673+M673)/3</f>
        <v>0</v>
      </c>
      <c r="BS673">
        <v>0</v>
      </c>
      <c r="BT673">
        <v>0</v>
      </c>
      <c r="BU673" t="str">
        <f>IF(OR(A673=2, A673=12), "Central", IF(A673=3, "Semi-Central", "Periférica"))</f>
        <v>Periférica</v>
      </c>
    </row>
    <row r="674" spans="1:73" x14ac:dyDescent="0.3">
      <c r="A674" s="1">
        <v>5</v>
      </c>
      <c r="B674" s="1">
        <v>525</v>
      </c>
      <c r="C674" s="1" t="s">
        <v>187</v>
      </c>
      <c r="D674" t="s">
        <v>1</v>
      </c>
      <c r="E674" t="s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 s="1">
        <v>5</v>
      </c>
      <c r="AJ674" s="1">
        <v>525</v>
      </c>
      <c r="AK674" s="1" t="s">
        <v>187</v>
      </c>
      <c r="AL674" t="s">
        <v>1</v>
      </c>
      <c r="AM674" t="s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f>(I674+J674+N674+O674)/4</f>
        <v>0</v>
      </c>
      <c r="BR674">
        <f>(K674+L674+M674)/3</f>
        <v>0</v>
      </c>
      <c r="BS674">
        <v>0</v>
      </c>
      <c r="BT674">
        <v>0</v>
      </c>
      <c r="BU674" t="str">
        <f>IF(OR(A674=2, A674=12), "Central", IF(A674=3, "Semi-Central", "Periférica"))</f>
        <v>Periférica</v>
      </c>
    </row>
    <row r="675" spans="1:73" x14ac:dyDescent="0.3">
      <c r="A675" s="1">
        <v>5</v>
      </c>
      <c r="B675" s="1">
        <v>536</v>
      </c>
      <c r="C675" s="1" t="s">
        <v>186</v>
      </c>
      <c r="D675" t="s">
        <v>1</v>
      </c>
      <c r="E675" t="s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s="1">
        <v>5</v>
      </c>
      <c r="AJ675" s="1">
        <v>536</v>
      </c>
      <c r="AK675" s="1" t="s">
        <v>186</v>
      </c>
      <c r="AL675" t="s">
        <v>1</v>
      </c>
      <c r="AM675" t="s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f>(I675+J675+N675+O675)/4</f>
        <v>0</v>
      </c>
      <c r="BR675">
        <f>(K675+L675+M675)/3</f>
        <v>0</v>
      </c>
      <c r="BS675">
        <v>0</v>
      </c>
      <c r="BT675">
        <v>0</v>
      </c>
      <c r="BU675" t="str">
        <f>IF(OR(A675=2, A675=12), "Central", IF(A675=3, "Semi-Central", "Periférica"))</f>
        <v>Periférica</v>
      </c>
    </row>
    <row r="676" spans="1:73" x14ac:dyDescent="0.3">
      <c r="A676" s="1">
        <v>5</v>
      </c>
      <c r="B676" s="1">
        <v>540</v>
      </c>
      <c r="C676" s="1" t="s">
        <v>185</v>
      </c>
      <c r="D676" t="s">
        <v>1</v>
      </c>
      <c r="E676" t="s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 s="1">
        <v>5</v>
      </c>
      <c r="AJ676" s="1">
        <v>540</v>
      </c>
      <c r="AK676" s="1" t="s">
        <v>185</v>
      </c>
      <c r="AL676" t="s">
        <v>1</v>
      </c>
      <c r="AM676" t="s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f>(I676+J676+N676+O676)/4</f>
        <v>0</v>
      </c>
      <c r="BR676">
        <f>(K676+L676+M676)/3</f>
        <v>0</v>
      </c>
      <c r="BS676">
        <v>0</v>
      </c>
      <c r="BT676">
        <v>0</v>
      </c>
      <c r="BU676" t="str">
        <f>IF(OR(A676=2, A676=12), "Central", IF(A676=3, "Semi-Central", "Periférica"))</f>
        <v>Periférica</v>
      </c>
    </row>
    <row r="677" spans="1:73" x14ac:dyDescent="0.3">
      <c r="A677" s="1">
        <v>5</v>
      </c>
      <c r="B677" s="1" t="s">
        <v>184</v>
      </c>
      <c r="C677" s="1" t="s">
        <v>183</v>
      </c>
      <c r="D677" t="s">
        <v>5</v>
      </c>
      <c r="E677" t="s">
        <v>0</v>
      </c>
      <c r="F677">
        <v>0</v>
      </c>
      <c r="G677">
        <v>0</v>
      </c>
      <c r="H677">
        <v>4</v>
      </c>
      <c r="I677">
        <v>4</v>
      </c>
      <c r="J677">
        <v>4</v>
      </c>
      <c r="K677">
        <v>0</v>
      </c>
      <c r="L677">
        <v>0</v>
      </c>
      <c r="M677">
        <v>0</v>
      </c>
      <c r="N677">
        <v>3.5</v>
      </c>
      <c r="O677">
        <v>3.5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 s="1">
        <v>5</v>
      </c>
      <c r="AJ677" s="1" t="s">
        <v>184</v>
      </c>
      <c r="AK677" s="1" t="s">
        <v>183</v>
      </c>
      <c r="AL677" t="s">
        <v>5</v>
      </c>
      <c r="AM677" t="s">
        <v>0</v>
      </c>
      <c r="AN677">
        <v>0</v>
      </c>
      <c r="AO677">
        <v>0</v>
      </c>
      <c r="AP677">
        <v>324</v>
      </c>
      <c r="AQ677">
        <v>324</v>
      </c>
      <c r="AR677">
        <v>324</v>
      </c>
      <c r="AS677">
        <v>0</v>
      </c>
      <c r="AT677">
        <v>0</v>
      </c>
      <c r="AU677">
        <v>0</v>
      </c>
      <c r="AV677">
        <v>283.5</v>
      </c>
      <c r="AW677">
        <v>283.5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f>(I677+J677+N677+O677)/4</f>
        <v>3.75</v>
      </c>
      <c r="BR677">
        <f>(K677+L677+M677)/3</f>
        <v>0</v>
      </c>
      <c r="BS677">
        <v>0</v>
      </c>
      <c r="BT677">
        <f>AQ677/I677</f>
        <v>81</v>
      </c>
      <c r="BU677" t="str">
        <f>IF(OR(A677=2, A677=12), "Central", IF(A677=3, "Semi-Central", "Periférica"))</f>
        <v>Periférica</v>
      </c>
    </row>
    <row r="678" spans="1:73" x14ac:dyDescent="0.3">
      <c r="A678" s="1">
        <v>5</v>
      </c>
      <c r="B678" s="1" t="s">
        <v>184</v>
      </c>
      <c r="C678" s="1" t="s">
        <v>183</v>
      </c>
      <c r="D678" t="s">
        <v>1</v>
      </c>
      <c r="E678" t="s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 s="1">
        <v>5</v>
      </c>
      <c r="AJ678" s="1" t="s">
        <v>184</v>
      </c>
      <c r="AK678" s="1" t="s">
        <v>183</v>
      </c>
      <c r="AL678" t="s">
        <v>1</v>
      </c>
      <c r="AM678" t="s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f>(I678+J678+N678+O678)/4</f>
        <v>0</v>
      </c>
      <c r="BR678">
        <f>(K678+L678+M678)/3</f>
        <v>0</v>
      </c>
      <c r="BS678">
        <v>0</v>
      </c>
      <c r="BT678">
        <v>0</v>
      </c>
      <c r="BU678" t="str">
        <f>IF(OR(A678=2, A678=12), "Central", IF(A678=3, "Semi-Central", "Periférica"))</f>
        <v>Periférica</v>
      </c>
    </row>
    <row r="679" spans="1:73" x14ac:dyDescent="0.3">
      <c r="A679" s="1">
        <v>5</v>
      </c>
      <c r="B679" s="1" t="s">
        <v>182</v>
      </c>
      <c r="C679" s="1" t="s">
        <v>181</v>
      </c>
      <c r="D679" t="s">
        <v>5</v>
      </c>
      <c r="E679" t="s">
        <v>0</v>
      </c>
      <c r="F679">
        <v>2</v>
      </c>
      <c r="G679">
        <v>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</v>
      </c>
      <c r="S679">
        <v>2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2</v>
      </c>
      <c r="AB679">
        <v>2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 s="1">
        <v>5</v>
      </c>
      <c r="AJ679" s="1" t="s">
        <v>182</v>
      </c>
      <c r="AK679" s="1" t="s">
        <v>181</v>
      </c>
      <c r="AL679" t="s">
        <v>5</v>
      </c>
      <c r="AM679" t="s">
        <v>0</v>
      </c>
      <c r="AN679">
        <v>162</v>
      </c>
      <c r="AO679">
        <v>162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162</v>
      </c>
      <c r="BA679">
        <v>162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162</v>
      </c>
      <c r="BJ679">
        <v>162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f>(I679+J679+N679+O679)/4</f>
        <v>0</v>
      </c>
      <c r="BR679">
        <f>(K679+L679+M679)/3</f>
        <v>0</v>
      </c>
      <c r="BS679">
        <v>0</v>
      </c>
      <c r="BT679">
        <v>0</v>
      </c>
      <c r="BU679" t="str">
        <f>IF(OR(A679=2, A679=12), "Central", IF(A679=3, "Semi-Central", "Periférica"))</f>
        <v>Periférica</v>
      </c>
    </row>
    <row r="680" spans="1:73" x14ac:dyDescent="0.3">
      <c r="A680" s="1">
        <v>5</v>
      </c>
      <c r="B680" s="1" t="s">
        <v>182</v>
      </c>
      <c r="C680" s="1" t="s">
        <v>181</v>
      </c>
      <c r="D680" t="s">
        <v>1</v>
      </c>
      <c r="E680" t="s">
        <v>0</v>
      </c>
      <c r="F680">
        <v>2</v>
      </c>
      <c r="G680">
        <v>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</v>
      </c>
      <c r="S680">
        <v>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s="1">
        <v>5</v>
      </c>
      <c r="AJ680" s="1" t="s">
        <v>182</v>
      </c>
      <c r="AK680" s="1" t="s">
        <v>181</v>
      </c>
      <c r="AL680" t="s">
        <v>1</v>
      </c>
      <c r="AM680" t="s">
        <v>0</v>
      </c>
      <c r="AN680">
        <v>162</v>
      </c>
      <c r="AO680">
        <v>162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162</v>
      </c>
      <c r="BA680">
        <v>162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162</v>
      </c>
      <c r="BJ680">
        <v>162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f>(I680+J680+N680+O680)/4</f>
        <v>0</v>
      </c>
      <c r="BR680">
        <f>(K680+L680+M680)/3</f>
        <v>0</v>
      </c>
      <c r="BS680">
        <v>0</v>
      </c>
      <c r="BT680">
        <v>0</v>
      </c>
      <c r="BU680" t="str">
        <f>IF(OR(A680=2, A680=12), "Central", IF(A680=3, "Semi-Central", "Periférica"))</f>
        <v>Periférica</v>
      </c>
    </row>
    <row r="681" spans="1:73" x14ac:dyDescent="0.3">
      <c r="A681" s="1">
        <v>5</v>
      </c>
      <c r="B681" s="1" t="s">
        <v>180</v>
      </c>
      <c r="C681" s="1" t="s">
        <v>179</v>
      </c>
      <c r="D681" t="s">
        <v>5</v>
      </c>
      <c r="E681" t="s">
        <v>0</v>
      </c>
      <c r="F681">
        <v>0</v>
      </c>
      <c r="G681">
        <v>0</v>
      </c>
      <c r="H681">
        <v>0</v>
      </c>
      <c r="I681">
        <v>9.3333333333333339</v>
      </c>
      <c r="J681">
        <v>2.6666666666666665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 s="1">
        <v>5</v>
      </c>
      <c r="AJ681" s="1" t="s">
        <v>180</v>
      </c>
      <c r="AK681" s="1" t="s">
        <v>179</v>
      </c>
      <c r="AL681" t="s">
        <v>5</v>
      </c>
      <c r="AM681" t="s">
        <v>0</v>
      </c>
      <c r="AN681">
        <v>0</v>
      </c>
      <c r="AO681">
        <v>0</v>
      </c>
      <c r="AP681">
        <v>0</v>
      </c>
      <c r="AQ681">
        <v>814.66666666666663</v>
      </c>
      <c r="AR681">
        <v>230.66666666666666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f>(I681+J681+N681+O681)/4</f>
        <v>3</v>
      </c>
      <c r="BR681">
        <f>(K681+L681+M681)/3</f>
        <v>0</v>
      </c>
      <c r="BS681">
        <v>0</v>
      </c>
      <c r="BT681">
        <f>AQ681/I681</f>
        <v>87.285714285714278</v>
      </c>
      <c r="BU681" t="str">
        <f>IF(OR(A681=2, A681=12), "Central", IF(A681=3, "Semi-Central", "Periférica"))</f>
        <v>Periférica</v>
      </c>
    </row>
    <row r="682" spans="1:73" x14ac:dyDescent="0.3">
      <c r="A682" s="1">
        <v>5</v>
      </c>
      <c r="B682" s="1" t="s">
        <v>180</v>
      </c>
      <c r="C682" s="1" t="s">
        <v>179</v>
      </c>
      <c r="D682" t="s">
        <v>1</v>
      </c>
      <c r="E682" t="s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2.5</v>
      </c>
      <c r="O682">
        <v>5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 s="1">
        <v>5</v>
      </c>
      <c r="AJ682" s="1" t="s">
        <v>180</v>
      </c>
      <c r="AK682" s="1" t="s">
        <v>179</v>
      </c>
      <c r="AL682" t="s">
        <v>1</v>
      </c>
      <c r="AM682" t="s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219</v>
      </c>
      <c r="AW682">
        <v>438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f>(I682+J682+N682+O682)/4</f>
        <v>1.875</v>
      </c>
      <c r="BR682">
        <f>(K682+L682+M682)/3</f>
        <v>0</v>
      </c>
      <c r="BS682">
        <v>0</v>
      </c>
      <c r="BT682">
        <v>0</v>
      </c>
      <c r="BU682" t="str">
        <f>IF(OR(A682=2, A682=12), "Central", IF(A682=3, "Semi-Central", "Periférica"))</f>
        <v>Periférica</v>
      </c>
    </row>
    <row r="683" spans="1:73" x14ac:dyDescent="0.3">
      <c r="A683" s="1">
        <v>5</v>
      </c>
      <c r="B683" s="1" t="s">
        <v>178</v>
      </c>
      <c r="C683" s="1" t="s">
        <v>177</v>
      </c>
      <c r="D683" t="s">
        <v>5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1.5</v>
      </c>
      <c r="O683">
        <v>5</v>
      </c>
      <c r="P683">
        <v>1.3333333333333333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s="1">
        <v>5</v>
      </c>
      <c r="AJ683" s="1" t="s">
        <v>178</v>
      </c>
      <c r="AK683" s="1" t="s">
        <v>177</v>
      </c>
      <c r="AL683" t="s">
        <v>5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132.5</v>
      </c>
      <c r="AW683">
        <v>438</v>
      </c>
      <c r="AX683">
        <v>115.33333333333333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f>(I683+J683+N683+O683)/4</f>
        <v>1.625</v>
      </c>
      <c r="BR683">
        <f>(K683+L683+M683)/3</f>
        <v>0</v>
      </c>
      <c r="BS683">
        <v>0</v>
      </c>
      <c r="BT683">
        <v>0</v>
      </c>
      <c r="BU683" t="str">
        <f>IF(OR(A683=2, A683=12), "Central", IF(A683=3, "Semi-Central", "Periférica"))</f>
        <v>Periférica</v>
      </c>
    </row>
    <row r="684" spans="1:73" x14ac:dyDescent="0.3">
      <c r="A684" s="1">
        <v>5</v>
      </c>
      <c r="B684" s="1" t="s">
        <v>178</v>
      </c>
      <c r="C684" s="1" t="s">
        <v>177</v>
      </c>
      <c r="D684" t="s">
        <v>1</v>
      </c>
      <c r="E684">
        <v>1</v>
      </c>
      <c r="F684">
        <v>0</v>
      </c>
      <c r="G684">
        <v>0</v>
      </c>
      <c r="H684">
        <v>0</v>
      </c>
      <c r="I684">
        <v>6.666666666666667</v>
      </c>
      <c r="J684">
        <v>5.333333333333333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s="1">
        <v>5</v>
      </c>
      <c r="AJ684" s="1" t="s">
        <v>178</v>
      </c>
      <c r="AK684" s="1" t="s">
        <v>177</v>
      </c>
      <c r="AL684" t="s">
        <v>1</v>
      </c>
      <c r="AM684">
        <v>1</v>
      </c>
      <c r="AN684">
        <v>0</v>
      </c>
      <c r="AO684">
        <v>0</v>
      </c>
      <c r="AP684">
        <v>0</v>
      </c>
      <c r="AQ684">
        <v>584</v>
      </c>
      <c r="AR684">
        <v>461.33333333333331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f>(I684+J684+N684+O684)/4</f>
        <v>3</v>
      </c>
      <c r="BR684">
        <f>(K684+L684+M684)/3</f>
        <v>0</v>
      </c>
      <c r="BS684">
        <v>0</v>
      </c>
      <c r="BT684">
        <f>AQ684/I684</f>
        <v>87.6</v>
      </c>
      <c r="BU684" t="str">
        <f>IF(OR(A684=2, A684=12), "Central", IF(A684=3, "Semi-Central", "Periférica"))</f>
        <v>Periférica</v>
      </c>
    </row>
    <row r="685" spans="1:73" x14ac:dyDescent="0.3">
      <c r="A685" s="1">
        <v>5</v>
      </c>
      <c r="B685" s="1">
        <v>588</v>
      </c>
      <c r="C685" s="1" t="s">
        <v>176</v>
      </c>
      <c r="D685" s="1" t="s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 s="1">
        <v>5</v>
      </c>
      <c r="AJ685" s="1">
        <v>588</v>
      </c>
      <c r="AK685" s="1" t="s">
        <v>176</v>
      </c>
      <c r="AL685" s="1" t="s">
        <v>1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f>(I685+J685+N685+O685)/4</f>
        <v>0</v>
      </c>
      <c r="BR685">
        <f>(K685+L685+M685)/3</f>
        <v>0</v>
      </c>
      <c r="BS685">
        <v>0</v>
      </c>
      <c r="BT685">
        <v>0</v>
      </c>
      <c r="BU685" t="str">
        <f>IF(OR(A685=2, A685=12), "Central", IF(A685=3, "Semi-Central", "Periférica"))</f>
        <v>Periférica</v>
      </c>
    </row>
    <row r="686" spans="1:73" x14ac:dyDescent="0.3">
      <c r="A686" s="1">
        <v>8</v>
      </c>
      <c r="B686" s="1">
        <v>803</v>
      </c>
      <c r="C686" s="1" t="s">
        <v>175</v>
      </c>
      <c r="D686" t="s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 s="1">
        <v>8</v>
      </c>
      <c r="AJ686" s="1">
        <v>803</v>
      </c>
      <c r="AK686" s="1" t="s">
        <v>175</v>
      </c>
      <c r="AL686" t="s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f>(I686+J686+N686+O686)/4</f>
        <v>0</v>
      </c>
      <c r="BR686">
        <f>(K686+L686+M686)/3</f>
        <v>0</v>
      </c>
      <c r="BS686">
        <v>0</v>
      </c>
      <c r="BT686">
        <v>0</v>
      </c>
      <c r="BU686" t="str">
        <f>IF(OR(A686=2, A686=12), "Central", IF(A686=3, "Semi-Central", "Periférica"))</f>
        <v>Periférica</v>
      </c>
    </row>
    <row r="687" spans="1:73" x14ac:dyDescent="0.3">
      <c r="A687" s="1">
        <v>8</v>
      </c>
      <c r="B687" s="1">
        <v>809</v>
      </c>
      <c r="C687" s="1" t="s">
        <v>174</v>
      </c>
      <c r="D687" t="s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 s="1">
        <v>8</v>
      </c>
      <c r="AJ687" s="1">
        <v>809</v>
      </c>
      <c r="AK687" s="1" t="s">
        <v>174</v>
      </c>
      <c r="AL687" t="s">
        <v>1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f>(I687+J687+N687+O687)/4</f>
        <v>0</v>
      </c>
      <c r="BR687">
        <f>(K687+L687+M687)/3</f>
        <v>0</v>
      </c>
      <c r="BS687">
        <v>0</v>
      </c>
      <c r="BT687">
        <v>0</v>
      </c>
      <c r="BU687" t="str">
        <f>IF(OR(A687=2, A687=12), "Central", IF(A687=3, "Semi-Central", "Periférica"))</f>
        <v>Periférica</v>
      </c>
    </row>
    <row r="688" spans="1:73" x14ac:dyDescent="0.3">
      <c r="A688" s="1">
        <v>8</v>
      </c>
      <c r="B688" s="1" t="s">
        <v>173</v>
      </c>
      <c r="C688" s="1" t="s">
        <v>172</v>
      </c>
      <c r="D688" t="s">
        <v>5</v>
      </c>
      <c r="F688">
        <v>2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2.5</v>
      </c>
      <c r="R688">
        <v>2</v>
      </c>
      <c r="S688">
        <v>2.2222222222222219</v>
      </c>
      <c r="T688">
        <v>2</v>
      </c>
      <c r="U688">
        <v>0.4</v>
      </c>
      <c r="V688">
        <v>0</v>
      </c>
      <c r="W688">
        <v>0</v>
      </c>
      <c r="X688">
        <v>0</v>
      </c>
      <c r="Y688">
        <v>0</v>
      </c>
      <c r="Z688">
        <v>2.5</v>
      </c>
      <c r="AA688">
        <v>4</v>
      </c>
      <c r="AB688">
        <v>2</v>
      </c>
      <c r="AC688">
        <v>2</v>
      </c>
      <c r="AD688">
        <v>0.1818181818181818</v>
      </c>
      <c r="AE688">
        <v>0</v>
      </c>
      <c r="AF688">
        <v>0</v>
      </c>
      <c r="AG688">
        <v>0</v>
      </c>
      <c r="AH688">
        <v>1.5</v>
      </c>
      <c r="AI688" s="1">
        <v>8</v>
      </c>
      <c r="AJ688" s="1" t="s">
        <v>173</v>
      </c>
      <c r="AK688" s="1" t="s">
        <v>172</v>
      </c>
      <c r="AL688" t="s">
        <v>5</v>
      </c>
      <c r="AN688">
        <v>180</v>
      </c>
      <c r="AO688">
        <v>180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225</v>
      </c>
      <c r="AZ688">
        <v>180</v>
      </c>
      <c r="BA688">
        <v>200</v>
      </c>
      <c r="BB688">
        <v>180</v>
      </c>
      <c r="BC688">
        <v>36</v>
      </c>
      <c r="BD688">
        <v>0</v>
      </c>
      <c r="BE688">
        <v>0</v>
      </c>
      <c r="BF688">
        <v>0</v>
      </c>
      <c r="BG688">
        <v>0</v>
      </c>
      <c r="BH688">
        <v>225</v>
      </c>
      <c r="BI688">
        <v>360</v>
      </c>
      <c r="BJ688">
        <v>180</v>
      </c>
      <c r="BK688">
        <v>180</v>
      </c>
      <c r="BL688">
        <v>16.36363636363636</v>
      </c>
      <c r="BM688">
        <v>0</v>
      </c>
      <c r="BN688">
        <v>0</v>
      </c>
      <c r="BO688">
        <v>0</v>
      </c>
      <c r="BP688">
        <v>135</v>
      </c>
      <c r="BQ688">
        <f>(I688+J688+N688+O688)/4</f>
        <v>0</v>
      </c>
      <c r="BR688">
        <f>(K688+L688+M688)/3</f>
        <v>0</v>
      </c>
      <c r="BS688">
        <v>0</v>
      </c>
      <c r="BT688">
        <v>0</v>
      </c>
      <c r="BU688" t="str">
        <f>IF(OR(A688=2, A688=12), "Central", IF(A688=3, "Semi-Central", "Periférica"))</f>
        <v>Periférica</v>
      </c>
    </row>
    <row r="689" spans="1:73" x14ac:dyDescent="0.3">
      <c r="A689" s="1">
        <v>8</v>
      </c>
      <c r="B689" s="1" t="s">
        <v>173</v>
      </c>
      <c r="C689" s="1" t="s">
        <v>172</v>
      </c>
      <c r="D689" t="s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 s="1">
        <v>8</v>
      </c>
      <c r="AJ689" s="1" t="s">
        <v>173</v>
      </c>
      <c r="AK689" s="1" t="s">
        <v>172</v>
      </c>
      <c r="AL689" t="s">
        <v>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f>(I689+J689+N689+O689)/4</f>
        <v>0</v>
      </c>
      <c r="BR689">
        <f>(K689+L689+M689)/3</f>
        <v>0</v>
      </c>
      <c r="BS689">
        <v>0</v>
      </c>
      <c r="BT689">
        <v>0</v>
      </c>
      <c r="BU689" t="str">
        <f>IF(OR(A689=2, A689=12), "Central", IF(A689=3, "Semi-Central", "Periférica"))</f>
        <v>Periférica</v>
      </c>
    </row>
    <row r="690" spans="1:73" x14ac:dyDescent="0.3">
      <c r="A690" s="1">
        <v>8</v>
      </c>
      <c r="B690" s="1" t="s">
        <v>171</v>
      </c>
      <c r="C690" s="1" t="s">
        <v>170</v>
      </c>
      <c r="D690" t="s">
        <v>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 s="1">
        <v>8</v>
      </c>
      <c r="AJ690" s="1" t="s">
        <v>171</v>
      </c>
      <c r="AK690" s="1" t="s">
        <v>170</v>
      </c>
      <c r="AL690" t="s">
        <v>5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f>(I690+J690+N690+O690)/4</f>
        <v>0</v>
      </c>
      <c r="BR690">
        <f>(K690+L690+M690)/3</f>
        <v>0</v>
      </c>
      <c r="BS690">
        <v>0</v>
      </c>
      <c r="BT690">
        <v>0</v>
      </c>
      <c r="BU690" t="str">
        <f>IF(OR(A690=2, A690=12), "Central", IF(A690=3, "Semi-Central", "Periférica"))</f>
        <v>Periférica</v>
      </c>
    </row>
    <row r="691" spans="1:73" x14ac:dyDescent="0.3">
      <c r="A691" s="1">
        <v>8</v>
      </c>
      <c r="B691" s="1" t="s">
        <v>171</v>
      </c>
      <c r="C691" s="1" t="s">
        <v>170</v>
      </c>
      <c r="D691" t="s">
        <v>1</v>
      </c>
      <c r="F691">
        <v>0</v>
      </c>
      <c r="G691">
        <v>0</v>
      </c>
      <c r="H691">
        <v>5</v>
      </c>
      <c r="I691">
        <v>5.333333333333333</v>
      </c>
      <c r="J691">
        <v>4.666666666666667</v>
      </c>
      <c r="K691">
        <v>0</v>
      </c>
      <c r="L691">
        <v>0</v>
      </c>
      <c r="M691">
        <v>0</v>
      </c>
      <c r="N691">
        <v>4</v>
      </c>
      <c r="O691">
        <v>4</v>
      </c>
      <c r="P691">
        <v>1.333333333333333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 s="1">
        <v>8</v>
      </c>
      <c r="AJ691" s="1" t="s">
        <v>171</v>
      </c>
      <c r="AK691" s="1" t="s">
        <v>170</v>
      </c>
      <c r="AL691" t="s">
        <v>1</v>
      </c>
      <c r="AN691">
        <v>0</v>
      </c>
      <c r="AO691">
        <v>0</v>
      </c>
      <c r="AP691">
        <v>450</v>
      </c>
      <c r="AQ691">
        <v>480</v>
      </c>
      <c r="AR691">
        <v>420</v>
      </c>
      <c r="AS691">
        <v>0</v>
      </c>
      <c r="AT691">
        <v>0</v>
      </c>
      <c r="AU691">
        <v>0</v>
      </c>
      <c r="AV691">
        <v>360</v>
      </c>
      <c r="AW691">
        <v>360</v>
      </c>
      <c r="AX691">
        <v>120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f>(I691+J691+N691+O691)/4</f>
        <v>4.5</v>
      </c>
      <c r="BR691">
        <f>(K691+L691+M691)/3</f>
        <v>0</v>
      </c>
      <c r="BS691">
        <v>0</v>
      </c>
      <c r="BT691">
        <f>AQ691/I691</f>
        <v>90</v>
      </c>
      <c r="BU691" t="str">
        <f>IF(OR(A691=2, A691=12), "Central", IF(A691=3, "Semi-Central", "Periférica"))</f>
        <v>Periférica</v>
      </c>
    </row>
    <row r="692" spans="1:73" x14ac:dyDescent="0.3">
      <c r="A692" s="1">
        <v>8</v>
      </c>
      <c r="B692" s="1" t="s">
        <v>169</v>
      </c>
      <c r="C692" s="1" t="s">
        <v>168</v>
      </c>
      <c r="D692" t="s">
        <v>5</v>
      </c>
      <c r="F692">
        <v>0</v>
      </c>
      <c r="G692">
        <v>0</v>
      </c>
      <c r="H692">
        <v>5</v>
      </c>
      <c r="I692">
        <v>7.333333333333333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 s="1">
        <v>8</v>
      </c>
      <c r="AJ692" s="1" t="s">
        <v>169</v>
      </c>
      <c r="AK692" s="1" t="s">
        <v>168</v>
      </c>
      <c r="AL692" t="s">
        <v>5</v>
      </c>
      <c r="AN692">
        <v>0</v>
      </c>
      <c r="AO692">
        <v>0</v>
      </c>
      <c r="AP692">
        <v>750</v>
      </c>
      <c r="AQ692">
        <v>1100</v>
      </c>
      <c r="AR692">
        <v>300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f>(I692+J692+N692+O692)/4</f>
        <v>2.333333333333333</v>
      </c>
      <c r="BR692">
        <f>(K692+L692+M692)/3</f>
        <v>0</v>
      </c>
      <c r="BS692">
        <v>0</v>
      </c>
      <c r="BT692">
        <f>AQ692/I692</f>
        <v>150</v>
      </c>
      <c r="BU692" t="str">
        <f>IF(OR(A692=2, A692=12), "Central", IF(A692=3, "Semi-Central", "Periférica"))</f>
        <v>Periférica</v>
      </c>
    </row>
    <row r="693" spans="1:73" x14ac:dyDescent="0.3">
      <c r="A693" s="1">
        <v>8</v>
      </c>
      <c r="B693" s="1" t="s">
        <v>169</v>
      </c>
      <c r="C693" s="1" t="s">
        <v>168</v>
      </c>
      <c r="D693" t="s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s="1">
        <v>8</v>
      </c>
      <c r="AJ693" s="1" t="s">
        <v>169</v>
      </c>
      <c r="AK693" s="1" t="s">
        <v>168</v>
      </c>
      <c r="AL693" t="s">
        <v>1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f>(I693+J693+N693+O693)/4</f>
        <v>0</v>
      </c>
      <c r="BR693">
        <f>(K693+L693+M693)/3</f>
        <v>0</v>
      </c>
      <c r="BS693">
        <v>0</v>
      </c>
      <c r="BT693">
        <v>0</v>
      </c>
      <c r="BU693" t="str">
        <f>IF(OR(A693=2, A693=12), "Central", IF(A693=3, "Semi-Central", "Periférica"))</f>
        <v>Periférica</v>
      </c>
    </row>
    <row r="694" spans="1:73" x14ac:dyDescent="0.3">
      <c r="A694" s="1">
        <v>8</v>
      </c>
      <c r="B694" s="1" t="s">
        <v>167</v>
      </c>
      <c r="C694" s="1">
        <v>410</v>
      </c>
      <c r="D694" t="s">
        <v>5</v>
      </c>
      <c r="F694">
        <v>0</v>
      </c>
      <c r="G694">
        <v>0</v>
      </c>
      <c r="H694">
        <v>0</v>
      </c>
      <c r="I694">
        <v>3.333333333333333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 s="1">
        <v>8</v>
      </c>
      <c r="AJ694" s="1" t="s">
        <v>167</v>
      </c>
      <c r="AK694" s="1">
        <v>410</v>
      </c>
      <c r="AL694" t="s">
        <v>5</v>
      </c>
      <c r="AN694">
        <v>0</v>
      </c>
      <c r="AO694">
        <v>0</v>
      </c>
      <c r="AP694">
        <v>0</v>
      </c>
      <c r="AQ694">
        <v>300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f>(I694+J694+N694+O694)/4</f>
        <v>0.83333333333333326</v>
      </c>
      <c r="BR694">
        <f>(K694+L694+M694)/3</f>
        <v>0</v>
      </c>
      <c r="BS694">
        <v>0</v>
      </c>
      <c r="BT694">
        <f>AQ694/I694</f>
        <v>90.000000000000014</v>
      </c>
      <c r="BU694" t="str">
        <f>IF(OR(A694=2, A694=12), "Central", IF(A694=3, "Semi-Central", "Periférica"))</f>
        <v>Periférica</v>
      </c>
    </row>
    <row r="695" spans="1:73" x14ac:dyDescent="0.3">
      <c r="A695" s="1">
        <v>8</v>
      </c>
      <c r="B695" s="1" t="s">
        <v>167</v>
      </c>
      <c r="C695" s="1">
        <v>410</v>
      </c>
      <c r="D695" t="s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 s="1">
        <v>8</v>
      </c>
      <c r="AJ695" s="1" t="s">
        <v>167</v>
      </c>
      <c r="AK695" s="1">
        <v>410</v>
      </c>
      <c r="AL695" t="s">
        <v>1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f>(I695+J695+N695+O695)/4</f>
        <v>0</v>
      </c>
      <c r="BR695">
        <f>(K695+L695+M695)/3</f>
        <v>0</v>
      </c>
      <c r="BS695">
        <v>0</v>
      </c>
      <c r="BT695">
        <v>0</v>
      </c>
      <c r="BU695" t="str">
        <f>IF(OR(A695=2, A695=12), "Central", IF(A695=3, "Semi-Central", "Periférica"))</f>
        <v>Periférica</v>
      </c>
    </row>
    <row r="696" spans="1:73" x14ac:dyDescent="0.3">
      <c r="A696" s="1">
        <v>8</v>
      </c>
      <c r="B696" s="1">
        <v>801</v>
      </c>
      <c r="C696" s="1" t="s">
        <v>166</v>
      </c>
      <c r="D696" t="s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 s="1">
        <v>8</v>
      </c>
      <c r="AJ696" s="1">
        <v>801</v>
      </c>
      <c r="AK696" s="1" t="s">
        <v>166</v>
      </c>
      <c r="AL696" t="s">
        <v>1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f>(I696+J696+N696+O696)/4</f>
        <v>0</v>
      </c>
      <c r="BR696">
        <f>(K696+L696+M696)/3</f>
        <v>0</v>
      </c>
      <c r="BS696">
        <v>0</v>
      </c>
      <c r="BT696">
        <v>0</v>
      </c>
      <c r="BU696" t="str">
        <f>IF(OR(A696=2, A696=12), "Central", IF(A696=3, "Semi-Central", "Periférica"))</f>
        <v>Periférica</v>
      </c>
    </row>
    <row r="697" spans="1:73" x14ac:dyDescent="0.3">
      <c r="A697" s="1">
        <v>8</v>
      </c>
      <c r="B697" s="1">
        <v>817</v>
      </c>
      <c r="C697" s="1" t="s">
        <v>165</v>
      </c>
      <c r="D697" t="s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s="1">
        <v>8</v>
      </c>
      <c r="AJ697" s="1">
        <v>817</v>
      </c>
      <c r="AK697" s="1" t="s">
        <v>165</v>
      </c>
      <c r="AL697" t="s">
        <v>1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f>(I697+J697+N697+O697)/4</f>
        <v>0</v>
      </c>
      <c r="BR697">
        <f>(K697+L697+M697)/3</f>
        <v>0</v>
      </c>
      <c r="BS697">
        <v>0</v>
      </c>
      <c r="BT697">
        <v>0</v>
      </c>
      <c r="BU697" t="str">
        <f>IF(OR(A697=2, A697=12), "Central", IF(A697=3, "Semi-Central", "Periférica"))</f>
        <v>Periférica</v>
      </c>
    </row>
    <row r="698" spans="1:73" x14ac:dyDescent="0.3">
      <c r="A698" s="1">
        <v>8</v>
      </c>
      <c r="B698" s="1">
        <v>820</v>
      </c>
      <c r="C698" s="1" t="s">
        <v>164</v>
      </c>
      <c r="D698" t="s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s="1">
        <v>8</v>
      </c>
      <c r="AJ698" s="1">
        <v>820</v>
      </c>
      <c r="AK698" s="1" t="s">
        <v>164</v>
      </c>
      <c r="AL698" t="s">
        <v>1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f>(I698+J698+N698+O698)/4</f>
        <v>0</v>
      </c>
      <c r="BR698">
        <f>(K698+L698+M698)/3</f>
        <v>0</v>
      </c>
      <c r="BS698">
        <v>0</v>
      </c>
      <c r="BT698">
        <v>0</v>
      </c>
      <c r="BU698" t="str">
        <f>IF(OR(A698=2, A698=12), "Central", IF(A698=3, "Semi-Central", "Periférica"))</f>
        <v>Periférica</v>
      </c>
    </row>
    <row r="699" spans="1:73" x14ac:dyDescent="0.3">
      <c r="A699" s="1">
        <v>8</v>
      </c>
      <c r="B699" s="1">
        <v>824</v>
      </c>
      <c r="C699" s="1" t="s">
        <v>163</v>
      </c>
      <c r="D699" t="s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 s="1">
        <v>8</v>
      </c>
      <c r="AJ699" s="1">
        <v>824</v>
      </c>
      <c r="AK699" s="1" t="s">
        <v>163</v>
      </c>
      <c r="AL699" t="s">
        <v>1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f>(I699+J699+N699+O699)/4</f>
        <v>0</v>
      </c>
      <c r="BR699">
        <f>(K699+L699+M699)/3</f>
        <v>0</v>
      </c>
      <c r="BS699">
        <v>0</v>
      </c>
      <c r="BT699">
        <v>0</v>
      </c>
      <c r="BU699" t="str">
        <f>IF(OR(A699=2, A699=12), "Central", IF(A699=3, "Semi-Central", "Periférica"))</f>
        <v>Periférica</v>
      </c>
    </row>
    <row r="700" spans="1:73" x14ac:dyDescent="0.3">
      <c r="A700" s="1">
        <v>8</v>
      </c>
      <c r="B700" s="1">
        <v>828</v>
      </c>
      <c r="C700" s="1" t="s">
        <v>162</v>
      </c>
      <c r="D700" t="s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s="1">
        <v>8</v>
      </c>
      <c r="AJ700" s="1">
        <v>828</v>
      </c>
      <c r="AK700" s="1" t="s">
        <v>162</v>
      </c>
      <c r="AL700" t="s">
        <v>1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f>(I700+J700+N700+O700)/4</f>
        <v>0</v>
      </c>
      <c r="BR700">
        <f>(K700+L700+M700)/3</f>
        <v>0</v>
      </c>
      <c r="BS700">
        <v>0</v>
      </c>
      <c r="BT700">
        <v>0</v>
      </c>
      <c r="BU700" t="str">
        <f>IF(OR(A700=2, A700=12), "Central", IF(A700=3, "Semi-Central", "Periférica"))</f>
        <v>Periférica</v>
      </c>
    </row>
    <row r="701" spans="1:73" x14ac:dyDescent="0.3">
      <c r="A701" s="1">
        <v>8</v>
      </c>
      <c r="B701" s="1">
        <v>829</v>
      </c>
      <c r="C701" s="1" t="s">
        <v>161</v>
      </c>
      <c r="D701" t="s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s="1">
        <v>8</v>
      </c>
      <c r="AJ701" s="1">
        <v>829</v>
      </c>
      <c r="AK701" s="1" t="s">
        <v>161</v>
      </c>
      <c r="AL701" t="s">
        <v>1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f>(I701+J701+N701+O701)/4</f>
        <v>0</v>
      </c>
      <c r="BR701">
        <f>(K701+L701+M701)/3</f>
        <v>0</v>
      </c>
      <c r="BS701">
        <v>0</v>
      </c>
      <c r="BT701">
        <v>0</v>
      </c>
      <c r="BU701" t="str">
        <f>IF(OR(A701=2, A701=12), "Central", IF(A701=3, "Semi-Central", "Periférica"))</f>
        <v>Periférica</v>
      </c>
    </row>
    <row r="702" spans="1:73" x14ac:dyDescent="0.3">
      <c r="A702" s="1">
        <v>8</v>
      </c>
      <c r="B702" s="1">
        <v>807</v>
      </c>
      <c r="C702" s="1" t="s">
        <v>153</v>
      </c>
      <c r="D702" t="s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 s="1">
        <v>8</v>
      </c>
      <c r="AJ702" s="1">
        <v>807</v>
      </c>
      <c r="AK702" s="1" t="s">
        <v>153</v>
      </c>
      <c r="AL702" t="s">
        <v>1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f>(I702+J702+N702+O702)/4</f>
        <v>0</v>
      </c>
      <c r="BR702">
        <f>(K702+L702+M702)/3</f>
        <v>0</v>
      </c>
      <c r="BS702">
        <v>0</v>
      </c>
      <c r="BT702">
        <v>0</v>
      </c>
      <c r="BU702" t="str">
        <f>IF(OR(A702=2, A702=12), "Central", IF(A702=3, "Semi-Central", "Periférica"))</f>
        <v>Periférica</v>
      </c>
    </row>
    <row r="703" spans="1:73" x14ac:dyDescent="0.3">
      <c r="A703" s="1">
        <v>8</v>
      </c>
      <c r="B703" s="1">
        <v>810</v>
      </c>
      <c r="C703" s="1" t="s">
        <v>160</v>
      </c>
      <c r="D703" t="s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 s="1">
        <v>8</v>
      </c>
      <c r="AJ703" s="1">
        <v>810</v>
      </c>
      <c r="AK703" s="1" t="s">
        <v>160</v>
      </c>
      <c r="AL703" t="s">
        <v>1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f>(I703+J703+N703+O703)/4</f>
        <v>0</v>
      </c>
      <c r="BR703">
        <f>(K703+L703+M703)/3</f>
        <v>0</v>
      </c>
      <c r="BS703">
        <v>0</v>
      </c>
      <c r="BT703">
        <v>0</v>
      </c>
      <c r="BU703" t="str">
        <f>IF(OR(A703=2, A703=12), "Central", IF(A703=3, "Semi-Central", "Periférica"))</f>
        <v>Periférica</v>
      </c>
    </row>
    <row r="704" spans="1:73" x14ac:dyDescent="0.3">
      <c r="A704" s="1">
        <v>8</v>
      </c>
      <c r="B704" s="1">
        <v>813</v>
      </c>
      <c r="C704" s="1" t="s">
        <v>159</v>
      </c>
      <c r="D704" t="s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 s="1">
        <v>8</v>
      </c>
      <c r="AJ704" s="1">
        <v>813</v>
      </c>
      <c r="AK704" s="1" t="s">
        <v>159</v>
      </c>
      <c r="AL704" t="s">
        <v>1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f>(I704+J704+N704+O704)/4</f>
        <v>0</v>
      </c>
      <c r="BR704">
        <f>(K704+L704+M704)/3</f>
        <v>0</v>
      </c>
      <c r="BS704">
        <v>0</v>
      </c>
      <c r="BT704">
        <v>0</v>
      </c>
      <c r="BU704" t="str">
        <f>IF(OR(A704=2, A704=12), "Central", IF(A704=3, "Semi-Central", "Periférica"))</f>
        <v>Periférica</v>
      </c>
    </row>
    <row r="705" spans="1:73" x14ac:dyDescent="0.3">
      <c r="A705" s="1">
        <v>8</v>
      </c>
      <c r="B705" s="1">
        <v>825</v>
      </c>
      <c r="C705" s="1" t="s">
        <v>158</v>
      </c>
      <c r="D705" t="s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 s="1">
        <v>8</v>
      </c>
      <c r="AJ705" s="1">
        <v>825</v>
      </c>
      <c r="AK705" s="1" t="s">
        <v>158</v>
      </c>
      <c r="AL705" t="s">
        <v>1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f>(I705+J705+N705+O705)/4</f>
        <v>0</v>
      </c>
      <c r="BR705">
        <f>(K705+L705+M705)/3</f>
        <v>0</v>
      </c>
      <c r="BS705">
        <v>0</v>
      </c>
      <c r="BT705">
        <v>0</v>
      </c>
      <c r="BU705" t="str">
        <f>IF(OR(A705=2, A705=12), "Central", IF(A705=3, "Semi-Central", "Periférica"))</f>
        <v>Periférica</v>
      </c>
    </row>
    <row r="706" spans="1:73" x14ac:dyDescent="0.3">
      <c r="A706" s="1">
        <v>8</v>
      </c>
      <c r="B706" s="1">
        <v>826</v>
      </c>
      <c r="C706" s="1" t="s">
        <v>157</v>
      </c>
      <c r="D706" t="s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 s="1">
        <v>8</v>
      </c>
      <c r="AJ706" s="1">
        <v>826</v>
      </c>
      <c r="AK706" s="1" t="s">
        <v>157</v>
      </c>
      <c r="AL706" t="s">
        <v>1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f>(I706+J706+N706+O706)/4</f>
        <v>0</v>
      </c>
      <c r="BR706">
        <f>(K706+L706+M706)/3</f>
        <v>0</v>
      </c>
      <c r="BS706">
        <v>0</v>
      </c>
      <c r="BT706">
        <v>0</v>
      </c>
      <c r="BU706" t="str">
        <f>IF(OR(A706=2, A706=12), "Central", IF(A706=3, "Semi-Central", "Periférica"))</f>
        <v>Periférica</v>
      </c>
    </row>
    <row r="707" spans="1:73" x14ac:dyDescent="0.3">
      <c r="A707" s="1">
        <v>8</v>
      </c>
      <c r="B707" s="1">
        <v>832</v>
      </c>
      <c r="C707" s="1" t="s">
        <v>156</v>
      </c>
      <c r="D707" t="s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 s="1">
        <v>8</v>
      </c>
      <c r="AJ707" s="1">
        <v>832</v>
      </c>
      <c r="AK707" s="1" t="s">
        <v>156</v>
      </c>
      <c r="AL707" t="s">
        <v>1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f>(I707+J707+N707+O707)/4</f>
        <v>0</v>
      </c>
      <c r="BR707">
        <f>(K707+L707+M707)/3</f>
        <v>0</v>
      </c>
      <c r="BS707">
        <v>0</v>
      </c>
      <c r="BT707">
        <v>0</v>
      </c>
      <c r="BU707" t="str">
        <f>IF(OR(A707=2, A707=12), "Central", IF(A707=3, "Semi-Central", "Periférica"))</f>
        <v>Periférica</v>
      </c>
    </row>
    <row r="708" spans="1:73" x14ac:dyDescent="0.3">
      <c r="A708" s="1">
        <v>8</v>
      </c>
      <c r="B708" s="1">
        <v>836</v>
      </c>
      <c r="C708" s="1" t="s">
        <v>155</v>
      </c>
      <c r="D708" t="s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s="1">
        <v>8</v>
      </c>
      <c r="AJ708" s="1">
        <v>836</v>
      </c>
      <c r="AK708" s="1" t="s">
        <v>155</v>
      </c>
      <c r="AL708" t="s">
        <v>1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f>(I708+J708+N708+O708)/4</f>
        <v>0</v>
      </c>
      <c r="BR708">
        <f>(K708+L708+M708)/3</f>
        <v>0</v>
      </c>
      <c r="BS708">
        <v>0</v>
      </c>
      <c r="BT708">
        <v>0</v>
      </c>
      <c r="BU708" t="str">
        <f>IF(OR(A708=2, A708=12), "Central", IF(A708=3, "Semi-Central", "Periférica"))</f>
        <v>Periférica</v>
      </c>
    </row>
    <row r="709" spans="1:73" x14ac:dyDescent="0.3">
      <c r="A709" s="1">
        <v>8</v>
      </c>
      <c r="B709" t="s">
        <v>154</v>
      </c>
      <c r="C709" t="s">
        <v>153</v>
      </c>
      <c r="D709" t="s">
        <v>5</v>
      </c>
      <c r="F709">
        <v>0</v>
      </c>
      <c r="G709">
        <v>0</v>
      </c>
      <c r="H709">
        <v>0</v>
      </c>
      <c r="I709">
        <v>1.333333333333333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 s="1">
        <v>8</v>
      </c>
      <c r="AJ709" t="s">
        <v>154</v>
      </c>
      <c r="AK709" t="s">
        <v>153</v>
      </c>
      <c r="AL709" t="s">
        <v>5</v>
      </c>
      <c r="AN709">
        <v>0</v>
      </c>
      <c r="AO709">
        <v>0</v>
      </c>
      <c r="AP709">
        <v>0</v>
      </c>
      <c r="AQ709">
        <v>120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f>(I709+J709+N709+O709)/4</f>
        <v>0.33333333333333326</v>
      </c>
      <c r="BR709">
        <f>(K709+L709+M709)/3</f>
        <v>0</v>
      </c>
      <c r="BS709">
        <v>0</v>
      </c>
      <c r="BT709">
        <f>AQ709/I709</f>
        <v>90.000000000000014</v>
      </c>
      <c r="BU709" t="str">
        <f>IF(OR(A709=2, A709=12), "Central", IF(A709=3, "Semi-Central", "Periférica"))</f>
        <v>Periférica</v>
      </c>
    </row>
    <row r="710" spans="1:73" x14ac:dyDescent="0.3">
      <c r="A710" s="1">
        <v>8</v>
      </c>
      <c r="B710" t="s">
        <v>154</v>
      </c>
      <c r="C710" t="s">
        <v>153</v>
      </c>
      <c r="D710" t="s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 s="1">
        <v>8</v>
      </c>
      <c r="AJ710" t="s">
        <v>154</v>
      </c>
      <c r="AK710" t="s">
        <v>153</v>
      </c>
      <c r="AL710" t="s">
        <v>1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f>(I710+J710+N710+O710)/4</f>
        <v>0</v>
      </c>
      <c r="BR710">
        <f>(K710+L710+M710)/3</f>
        <v>0</v>
      </c>
      <c r="BS710">
        <v>0</v>
      </c>
      <c r="BT710">
        <v>0</v>
      </c>
      <c r="BU710" t="str">
        <f>IF(OR(A710=2, A710=12), "Central", IF(A710=3, "Semi-Central", "Periférica"))</f>
        <v>Periférica</v>
      </c>
    </row>
    <row r="711" spans="1:73" x14ac:dyDescent="0.3">
      <c r="A711" s="1">
        <v>8</v>
      </c>
      <c r="B711" s="1">
        <v>837</v>
      </c>
      <c r="C711" t="s">
        <v>152</v>
      </c>
      <c r="D711" t="s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 s="1">
        <v>8</v>
      </c>
      <c r="AJ711" s="1">
        <v>837</v>
      </c>
      <c r="AK711" t="s">
        <v>152</v>
      </c>
      <c r="AL711" t="s">
        <v>1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f>(I711+J711+N711+O711)/4</f>
        <v>0</v>
      </c>
      <c r="BR711">
        <f>(K711+L711+M711)/3</f>
        <v>0</v>
      </c>
      <c r="BS711">
        <v>0</v>
      </c>
      <c r="BT711">
        <v>0</v>
      </c>
      <c r="BU711" t="str">
        <f>IF(OR(A711=2, A711=12), "Central", IF(A711=3, "Semi-Central", "Periférica"))</f>
        <v>Periférica</v>
      </c>
    </row>
    <row r="712" spans="1:73" x14ac:dyDescent="0.3">
      <c r="A712" s="1">
        <v>9</v>
      </c>
      <c r="B712" s="1">
        <v>902</v>
      </c>
      <c r="C712" s="1" t="s">
        <v>151</v>
      </c>
      <c r="D712" t="s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 s="1">
        <v>9</v>
      </c>
      <c r="AJ712" s="1">
        <v>902</v>
      </c>
      <c r="AK712" s="1" t="s">
        <v>151</v>
      </c>
      <c r="AL712" t="s">
        <v>1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f>(I712+J712+N712+O712)/4</f>
        <v>0</v>
      </c>
      <c r="BR712">
        <f>(K712+L712+M712)/3</f>
        <v>0</v>
      </c>
      <c r="BS712">
        <v>0</v>
      </c>
      <c r="BT712">
        <v>0</v>
      </c>
      <c r="BU712" t="str">
        <f>IF(OR(A712=2, A712=12), "Central", IF(A712=3, "Semi-Central", "Periférica"))</f>
        <v>Periférica</v>
      </c>
    </row>
    <row r="713" spans="1:73" x14ac:dyDescent="0.3">
      <c r="A713" s="1">
        <v>9</v>
      </c>
      <c r="B713" s="1" t="s">
        <v>150</v>
      </c>
      <c r="C713" s="1" t="s">
        <v>149</v>
      </c>
      <c r="D713" t="s">
        <v>5</v>
      </c>
      <c r="F713">
        <v>2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2</v>
      </c>
      <c r="R713">
        <v>2</v>
      </c>
      <c r="S713">
        <v>2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2</v>
      </c>
      <c r="AA713">
        <v>2</v>
      </c>
      <c r="AB713">
        <v>2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 s="1">
        <v>9</v>
      </c>
      <c r="AJ713" s="1" t="s">
        <v>150</v>
      </c>
      <c r="AK713" s="1" t="s">
        <v>149</v>
      </c>
      <c r="AL713" t="s">
        <v>5</v>
      </c>
      <c r="AN713">
        <v>180</v>
      </c>
      <c r="AO713">
        <v>180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180</v>
      </c>
      <c r="AZ713">
        <v>180</v>
      </c>
      <c r="BA713">
        <v>180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180</v>
      </c>
      <c r="BI713">
        <v>180</v>
      </c>
      <c r="BJ713">
        <v>180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90</v>
      </c>
      <c r="BQ713">
        <f>(I713+J713+N713+O713)/4</f>
        <v>0</v>
      </c>
      <c r="BR713">
        <f>(K713+L713+M713)/3</f>
        <v>0</v>
      </c>
      <c r="BS713">
        <v>0</v>
      </c>
      <c r="BT713">
        <v>0</v>
      </c>
      <c r="BU713" t="str">
        <f>IF(OR(A713=2, A713=12), "Central", IF(A713=3, "Semi-Central", "Periférica"))</f>
        <v>Periférica</v>
      </c>
    </row>
    <row r="714" spans="1:73" x14ac:dyDescent="0.3">
      <c r="A714" s="1">
        <v>9</v>
      </c>
      <c r="B714" s="1" t="s">
        <v>150</v>
      </c>
      <c r="C714" s="1" t="s">
        <v>149</v>
      </c>
      <c r="D714" t="s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 s="1">
        <v>9</v>
      </c>
      <c r="AJ714" s="1" t="s">
        <v>150</v>
      </c>
      <c r="AK714" s="1" t="s">
        <v>149</v>
      </c>
      <c r="AL714" t="s">
        <v>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f>(I714+J714+N714+O714)/4</f>
        <v>0</v>
      </c>
      <c r="BR714">
        <f>(K714+L714+M714)/3</f>
        <v>0</v>
      </c>
      <c r="BS714">
        <v>0</v>
      </c>
      <c r="BT714">
        <v>0</v>
      </c>
      <c r="BU714" t="str">
        <f>IF(OR(A714=2, A714=12), "Central", IF(A714=3, "Semi-Central", "Periférica"))</f>
        <v>Periférica</v>
      </c>
    </row>
    <row r="715" spans="1:73" x14ac:dyDescent="0.3">
      <c r="A715" s="1">
        <v>9</v>
      </c>
      <c r="B715" s="1">
        <v>904</v>
      </c>
      <c r="C715" s="1" t="s">
        <v>148</v>
      </c>
      <c r="D715" t="s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 s="1">
        <v>9</v>
      </c>
      <c r="AJ715" s="1">
        <v>904</v>
      </c>
      <c r="AK715" s="1" t="s">
        <v>148</v>
      </c>
      <c r="AL715" t="s">
        <v>1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f>(I715+J715+N715+O715)/4</f>
        <v>0</v>
      </c>
      <c r="BR715">
        <f>(K715+L715+M715)/3</f>
        <v>0</v>
      </c>
      <c r="BS715">
        <v>0</v>
      </c>
      <c r="BT715">
        <v>0</v>
      </c>
      <c r="BU715" t="str">
        <f>IF(OR(A715=2, A715=12), "Central", IF(A715=3, "Semi-Central", "Periférica"))</f>
        <v>Periférica</v>
      </c>
    </row>
    <row r="716" spans="1:73" x14ac:dyDescent="0.3">
      <c r="A716" s="1">
        <v>9</v>
      </c>
      <c r="B716" s="1">
        <v>919</v>
      </c>
      <c r="C716" s="1" t="s">
        <v>147</v>
      </c>
      <c r="D716" t="s">
        <v>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 s="1">
        <v>9</v>
      </c>
      <c r="AJ716" s="1">
        <v>919</v>
      </c>
      <c r="AK716" s="1" t="s">
        <v>147</v>
      </c>
      <c r="AL716" t="s">
        <v>5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f>(I716+J716+N716+O716)/4</f>
        <v>0</v>
      </c>
      <c r="BR716">
        <f>(K716+L716+M716)/3</f>
        <v>0</v>
      </c>
      <c r="BS716">
        <v>0</v>
      </c>
      <c r="BT716">
        <v>0</v>
      </c>
      <c r="BU716" t="str">
        <f>IF(OR(A716=2, A716=12), "Central", IF(A716=3, "Semi-Central", "Periférica"))</f>
        <v>Periférica</v>
      </c>
    </row>
    <row r="717" spans="1:73" x14ac:dyDescent="0.3">
      <c r="A717" s="1">
        <v>9</v>
      </c>
      <c r="B717" s="1">
        <v>933</v>
      </c>
      <c r="C717" s="1" t="s">
        <v>146</v>
      </c>
      <c r="D717" t="s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 s="1">
        <v>9</v>
      </c>
      <c r="AJ717" s="1">
        <v>933</v>
      </c>
      <c r="AK717" s="1" t="s">
        <v>146</v>
      </c>
      <c r="AL717" t="s">
        <v>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f>(I717+J717+N717+O717)/4</f>
        <v>0</v>
      </c>
      <c r="BR717">
        <f>(K717+L717+M717)/3</f>
        <v>0</v>
      </c>
      <c r="BS717">
        <v>0</v>
      </c>
      <c r="BT717">
        <v>0</v>
      </c>
      <c r="BU717" t="str">
        <f>IF(OR(A717=2, A717=12), "Central", IF(A717=3, "Semi-Central", "Periférica"))</f>
        <v>Periférica</v>
      </c>
    </row>
    <row r="718" spans="1:73" x14ac:dyDescent="0.3">
      <c r="A718" s="1">
        <v>9</v>
      </c>
      <c r="B718" s="1">
        <v>922</v>
      </c>
      <c r="C718" s="1" t="s">
        <v>145</v>
      </c>
      <c r="D718" t="s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 s="1">
        <v>9</v>
      </c>
      <c r="AJ718" s="1">
        <v>922</v>
      </c>
      <c r="AK718" s="1" t="s">
        <v>145</v>
      </c>
      <c r="AL718" t="s">
        <v>1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f>(I718+J718+N718+O718)/4</f>
        <v>0</v>
      </c>
      <c r="BR718">
        <f>(K718+L718+M718)/3</f>
        <v>0</v>
      </c>
      <c r="BS718">
        <v>0</v>
      </c>
      <c r="BT718">
        <v>0</v>
      </c>
      <c r="BU718" t="str">
        <f>IF(OR(A718=2, A718=12), "Central", IF(A718=3, "Semi-Central", "Periférica"))</f>
        <v>Periférica</v>
      </c>
    </row>
    <row r="719" spans="1:73" x14ac:dyDescent="0.3">
      <c r="A719" s="1">
        <v>9</v>
      </c>
      <c r="B719" s="1" t="s">
        <v>144</v>
      </c>
      <c r="C719" s="1" t="s">
        <v>143</v>
      </c>
      <c r="D719" t="s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 s="1">
        <v>9</v>
      </c>
      <c r="AJ719" s="1" t="s">
        <v>144</v>
      </c>
      <c r="AK719" s="1" t="s">
        <v>143</v>
      </c>
      <c r="AL719" t="s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f>(I719+J719+N719+O719)/4</f>
        <v>0</v>
      </c>
      <c r="BR719">
        <f>(K719+L719+M719)/3</f>
        <v>0</v>
      </c>
      <c r="BS719">
        <v>0</v>
      </c>
      <c r="BT719">
        <v>0</v>
      </c>
      <c r="BU719" t="str">
        <f>IF(OR(A719=2, A719=12), "Central", IF(A719=3, "Semi-Central", "Periférica"))</f>
        <v>Periférica</v>
      </c>
    </row>
    <row r="720" spans="1:73" x14ac:dyDescent="0.3">
      <c r="A720" s="1">
        <v>9</v>
      </c>
      <c r="B720" s="1" t="s">
        <v>142</v>
      </c>
      <c r="C720" s="1" t="s">
        <v>141</v>
      </c>
      <c r="D720" t="s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 s="1">
        <v>9</v>
      </c>
      <c r="AJ720" s="1" t="s">
        <v>142</v>
      </c>
      <c r="AK720" s="1" t="s">
        <v>141</v>
      </c>
      <c r="AL720" t="s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f>(I720+J720+N720+O720)/4</f>
        <v>0</v>
      </c>
      <c r="BR720">
        <f>(K720+L720+M720)/3</f>
        <v>0</v>
      </c>
      <c r="BS720">
        <v>0</v>
      </c>
      <c r="BT720">
        <v>0</v>
      </c>
      <c r="BU720" t="str">
        <f>IF(OR(A720=2, A720=12), "Central", IF(A720=3, "Semi-Central", "Periférica"))</f>
        <v>Periférica</v>
      </c>
    </row>
    <row r="721" spans="1:73" x14ac:dyDescent="0.3">
      <c r="A721" s="1">
        <v>9</v>
      </c>
      <c r="B721" s="1" t="s">
        <v>140</v>
      </c>
      <c r="C721" s="1" t="s">
        <v>139</v>
      </c>
      <c r="D721" t="s">
        <v>5</v>
      </c>
      <c r="F721">
        <v>0</v>
      </c>
      <c r="G721">
        <v>0</v>
      </c>
      <c r="H721">
        <v>7</v>
      </c>
      <c r="I721">
        <v>6.666666666666667</v>
      </c>
      <c r="J721">
        <v>4.666666666666667</v>
      </c>
      <c r="K721">
        <v>0</v>
      </c>
      <c r="L721">
        <v>0</v>
      </c>
      <c r="M721">
        <v>0</v>
      </c>
      <c r="N721">
        <v>4</v>
      </c>
      <c r="O721">
        <v>3.5</v>
      </c>
      <c r="P721">
        <v>0.66666666666666663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 s="1">
        <v>9</v>
      </c>
      <c r="AJ721" s="1" t="s">
        <v>140</v>
      </c>
      <c r="AK721" s="1" t="s">
        <v>139</v>
      </c>
      <c r="AL721" t="s">
        <v>5</v>
      </c>
      <c r="AN721">
        <v>0</v>
      </c>
      <c r="AO721">
        <v>0</v>
      </c>
      <c r="AP721">
        <v>630</v>
      </c>
      <c r="AQ721">
        <v>600</v>
      </c>
      <c r="AR721">
        <v>420</v>
      </c>
      <c r="AS721">
        <v>0</v>
      </c>
      <c r="AT721">
        <v>0</v>
      </c>
      <c r="AU721">
        <v>0</v>
      </c>
      <c r="AV721">
        <v>360</v>
      </c>
      <c r="AW721">
        <v>315</v>
      </c>
      <c r="AX721">
        <v>60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f>(I721+J721+N721+O721)/4</f>
        <v>4.7083333333333339</v>
      </c>
      <c r="BR721">
        <f>(K721+L721+M721)/3</f>
        <v>0</v>
      </c>
      <c r="BS721">
        <v>0</v>
      </c>
      <c r="BT721">
        <f>AQ721/I721</f>
        <v>90</v>
      </c>
      <c r="BU721" t="str">
        <f>IF(OR(A721=2, A721=12), "Central", IF(A721=3, "Semi-Central", "Periférica"))</f>
        <v>Periférica</v>
      </c>
    </row>
    <row r="722" spans="1:73" x14ac:dyDescent="0.3">
      <c r="A722" s="1">
        <v>9</v>
      </c>
      <c r="B722" s="1" t="s">
        <v>138</v>
      </c>
      <c r="C722" s="1" t="s">
        <v>137</v>
      </c>
      <c r="D722" t="s">
        <v>5</v>
      </c>
      <c r="F722">
        <v>2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2</v>
      </c>
      <c r="S722">
        <v>2</v>
      </c>
      <c r="T722">
        <v>2</v>
      </c>
      <c r="U722">
        <v>0.4</v>
      </c>
      <c r="V722">
        <v>0</v>
      </c>
      <c r="W722">
        <v>0</v>
      </c>
      <c r="X722">
        <v>0</v>
      </c>
      <c r="Y722">
        <v>0.4</v>
      </c>
      <c r="Z722">
        <v>2</v>
      </c>
      <c r="AA722">
        <v>2</v>
      </c>
      <c r="AB722">
        <v>2</v>
      </c>
      <c r="AC722">
        <v>2</v>
      </c>
      <c r="AD722">
        <v>0.1818181818181818</v>
      </c>
      <c r="AE722">
        <v>0</v>
      </c>
      <c r="AF722">
        <v>0</v>
      </c>
      <c r="AG722">
        <v>0</v>
      </c>
      <c r="AH722">
        <v>1.5</v>
      </c>
      <c r="AI722" s="1">
        <v>9</v>
      </c>
      <c r="AJ722" s="1" t="s">
        <v>138</v>
      </c>
      <c r="AK722" s="1" t="s">
        <v>137</v>
      </c>
      <c r="AL722" t="s">
        <v>5</v>
      </c>
      <c r="AN722">
        <v>180</v>
      </c>
      <c r="AO722">
        <v>180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90</v>
      </c>
      <c r="AZ722">
        <v>180</v>
      </c>
      <c r="BA722">
        <v>180</v>
      </c>
      <c r="BB722">
        <v>180</v>
      </c>
      <c r="BC722">
        <v>36</v>
      </c>
      <c r="BD722">
        <v>0</v>
      </c>
      <c r="BE722">
        <v>0</v>
      </c>
      <c r="BF722">
        <v>0</v>
      </c>
      <c r="BG722">
        <v>36</v>
      </c>
      <c r="BH722">
        <v>180</v>
      </c>
      <c r="BI722">
        <v>180</v>
      </c>
      <c r="BJ722">
        <v>180</v>
      </c>
      <c r="BK722">
        <v>180</v>
      </c>
      <c r="BL722">
        <v>16.36363636363636</v>
      </c>
      <c r="BM722">
        <v>0</v>
      </c>
      <c r="BN722">
        <v>0</v>
      </c>
      <c r="BO722">
        <v>0</v>
      </c>
      <c r="BP722">
        <v>135</v>
      </c>
      <c r="BQ722">
        <f>(I722+J722+N722+O722)/4</f>
        <v>0</v>
      </c>
      <c r="BR722">
        <f>(K722+L722+M722)/3</f>
        <v>0</v>
      </c>
      <c r="BS722">
        <v>0</v>
      </c>
      <c r="BT722">
        <v>0</v>
      </c>
      <c r="BU722" t="str">
        <f>IF(OR(A722=2, A722=12), "Central", IF(A722=3, "Semi-Central", "Periférica"))</f>
        <v>Periférica</v>
      </c>
    </row>
    <row r="723" spans="1:73" x14ac:dyDescent="0.3">
      <c r="A723" s="1">
        <v>9</v>
      </c>
      <c r="B723" s="1" t="s">
        <v>138</v>
      </c>
      <c r="C723" s="1" t="s">
        <v>137</v>
      </c>
      <c r="D723" t="s">
        <v>1</v>
      </c>
      <c r="F723">
        <v>2</v>
      </c>
      <c r="G723">
        <v>2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2</v>
      </c>
      <c r="S723">
        <v>2</v>
      </c>
      <c r="T723">
        <v>2</v>
      </c>
      <c r="U723">
        <v>0.8</v>
      </c>
      <c r="V723">
        <v>0</v>
      </c>
      <c r="W723">
        <v>0</v>
      </c>
      <c r="X723">
        <v>0</v>
      </c>
      <c r="Y723">
        <v>0</v>
      </c>
      <c r="Z723">
        <v>1</v>
      </c>
      <c r="AA723">
        <v>2</v>
      </c>
      <c r="AB723">
        <v>2</v>
      </c>
      <c r="AC723">
        <v>2</v>
      </c>
      <c r="AD723">
        <v>0.36363636363636359</v>
      </c>
      <c r="AE723">
        <v>0</v>
      </c>
      <c r="AF723">
        <v>0</v>
      </c>
      <c r="AG723">
        <v>0</v>
      </c>
      <c r="AH723">
        <v>0</v>
      </c>
      <c r="AI723" s="1">
        <v>9</v>
      </c>
      <c r="AJ723" s="1" t="s">
        <v>138</v>
      </c>
      <c r="AK723" s="1" t="s">
        <v>137</v>
      </c>
      <c r="AL723" t="s">
        <v>1</v>
      </c>
      <c r="AN723">
        <v>180</v>
      </c>
      <c r="AO723">
        <v>180</v>
      </c>
      <c r="AP723">
        <v>90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90</v>
      </c>
      <c r="AZ723">
        <v>180</v>
      </c>
      <c r="BA723">
        <v>180</v>
      </c>
      <c r="BB723">
        <v>180</v>
      </c>
      <c r="BC723">
        <v>72</v>
      </c>
      <c r="BD723">
        <v>0</v>
      </c>
      <c r="BE723">
        <v>0</v>
      </c>
      <c r="BF723">
        <v>0</v>
      </c>
      <c r="BG723">
        <v>0</v>
      </c>
      <c r="BH723">
        <v>90</v>
      </c>
      <c r="BI723">
        <v>180</v>
      </c>
      <c r="BJ723">
        <v>180</v>
      </c>
      <c r="BK723">
        <v>180</v>
      </c>
      <c r="BL723">
        <v>32.727272727272727</v>
      </c>
      <c r="BM723">
        <v>0</v>
      </c>
      <c r="BN723">
        <v>0</v>
      </c>
      <c r="BO723">
        <v>0</v>
      </c>
      <c r="BP723">
        <v>0</v>
      </c>
      <c r="BQ723">
        <f>(I723+J723+N723+O723)/4</f>
        <v>0</v>
      </c>
      <c r="BR723">
        <f>(K723+L723+M723)/3</f>
        <v>0</v>
      </c>
      <c r="BS723">
        <v>0</v>
      </c>
      <c r="BT723">
        <v>0</v>
      </c>
      <c r="BU723" t="str">
        <f>IF(OR(A723=2, A723=12), "Central", IF(A723=3, "Semi-Central", "Periférica"))</f>
        <v>Periférica</v>
      </c>
    </row>
    <row r="724" spans="1:73" x14ac:dyDescent="0.3">
      <c r="A724" s="1">
        <v>10</v>
      </c>
      <c r="B724" s="1">
        <v>1016</v>
      </c>
      <c r="C724" s="1">
        <v>116</v>
      </c>
      <c r="D724" t="s">
        <v>1</v>
      </c>
      <c r="E724" t="s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 s="1">
        <v>10</v>
      </c>
      <c r="AJ724" s="1">
        <v>1016</v>
      </c>
      <c r="AK724" s="1">
        <v>116</v>
      </c>
      <c r="AL724" t="s">
        <v>1</v>
      </c>
      <c r="AM724" t="s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f>(I724+J724+N724+O724)/4</f>
        <v>0</v>
      </c>
      <c r="BR724">
        <f>(K724+L724+M724)/3</f>
        <v>0</v>
      </c>
      <c r="BS724">
        <v>0</v>
      </c>
      <c r="BT724">
        <v>0</v>
      </c>
      <c r="BU724" t="str">
        <f>IF(OR(A724=2, A724=12), "Central", IF(A724=3, "Semi-Central", "Periférica"))</f>
        <v>Periférica</v>
      </c>
    </row>
    <row r="725" spans="1:73" x14ac:dyDescent="0.3">
      <c r="A725" s="1">
        <v>10</v>
      </c>
      <c r="B725" s="1">
        <v>1022</v>
      </c>
      <c r="C725" s="1" t="s">
        <v>136</v>
      </c>
      <c r="D725" t="s">
        <v>1</v>
      </c>
      <c r="E725" t="s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s="1">
        <v>10</v>
      </c>
      <c r="AJ725" s="1">
        <v>1022</v>
      </c>
      <c r="AK725" s="1" t="s">
        <v>136</v>
      </c>
      <c r="AL725" t="s">
        <v>1</v>
      </c>
      <c r="AM725" t="s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f>(I725+J725+N725+O725)/4</f>
        <v>0</v>
      </c>
      <c r="BR725">
        <f>(K725+L725+M725)/3</f>
        <v>0</v>
      </c>
      <c r="BS725">
        <v>0</v>
      </c>
      <c r="BT725">
        <v>0</v>
      </c>
      <c r="BU725" t="str">
        <f>IF(OR(A725=2, A725=12), "Central", IF(A725=3, "Semi-Central", "Periférica"))</f>
        <v>Periférica</v>
      </c>
    </row>
    <row r="726" spans="1:73" x14ac:dyDescent="0.3">
      <c r="A726" s="1">
        <v>10</v>
      </c>
      <c r="B726" s="1">
        <v>1024</v>
      </c>
      <c r="C726" s="1" t="s">
        <v>135</v>
      </c>
      <c r="D726" t="s">
        <v>1</v>
      </c>
      <c r="E726" t="s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s="1">
        <v>10</v>
      </c>
      <c r="AJ726" s="1">
        <v>1024</v>
      </c>
      <c r="AK726" s="1" t="s">
        <v>135</v>
      </c>
      <c r="AL726" t="s">
        <v>1</v>
      </c>
      <c r="AM726" t="s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f>(I726+J726+N726+O726)/4</f>
        <v>0</v>
      </c>
      <c r="BR726">
        <f>(K726+L726+M726)/3</f>
        <v>0</v>
      </c>
      <c r="BS726">
        <v>0</v>
      </c>
      <c r="BT726">
        <v>0</v>
      </c>
      <c r="BU726" t="str">
        <f>IF(OR(A726=2, A726=12), "Central", IF(A726=3, "Semi-Central", "Periférica"))</f>
        <v>Periférica</v>
      </c>
    </row>
    <row r="727" spans="1:73" x14ac:dyDescent="0.3">
      <c r="A727" s="1">
        <v>10</v>
      </c>
      <c r="B727" s="1" t="s">
        <v>134</v>
      </c>
      <c r="C727" s="1" t="s">
        <v>133</v>
      </c>
      <c r="D727" t="s">
        <v>5</v>
      </c>
      <c r="E727" t="s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 s="1">
        <v>10</v>
      </c>
      <c r="AJ727" s="1" t="s">
        <v>134</v>
      </c>
      <c r="AK727" s="1" t="s">
        <v>133</v>
      </c>
      <c r="AL727" t="s">
        <v>5</v>
      </c>
      <c r="AM727" t="s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f>(I727+J727+N727+O727)/4</f>
        <v>0</v>
      </c>
      <c r="BR727">
        <f>(K727+L727+M727)/3</f>
        <v>0</v>
      </c>
      <c r="BS727">
        <v>0</v>
      </c>
      <c r="BT727">
        <v>0</v>
      </c>
      <c r="BU727" t="str">
        <f>IF(OR(A727=2, A727=12), "Central", IF(A727=3, "Semi-Central", "Periférica"))</f>
        <v>Periférica</v>
      </c>
    </row>
    <row r="728" spans="1:73" x14ac:dyDescent="0.3">
      <c r="A728" s="1">
        <v>10</v>
      </c>
      <c r="B728" s="1" t="s">
        <v>134</v>
      </c>
      <c r="C728" s="1" t="s">
        <v>133</v>
      </c>
      <c r="D728" t="s">
        <v>1</v>
      </c>
      <c r="E728" t="s">
        <v>0</v>
      </c>
      <c r="F728">
        <v>0</v>
      </c>
      <c r="G728">
        <v>0.44444444444444442</v>
      </c>
      <c r="H728">
        <v>6</v>
      </c>
      <c r="I728">
        <v>8</v>
      </c>
      <c r="J728">
        <v>4.666666666666667</v>
      </c>
      <c r="K728">
        <v>0</v>
      </c>
      <c r="L728">
        <v>0</v>
      </c>
      <c r="M728">
        <v>0</v>
      </c>
      <c r="N728">
        <v>3.5</v>
      </c>
      <c r="O728">
        <v>6.5</v>
      </c>
      <c r="P728">
        <v>4</v>
      </c>
      <c r="Q728">
        <v>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 s="1">
        <v>10</v>
      </c>
      <c r="AJ728" s="1" t="s">
        <v>134</v>
      </c>
      <c r="AK728" s="1" t="s">
        <v>133</v>
      </c>
      <c r="AL728" t="s">
        <v>1</v>
      </c>
      <c r="AM728" t="s">
        <v>0</v>
      </c>
      <c r="AN728">
        <v>0</v>
      </c>
      <c r="AO728">
        <v>40</v>
      </c>
      <c r="AP728">
        <v>540</v>
      </c>
      <c r="AQ728">
        <v>720</v>
      </c>
      <c r="AR728">
        <v>420</v>
      </c>
      <c r="AS728">
        <v>0</v>
      </c>
      <c r="AT728">
        <v>0</v>
      </c>
      <c r="AU728">
        <v>0</v>
      </c>
      <c r="AV728">
        <v>315</v>
      </c>
      <c r="AW728">
        <v>585</v>
      </c>
      <c r="AX728">
        <v>360</v>
      </c>
      <c r="AY728">
        <v>180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f>(I728+J728+N728+O728)/4</f>
        <v>5.666666666666667</v>
      </c>
      <c r="BR728">
        <f>(K728+L728+M728)/3</f>
        <v>0</v>
      </c>
      <c r="BS728">
        <v>0</v>
      </c>
      <c r="BT728">
        <f>AQ728/I728</f>
        <v>90</v>
      </c>
      <c r="BU728" t="str">
        <f>IF(OR(A728=2, A728=12), "Central", IF(A728=3, "Semi-Central", "Periférica"))</f>
        <v>Periférica</v>
      </c>
    </row>
    <row r="729" spans="1:73" x14ac:dyDescent="0.3">
      <c r="A729" s="1">
        <v>10</v>
      </c>
      <c r="B729" s="1">
        <v>1041</v>
      </c>
      <c r="C729" s="1" t="s">
        <v>132</v>
      </c>
      <c r="D729" t="s">
        <v>1</v>
      </c>
      <c r="E729" t="s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 s="1">
        <v>10</v>
      </c>
      <c r="AJ729" s="1">
        <v>1041</v>
      </c>
      <c r="AK729" s="1" t="s">
        <v>132</v>
      </c>
      <c r="AL729" t="s">
        <v>1</v>
      </c>
      <c r="AM729" t="s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f>(I729+J729+N729+O729)/4</f>
        <v>0</v>
      </c>
      <c r="BR729">
        <f>(K729+L729+M729)/3</f>
        <v>0</v>
      </c>
      <c r="BS729">
        <v>0</v>
      </c>
      <c r="BT729">
        <v>0</v>
      </c>
      <c r="BU729" t="str">
        <f>IF(OR(A729=2, A729=12), "Central", IF(A729=3, "Semi-Central", "Periférica"))</f>
        <v>Periférica</v>
      </c>
    </row>
    <row r="730" spans="1:73" x14ac:dyDescent="0.3">
      <c r="A730" s="1">
        <v>10</v>
      </c>
      <c r="B730" s="1">
        <v>1037</v>
      </c>
      <c r="C730" s="1" t="s">
        <v>131</v>
      </c>
      <c r="D730" t="s">
        <v>5</v>
      </c>
      <c r="E730" t="s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 s="1">
        <v>10</v>
      </c>
      <c r="AJ730" s="1">
        <v>1037</v>
      </c>
      <c r="AK730" s="1" t="s">
        <v>131</v>
      </c>
      <c r="AL730" t="s">
        <v>5</v>
      </c>
      <c r="AM730" t="s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f>(I730+J730+N730+O730)/4</f>
        <v>0</v>
      </c>
      <c r="BR730">
        <f>(K730+L730+M730)/3</f>
        <v>0</v>
      </c>
      <c r="BS730">
        <v>0</v>
      </c>
      <c r="BT730">
        <v>0</v>
      </c>
      <c r="BU730" t="str">
        <f>IF(OR(A730=2, A730=12), "Central", IF(A730=3, "Semi-Central", "Periférica"))</f>
        <v>Periférica</v>
      </c>
    </row>
    <row r="731" spans="1:73" x14ac:dyDescent="0.3">
      <c r="A731" s="1">
        <v>10</v>
      </c>
      <c r="B731" s="1">
        <v>1038</v>
      </c>
      <c r="C731" s="1" t="s">
        <v>130</v>
      </c>
      <c r="D731" t="s">
        <v>1</v>
      </c>
      <c r="E731" t="s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 s="1">
        <v>10</v>
      </c>
      <c r="AJ731" s="1">
        <v>1038</v>
      </c>
      <c r="AK731" s="1" t="s">
        <v>130</v>
      </c>
      <c r="AL731" t="s">
        <v>1</v>
      </c>
      <c r="AM731" t="s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f>(I731+J731+N731+O731)/4</f>
        <v>0</v>
      </c>
      <c r="BR731">
        <f>(K731+L731+M731)/3</f>
        <v>0</v>
      </c>
      <c r="BS731">
        <v>0</v>
      </c>
      <c r="BT731">
        <v>0</v>
      </c>
      <c r="BU731" t="str">
        <f>IF(OR(A731=2, A731=12), "Central", IF(A731=3, "Semi-Central", "Periférica"))</f>
        <v>Periférica</v>
      </c>
    </row>
    <row r="732" spans="1:73" x14ac:dyDescent="0.3">
      <c r="A732" s="1">
        <v>10</v>
      </c>
      <c r="B732" s="1">
        <v>1056</v>
      </c>
      <c r="C732" s="1" t="s">
        <v>129</v>
      </c>
      <c r="D732" t="s">
        <v>1</v>
      </c>
      <c r="E732" t="s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 s="1">
        <v>10</v>
      </c>
      <c r="AJ732" s="1">
        <v>1056</v>
      </c>
      <c r="AK732" s="1" t="s">
        <v>129</v>
      </c>
      <c r="AL732" t="s">
        <v>1</v>
      </c>
      <c r="AM732" t="s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f>(I732+J732+N732+O732)/4</f>
        <v>0</v>
      </c>
      <c r="BR732">
        <f>(K732+L732+M732)/3</f>
        <v>0</v>
      </c>
      <c r="BS732">
        <v>0</v>
      </c>
      <c r="BT732">
        <v>0</v>
      </c>
      <c r="BU732" t="str">
        <f>IF(OR(A732=2, A732=12), "Central", IF(A732=3, "Semi-Central", "Periférica"))</f>
        <v>Periférica</v>
      </c>
    </row>
    <row r="733" spans="1:73" x14ac:dyDescent="0.3">
      <c r="A733" s="1">
        <v>10</v>
      </c>
      <c r="B733" s="1">
        <v>1057</v>
      </c>
      <c r="C733" s="1" t="s">
        <v>125</v>
      </c>
      <c r="D733" t="s">
        <v>1</v>
      </c>
      <c r="E733" t="s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 s="1">
        <v>10</v>
      </c>
      <c r="AJ733" s="1">
        <v>1057</v>
      </c>
      <c r="AK733" s="1" t="s">
        <v>125</v>
      </c>
      <c r="AL733" t="s">
        <v>1</v>
      </c>
      <c r="AM733" t="s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f>(I733+J733+N733+O733)/4</f>
        <v>0</v>
      </c>
      <c r="BR733">
        <f>(K733+L733+M733)/3</f>
        <v>0</v>
      </c>
      <c r="BS733">
        <v>0</v>
      </c>
      <c r="BT733">
        <v>0</v>
      </c>
      <c r="BU733" t="str">
        <f>IF(OR(A733=2, A733=12), "Central", IF(A733=3, "Semi-Central", "Periférica"))</f>
        <v>Periférica</v>
      </c>
    </row>
    <row r="734" spans="1:73" x14ac:dyDescent="0.3">
      <c r="A734" s="1">
        <v>10</v>
      </c>
      <c r="B734" s="1" t="s">
        <v>128</v>
      </c>
      <c r="C734" s="1" t="s">
        <v>127</v>
      </c>
      <c r="D734" t="s">
        <v>5</v>
      </c>
      <c r="E734" t="s">
        <v>0</v>
      </c>
      <c r="F734">
        <v>0</v>
      </c>
      <c r="G734">
        <v>0</v>
      </c>
      <c r="H734">
        <v>5</v>
      </c>
      <c r="I734">
        <v>8</v>
      </c>
      <c r="J734">
        <v>6</v>
      </c>
      <c r="K734">
        <v>0</v>
      </c>
      <c r="L734">
        <v>0</v>
      </c>
      <c r="M734">
        <v>0</v>
      </c>
      <c r="N734">
        <v>3</v>
      </c>
      <c r="O734">
        <v>7</v>
      </c>
      <c r="P734">
        <v>3.333333333333333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 s="1">
        <v>10</v>
      </c>
      <c r="AJ734" s="1" t="s">
        <v>128</v>
      </c>
      <c r="AK734" s="1" t="s">
        <v>127</v>
      </c>
      <c r="AL734" t="s">
        <v>5</v>
      </c>
      <c r="AM734" t="s">
        <v>0</v>
      </c>
      <c r="AN734">
        <v>0</v>
      </c>
      <c r="AO734">
        <v>0</v>
      </c>
      <c r="AP734">
        <v>450</v>
      </c>
      <c r="AQ734">
        <v>720</v>
      </c>
      <c r="AR734">
        <v>540</v>
      </c>
      <c r="AS734">
        <v>0</v>
      </c>
      <c r="AT734">
        <v>0</v>
      </c>
      <c r="AU734">
        <v>0</v>
      </c>
      <c r="AV734">
        <v>270</v>
      </c>
      <c r="AW734">
        <v>630</v>
      </c>
      <c r="AX734">
        <v>300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f>(I734+J734+N734+O734)/4</f>
        <v>6</v>
      </c>
      <c r="BR734">
        <f>(K734+L734+M734)/3</f>
        <v>0</v>
      </c>
      <c r="BS734">
        <v>0</v>
      </c>
      <c r="BT734">
        <f>AQ734/I734</f>
        <v>90</v>
      </c>
      <c r="BU734" t="str">
        <f>IF(OR(A734=2, A734=12), "Central", IF(A734=3, "Semi-Central", "Periférica"))</f>
        <v>Periférica</v>
      </c>
    </row>
    <row r="735" spans="1:73" x14ac:dyDescent="0.3">
      <c r="A735" s="1">
        <v>10</v>
      </c>
      <c r="B735" s="1" t="s">
        <v>128</v>
      </c>
      <c r="C735" s="1" t="s">
        <v>127</v>
      </c>
      <c r="D735" t="s">
        <v>1</v>
      </c>
      <c r="E735" t="s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 s="1">
        <v>10</v>
      </c>
      <c r="AJ735" s="1" t="s">
        <v>128</v>
      </c>
      <c r="AK735" s="1" t="s">
        <v>127</v>
      </c>
      <c r="AL735" t="s">
        <v>1</v>
      </c>
      <c r="AM735" t="s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f>(I735+J735+N735+O735)/4</f>
        <v>0</v>
      </c>
      <c r="BR735">
        <f>(K735+L735+M735)/3</f>
        <v>0</v>
      </c>
      <c r="BS735">
        <v>0</v>
      </c>
      <c r="BT735">
        <v>0</v>
      </c>
      <c r="BU735" t="str">
        <f>IF(OR(A735=2, A735=12), "Central", IF(A735=3, "Semi-Central", "Periférica"))</f>
        <v>Periférica</v>
      </c>
    </row>
    <row r="736" spans="1:73" x14ac:dyDescent="0.3">
      <c r="A736" s="1">
        <v>10</v>
      </c>
      <c r="B736" s="1" t="s">
        <v>126</v>
      </c>
      <c r="C736" s="1" t="s">
        <v>125</v>
      </c>
      <c r="D736" t="s">
        <v>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0.5</v>
      </c>
      <c r="O736">
        <v>0.5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s="1">
        <v>10</v>
      </c>
      <c r="AJ736" s="1" t="s">
        <v>126</v>
      </c>
      <c r="AK736" s="1" t="s">
        <v>125</v>
      </c>
      <c r="AL736" t="s">
        <v>5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30</v>
      </c>
      <c r="AW736">
        <v>30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f>(I736+J736+N736+O736)/4</f>
        <v>0.25</v>
      </c>
      <c r="BR736">
        <f>(K736+L736+M736)/3</f>
        <v>0</v>
      </c>
      <c r="BS736">
        <v>0</v>
      </c>
      <c r="BT736">
        <v>0</v>
      </c>
      <c r="BU736" t="str">
        <f>IF(OR(A736=2, A736=12), "Central", IF(A736=3, "Semi-Central", "Periférica"))</f>
        <v>Periférica</v>
      </c>
    </row>
    <row r="737" spans="1:73" x14ac:dyDescent="0.3">
      <c r="A737" s="1">
        <v>10</v>
      </c>
      <c r="B737" s="1" t="s">
        <v>126</v>
      </c>
      <c r="C737" s="1" t="s">
        <v>125</v>
      </c>
      <c r="D737" t="s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 s="1">
        <v>10</v>
      </c>
      <c r="AJ737" s="1" t="s">
        <v>126</v>
      </c>
      <c r="AK737" s="1" t="s">
        <v>125</v>
      </c>
      <c r="AL737" t="s">
        <v>1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f>(I737+J737+N737+O737)/4</f>
        <v>0</v>
      </c>
      <c r="BR737">
        <f>(K737+L737+M737)/3</f>
        <v>0</v>
      </c>
      <c r="BS737">
        <v>0</v>
      </c>
      <c r="BT737">
        <v>0</v>
      </c>
      <c r="BU737" t="str">
        <f>IF(OR(A737=2, A737=12), "Central", IF(A737=3, "Semi-Central", "Periférica"))</f>
        <v>Periférica</v>
      </c>
    </row>
    <row r="738" spans="1:73" x14ac:dyDescent="0.3">
      <c r="A738" s="1">
        <v>10</v>
      </c>
      <c r="B738" s="1" t="s">
        <v>124</v>
      </c>
      <c r="C738" s="1" t="s">
        <v>123</v>
      </c>
      <c r="D738" t="s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 s="1">
        <v>10</v>
      </c>
      <c r="AJ738" s="1" t="s">
        <v>124</v>
      </c>
      <c r="AK738" s="1" t="s">
        <v>123</v>
      </c>
      <c r="AL738" t="s">
        <v>1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f>(I738+J738+N738+O738)/4</f>
        <v>0</v>
      </c>
      <c r="BR738">
        <f>(K738+L738+M738)/3</f>
        <v>0</v>
      </c>
      <c r="BS738">
        <v>0</v>
      </c>
      <c r="BT738">
        <v>0</v>
      </c>
      <c r="BU738" t="str">
        <f>IF(OR(A738=2, A738=12), "Central", IF(A738=3, "Semi-Central", "Periférica"))</f>
        <v>Periférica</v>
      </c>
    </row>
    <row r="739" spans="1:73" x14ac:dyDescent="0.3">
      <c r="A739" s="1">
        <v>11</v>
      </c>
      <c r="B739" s="1">
        <v>1111</v>
      </c>
      <c r="C739" s="1" t="s">
        <v>122</v>
      </c>
      <c r="D739" t="s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 s="1">
        <v>11</v>
      </c>
      <c r="AJ739" s="1">
        <v>1111</v>
      </c>
      <c r="AK739" s="1" t="s">
        <v>122</v>
      </c>
      <c r="AL739" t="s">
        <v>1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f>(I739+J739+N739+O739)/4</f>
        <v>0</v>
      </c>
      <c r="BR739">
        <f>(K739+L739+M739)/3</f>
        <v>0</v>
      </c>
      <c r="BS739">
        <v>0</v>
      </c>
      <c r="BT739">
        <v>0</v>
      </c>
      <c r="BU739" t="str">
        <f>IF(OR(A739=2, A739=12), "Central", IF(A739=3, "Semi-Central", "Periférica"))</f>
        <v>Periférica</v>
      </c>
    </row>
    <row r="740" spans="1:73" x14ac:dyDescent="0.3">
      <c r="A740" s="1">
        <v>11</v>
      </c>
      <c r="B740" s="1">
        <v>1115</v>
      </c>
      <c r="C740" s="1" t="s">
        <v>121</v>
      </c>
      <c r="D740" t="s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 s="1">
        <v>11</v>
      </c>
      <c r="AJ740" s="1">
        <v>1115</v>
      </c>
      <c r="AK740" s="1" t="s">
        <v>121</v>
      </c>
      <c r="AL740" t="s">
        <v>1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f>(I740+J740+N740+O740)/4</f>
        <v>0</v>
      </c>
      <c r="BR740">
        <f>(K740+L740+M740)/3</f>
        <v>0</v>
      </c>
      <c r="BS740">
        <v>0</v>
      </c>
      <c r="BT740">
        <v>0</v>
      </c>
      <c r="BU740" t="str">
        <f>IF(OR(A740=2, A740=12), "Central", IF(A740=3, "Semi-Central", "Periférica"))</f>
        <v>Periférica</v>
      </c>
    </row>
    <row r="741" spans="1:73" x14ac:dyDescent="0.3">
      <c r="A741" s="1">
        <v>11</v>
      </c>
      <c r="B741" s="1">
        <v>1120</v>
      </c>
      <c r="C741" s="1" t="s">
        <v>120</v>
      </c>
      <c r="D741" t="s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 s="1">
        <v>11</v>
      </c>
      <c r="AJ741" s="1">
        <v>1120</v>
      </c>
      <c r="AK741" s="1" t="s">
        <v>120</v>
      </c>
      <c r="AL741" t="s">
        <v>1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f>(I741+J741+N741+O741)/4</f>
        <v>0</v>
      </c>
      <c r="BR741">
        <f>(K741+L741+M741)/3</f>
        <v>0</v>
      </c>
      <c r="BS741">
        <v>0</v>
      </c>
      <c r="BT741">
        <v>0</v>
      </c>
      <c r="BU741" t="str">
        <f>IF(OR(A741=2, A741=12), "Central", IF(A741=3, "Semi-Central", "Periférica"))</f>
        <v>Periférica</v>
      </c>
    </row>
    <row r="742" spans="1:73" x14ac:dyDescent="0.3">
      <c r="A742" s="1">
        <v>11</v>
      </c>
      <c r="B742" s="1" t="s">
        <v>119</v>
      </c>
      <c r="C742" s="1" t="s">
        <v>118</v>
      </c>
      <c r="D742" t="s">
        <v>5</v>
      </c>
      <c r="F742">
        <v>2</v>
      </c>
      <c r="G742">
        <v>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2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2</v>
      </c>
      <c r="AB742">
        <v>2</v>
      </c>
      <c r="AC742">
        <v>1.5</v>
      </c>
      <c r="AD742">
        <v>0</v>
      </c>
      <c r="AE742">
        <v>0</v>
      </c>
      <c r="AF742">
        <v>0</v>
      </c>
      <c r="AG742">
        <v>0</v>
      </c>
      <c r="AH742">
        <v>1</v>
      </c>
      <c r="AI742" s="1">
        <v>11</v>
      </c>
      <c r="AJ742" s="1" t="s">
        <v>119</v>
      </c>
      <c r="AK742" s="1" t="s">
        <v>118</v>
      </c>
      <c r="AL742" t="s">
        <v>5</v>
      </c>
      <c r="AN742">
        <v>180</v>
      </c>
      <c r="AO742">
        <v>180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90</v>
      </c>
      <c r="AZ742">
        <v>180</v>
      </c>
      <c r="BA742">
        <v>180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90</v>
      </c>
      <c r="BI742">
        <v>180</v>
      </c>
      <c r="BJ742">
        <v>180</v>
      </c>
      <c r="BK742">
        <v>135</v>
      </c>
      <c r="BL742">
        <v>0</v>
      </c>
      <c r="BM742">
        <v>0</v>
      </c>
      <c r="BN742">
        <v>0</v>
      </c>
      <c r="BO742">
        <v>0</v>
      </c>
      <c r="BP742">
        <v>90</v>
      </c>
      <c r="BQ742">
        <f>(I742+J742+N742+O742)/4</f>
        <v>0</v>
      </c>
      <c r="BR742">
        <f>(K742+L742+M742)/3</f>
        <v>0</v>
      </c>
      <c r="BS742">
        <v>0</v>
      </c>
      <c r="BT742">
        <v>0</v>
      </c>
      <c r="BU742" t="str">
        <f>IF(OR(A742=2, A742=12), "Central", IF(A742=3, "Semi-Central", "Periférica"))</f>
        <v>Periférica</v>
      </c>
    </row>
    <row r="743" spans="1:73" x14ac:dyDescent="0.3">
      <c r="A743" s="1">
        <v>11</v>
      </c>
      <c r="B743" s="1" t="s">
        <v>119</v>
      </c>
      <c r="C743" s="1" t="s">
        <v>118</v>
      </c>
      <c r="D743" t="s">
        <v>1</v>
      </c>
      <c r="F743">
        <v>2</v>
      </c>
      <c r="G743">
        <v>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1.5</v>
      </c>
      <c r="R743">
        <v>2</v>
      </c>
      <c r="S743">
        <v>2</v>
      </c>
      <c r="T743">
        <v>2</v>
      </c>
      <c r="U743">
        <v>0.4</v>
      </c>
      <c r="V743">
        <v>0</v>
      </c>
      <c r="W743">
        <v>0</v>
      </c>
      <c r="X743">
        <v>0</v>
      </c>
      <c r="Y743">
        <v>0</v>
      </c>
      <c r="Z743">
        <v>1.5</v>
      </c>
      <c r="AA743">
        <v>2</v>
      </c>
      <c r="AB743">
        <v>2</v>
      </c>
      <c r="AC743">
        <v>2</v>
      </c>
      <c r="AD743">
        <v>0.1818181818181818</v>
      </c>
      <c r="AE743">
        <v>0</v>
      </c>
      <c r="AF743">
        <v>0</v>
      </c>
      <c r="AG743">
        <v>0</v>
      </c>
      <c r="AH743">
        <v>1.5</v>
      </c>
      <c r="AI743" s="1">
        <v>11</v>
      </c>
      <c r="AJ743" s="1" t="s">
        <v>119</v>
      </c>
      <c r="AK743" s="1" t="s">
        <v>118</v>
      </c>
      <c r="AL743" t="s">
        <v>1</v>
      </c>
      <c r="AN743">
        <v>180</v>
      </c>
      <c r="AO743">
        <v>180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135</v>
      </c>
      <c r="AZ743">
        <v>180</v>
      </c>
      <c r="BA743">
        <v>180</v>
      </c>
      <c r="BB743">
        <v>180</v>
      </c>
      <c r="BC743">
        <v>36</v>
      </c>
      <c r="BD743">
        <v>0</v>
      </c>
      <c r="BE743">
        <v>0</v>
      </c>
      <c r="BF743">
        <v>0</v>
      </c>
      <c r="BG743">
        <v>0</v>
      </c>
      <c r="BH743">
        <v>135</v>
      </c>
      <c r="BI743">
        <v>180</v>
      </c>
      <c r="BJ743">
        <v>180</v>
      </c>
      <c r="BK743">
        <v>180</v>
      </c>
      <c r="BL743">
        <v>16.36363636363636</v>
      </c>
      <c r="BM743">
        <v>0</v>
      </c>
      <c r="BN743">
        <v>0</v>
      </c>
      <c r="BO743">
        <v>0</v>
      </c>
      <c r="BP743">
        <v>135</v>
      </c>
      <c r="BQ743">
        <f>(I743+J743+N743+O743)/4</f>
        <v>0</v>
      </c>
      <c r="BR743">
        <f>(K743+L743+M743)/3</f>
        <v>0</v>
      </c>
      <c r="BS743">
        <v>0</v>
      </c>
      <c r="BT743">
        <v>0</v>
      </c>
      <c r="BU743" t="str">
        <f>IF(OR(A743=2, A743=12), "Central", IF(A743=3, "Semi-Central", "Periférica"))</f>
        <v>Periférica</v>
      </c>
    </row>
    <row r="744" spans="1:73" x14ac:dyDescent="0.3">
      <c r="A744" s="1">
        <v>11</v>
      </c>
      <c r="B744" s="1" t="s">
        <v>117</v>
      </c>
      <c r="C744" s="1" t="s">
        <v>116</v>
      </c>
      <c r="D744" t="s">
        <v>5</v>
      </c>
      <c r="F744">
        <v>0</v>
      </c>
      <c r="G744">
        <v>0</v>
      </c>
      <c r="H744">
        <v>6</v>
      </c>
      <c r="I744">
        <v>8</v>
      </c>
      <c r="J744">
        <v>3.333333333333333</v>
      </c>
      <c r="K744">
        <v>0</v>
      </c>
      <c r="L744">
        <v>0</v>
      </c>
      <c r="M744">
        <v>0</v>
      </c>
      <c r="N744">
        <v>7.5</v>
      </c>
      <c r="O744">
        <v>6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5.6</v>
      </c>
      <c r="V744">
        <v>2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 s="1">
        <v>11</v>
      </c>
      <c r="AJ744" s="1" t="s">
        <v>117</v>
      </c>
      <c r="AK744" s="1" t="s">
        <v>116</v>
      </c>
      <c r="AL744" t="s">
        <v>5</v>
      </c>
      <c r="AN744">
        <v>0</v>
      </c>
      <c r="AO744">
        <v>0</v>
      </c>
      <c r="AP744">
        <v>360</v>
      </c>
      <c r="AQ744">
        <v>480</v>
      </c>
      <c r="AR744">
        <v>200</v>
      </c>
      <c r="AS744">
        <v>0</v>
      </c>
      <c r="AT744">
        <v>0</v>
      </c>
      <c r="AU744">
        <v>0</v>
      </c>
      <c r="AV744">
        <v>450</v>
      </c>
      <c r="AW744">
        <v>360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336</v>
      </c>
      <c r="BD744">
        <v>120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f>(I744+J744+N744+O744)/4</f>
        <v>6.208333333333333</v>
      </c>
      <c r="BR744">
        <f>(K744+L744+M744)/3</f>
        <v>0</v>
      </c>
      <c r="BS744">
        <v>0</v>
      </c>
      <c r="BT744">
        <f>AQ744/I744</f>
        <v>60</v>
      </c>
      <c r="BU744" t="str">
        <f>IF(OR(A744=2, A744=12), "Central", IF(A744=3, "Semi-Central", "Periférica"))</f>
        <v>Periférica</v>
      </c>
    </row>
    <row r="745" spans="1:73" x14ac:dyDescent="0.3">
      <c r="A745" s="1">
        <v>11</v>
      </c>
      <c r="B745" s="1" t="s">
        <v>117</v>
      </c>
      <c r="C745" s="1" t="s">
        <v>116</v>
      </c>
      <c r="D745" t="s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 s="1">
        <v>11</v>
      </c>
      <c r="AJ745" s="1" t="s">
        <v>117</v>
      </c>
      <c r="AK745" s="1" t="s">
        <v>116</v>
      </c>
      <c r="AL745" t="s">
        <v>1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f>(I745+J745+N745+O745)/4</f>
        <v>0</v>
      </c>
      <c r="BR745">
        <f>(K745+L745+M745)/3</f>
        <v>0</v>
      </c>
      <c r="BS745">
        <v>0</v>
      </c>
      <c r="BT745">
        <v>0</v>
      </c>
      <c r="BU745" t="str">
        <f>IF(OR(A745=2, A745=12), "Central", IF(A745=3, "Semi-Central", "Periférica"))</f>
        <v>Periférica</v>
      </c>
    </row>
    <row r="746" spans="1:73" x14ac:dyDescent="0.3">
      <c r="A746" s="1">
        <v>11</v>
      </c>
      <c r="B746" s="1">
        <v>1127</v>
      </c>
      <c r="C746" s="1" t="s">
        <v>115</v>
      </c>
      <c r="D746" t="s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s="1">
        <v>11</v>
      </c>
      <c r="AJ746" s="1">
        <v>1127</v>
      </c>
      <c r="AK746" s="1" t="s">
        <v>115</v>
      </c>
      <c r="AL746" t="s">
        <v>1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f>(I746+J746+N746+O746)/4</f>
        <v>0</v>
      </c>
      <c r="BR746">
        <f>(K746+L746+M746)/3</f>
        <v>0</v>
      </c>
      <c r="BS746">
        <v>0</v>
      </c>
      <c r="BT746">
        <v>0</v>
      </c>
      <c r="BU746" t="str">
        <f>IF(OR(A746=2, A746=12), "Central", IF(A746=3, "Semi-Central", "Periférica"))</f>
        <v>Periférica</v>
      </c>
    </row>
    <row r="747" spans="1:73" x14ac:dyDescent="0.3">
      <c r="A747" s="1">
        <v>11</v>
      </c>
      <c r="B747" s="1">
        <v>1137</v>
      </c>
      <c r="C747" s="1" t="s">
        <v>107</v>
      </c>
      <c r="D747" t="s">
        <v>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s="1">
        <v>11</v>
      </c>
      <c r="AJ747" s="1">
        <v>1137</v>
      </c>
      <c r="AK747" s="1" t="s">
        <v>107</v>
      </c>
      <c r="AL747" t="s">
        <v>5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f>(I747+J747+N747+O747)/4</f>
        <v>0</v>
      </c>
      <c r="BR747">
        <f>(K747+L747+M747)/3</f>
        <v>0</v>
      </c>
      <c r="BS747">
        <v>0</v>
      </c>
      <c r="BT747">
        <v>0</v>
      </c>
      <c r="BU747" t="str">
        <f>IF(OR(A747=2, A747=12), "Central", IF(A747=3, "Semi-Central", "Periférica"))</f>
        <v>Periférica</v>
      </c>
    </row>
    <row r="748" spans="1:73" x14ac:dyDescent="0.3">
      <c r="A748" s="1">
        <v>11</v>
      </c>
      <c r="B748" s="1">
        <v>1103</v>
      </c>
      <c r="C748" s="1" t="s">
        <v>114</v>
      </c>
      <c r="D748" t="s">
        <v>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s="1">
        <v>11</v>
      </c>
      <c r="AJ748" s="1">
        <v>1103</v>
      </c>
      <c r="AK748" s="1" t="s">
        <v>114</v>
      </c>
      <c r="AL748" t="s">
        <v>5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f>(I748+J748+N748+O748)/4</f>
        <v>0</v>
      </c>
      <c r="BR748">
        <f>(K748+L748+M748)/3</f>
        <v>0</v>
      </c>
      <c r="BS748">
        <v>0</v>
      </c>
      <c r="BT748">
        <v>0</v>
      </c>
      <c r="BU748" t="str">
        <f>IF(OR(A748=2, A748=12), "Central", IF(A748=3, "Semi-Central", "Periférica"))</f>
        <v>Periférica</v>
      </c>
    </row>
    <row r="749" spans="1:73" x14ac:dyDescent="0.3">
      <c r="A749" s="1">
        <v>11</v>
      </c>
      <c r="B749" s="1" t="s">
        <v>113</v>
      </c>
      <c r="C749" s="1" t="s">
        <v>112</v>
      </c>
      <c r="D749" t="s">
        <v>5</v>
      </c>
      <c r="F749">
        <v>0</v>
      </c>
      <c r="G749">
        <v>0</v>
      </c>
      <c r="H749">
        <v>0</v>
      </c>
      <c r="I749">
        <v>4.666666666666667</v>
      </c>
      <c r="J749">
        <v>4.666666666666667</v>
      </c>
      <c r="K749">
        <v>0</v>
      </c>
      <c r="L749">
        <v>0</v>
      </c>
      <c r="M749">
        <v>0</v>
      </c>
      <c r="N749">
        <v>3</v>
      </c>
      <c r="O749">
        <v>5.5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 s="1">
        <v>11</v>
      </c>
      <c r="AJ749" s="1" t="s">
        <v>113</v>
      </c>
      <c r="AK749" s="1" t="s">
        <v>112</v>
      </c>
      <c r="AL749" t="s">
        <v>5</v>
      </c>
      <c r="AN749">
        <v>0</v>
      </c>
      <c r="AO749">
        <v>0</v>
      </c>
      <c r="AP749">
        <v>0</v>
      </c>
      <c r="AQ749">
        <v>420</v>
      </c>
      <c r="AR749">
        <v>420</v>
      </c>
      <c r="AS749">
        <v>0</v>
      </c>
      <c r="AT749">
        <v>0</v>
      </c>
      <c r="AU749">
        <v>0</v>
      </c>
      <c r="AV749">
        <v>270</v>
      </c>
      <c r="AW749">
        <v>495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f>(I749+J749+N749+O749)/4</f>
        <v>4.4583333333333339</v>
      </c>
      <c r="BR749">
        <f>(K749+L749+M749)/3</f>
        <v>0</v>
      </c>
      <c r="BS749">
        <v>0</v>
      </c>
      <c r="BT749">
        <f>AQ749/I749</f>
        <v>90</v>
      </c>
      <c r="BU749" t="str">
        <f>IF(OR(A749=2, A749=12), "Central", IF(A749=3, "Semi-Central", "Periférica"))</f>
        <v>Periférica</v>
      </c>
    </row>
    <row r="750" spans="1:73" x14ac:dyDescent="0.3">
      <c r="A750" s="1">
        <v>11</v>
      </c>
      <c r="B750" s="1" t="s">
        <v>113</v>
      </c>
      <c r="C750" s="1" t="s">
        <v>112</v>
      </c>
      <c r="D750" t="s">
        <v>1</v>
      </c>
      <c r="F750">
        <v>0</v>
      </c>
      <c r="G750">
        <v>0</v>
      </c>
      <c r="H750">
        <v>0</v>
      </c>
      <c r="I750">
        <v>5.333333333333333</v>
      </c>
      <c r="J750">
        <v>6</v>
      </c>
      <c r="K750">
        <v>0</v>
      </c>
      <c r="L750">
        <v>0</v>
      </c>
      <c r="M750">
        <v>0</v>
      </c>
      <c r="N750">
        <v>2.5</v>
      </c>
      <c r="O750">
        <v>5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 s="1">
        <v>11</v>
      </c>
      <c r="AJ750" s="1" t="s">
        <v>113</v>
      </c>
      <c r="AK750" s="1" t="s">
        <v>112</v>
      </c>
      <c r="AL750" t="s">
        <v>1</v>
      </c>
      <c r="AN750">
        <v>0</v>
      </c>
      <c r="AO750">
        <v>0</v>
      </c>
      <c r="AP750">
        <v>0</v>
      </c>
      <c r="AQ750">
        <v>480</v>
      </c>
      <c r="AR750">
        <v>540</v>
      </c>
      <c r="AS750">
        <v>0</v>
      </c>
      <c r="AT750">
        <v>0</v>
      </c>
      <c r="AU750">
        <v>0</v>
      </c>
      <c r="AV750">
        <v>225</v>
      </c>
      <c r="AW750">
        <v>450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f>(I750+J750+N750+O750)/4</f>
        <v>4.708333333333333</v>
      </c>
      <c r="BR750">
        <f>(K750+L750+M750)/3</f>
        <v>0</v>
      </c>
      <c r="BS750">
        <v>0</v>
      </c>
      <c r="BT750">
        <f>AQ750/I750</f>
        <v>90</v>
      </c>
      <c r="BU750" t="str">
        <f>IF(OR(A750=2, A750=12), "Central", IF(A750=3, "Semi-Central", "Periférica"))</f>
        <v>Periférica</v>
      </c>
    </row>
    <row r="751" spans="1:73" x14ac:dyDescent="0.3">
      <c r="A751" s="1">
        <v>11</v>
      </c>
      <c r="B751" s="1">
        <v>1109</v>
      </c>
      <c r="C751" s="1" t="s">
        <v>111</v>
      </c>
      <c r="D751" t="s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 s="1">
        <v>11</v>
      </c>
      <c r="AJ751" s="1">
        <v>1109</v>
      </c>
      <c r="AK751" s="1" t="s">
        <v>111</v>
      </c>
      <c r="AL751" t="s">
        <v>1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f>(I751+J751+N751+O751)/4</f>
        <v>0</v>
      </c>
      <c r="BR751">
        <f>(K751+L751+M751)/3</f>
        <v>0</v>
      </c>
      <c r="BS751">
        <v>0</v>
      </c>
      <c r="BT751">
        <v>0</v>
      </c>
      <c r="BU751" t="str">
        <f>IF(OR(A751=2, A751=12), "Central", IF(A751=3, "Semi-Central", "Periférica"))</f>
        <v>Periférica</v>
      </c>
    </row>
    <row r="752" spans="1:73" x14ac:dyDescent="0.3">
      <c r="A752" s="1">
        <v>11</v>
      </c>
      <c r="B752" s="1">
        <v>1113</v>
      </c>
      <c r="C752" s="1" t="s">
        <v>110</v>
      </c>
      <c r="D752" t="s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 s="1">
        <v>11</v>
      </c>
      <c r="AJ752" s="1">
        <v>1113</v>
      </c>
      <c r="AK752" s="1" t="s">
        <v>110</v>
      </c>
      <c r="AL752" t="s">
        <v>1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f>(I752+J752+N752+O752)/4</f>
        <v>0</v>
      </c>
      <c r="BR752">
        <f>(K752+L752+M752)/3</f>
        <v>0</v>
      </c>
      <c r="BS752">
        <v>0</v>
      </c>
      <c r="BT752">
        <v>0</v>
      </c>
      <c r="BU752" t="str">
        <f>IF(OR(A752=2, A752=12), "Central", IF(A752=3, "Semi-Central", "Periférica"))</f>
        <v>Periférica</v>
      </c>
    </row>
    <row r="753" spans="1:73" x14ac:dyDescent="0.3">
      <c r="A753" s="1">
        <v>11</v>
      </c>
      <c r="B753" s="1">
        <v>1135</v>
      </c>
      <c r="C753" s="1" t="s">
        <v>109</v>
      </c>
      <c r="D753" t="s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 s="1">
        <v>11</v>
      </c>
      <c r="AJ753" s="1">
        <v>1135</v>
      </c>
      <c r="AK753" s="1" t="s">
        <v>109</v>
      </c>
      <c r="AL753" t="s">
        <v>1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f>(I753+J753+N753+O753)/4</f>
        <v>0</v>
      </c>
      <c r="BR753">
        <f>(K753+L753+M753)/3</f>
        <v>0</v>
      </c>
      <c r="BS753">
        <v>0</v>
      </c>
      <c r="BT753">
        <v>0</v>
      </c>
      <c r="BU753" t="str">
        <f>IF(OR(A753=2, A753=12), "Central", IF(A753=3, "Semi-Central", "Periférica"))</f>
        <v>Periférica</v>
      </c>
    </row>
    <row r="754" spans="1:73" x14ac:dyDescent="0.3">
      <c r="A754" s="1">
        <v>11</v>
      </c>
      <c r="B754" s="1" t="s">
        <v>108</v>
      </c>
      <c r="C754" s="1" t="s">
        <v>107</v>
      </c>
      <c r="D754" t="s">
        <v>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 s="1">
        <v>11</v>
      </c>
      <c r="AJ754" s="1" t="s">
        <v>108</v>
      </c>
      <c r="AK754" s="1" t="s">
        <v>107</v>
      </c>
      <c r="AL754" t="s">
        <v>5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f>(I754+J754+N754+O754)/4</f>
        <v>0</v>
      </c>
      <c r="BR754">
        <f>(K754+L754+M754)/3</f>
        <v>0</v>
      </c>
      <c r="BS754">
        <v>0</v>
      </c>
      <c r="BT754">
        <v>0</v>
      </c>
      <c r="BU754" t="str">
        <f>IF(OR(A754=2, A754=12), "Central", IF(A754=3, "Semi-Central", "Periférica"))</f>
        <v>Periférica</v>
      </c>
    </row>
    <row r="755" spans="1:73" x14ac:dyDescent="0.3">
      <c r="A755" s="1">
        <v>11</v>
      </c>
      <c r="B755" s="1" t="s">
        <v>108</v>
      </c>
      <c r="C755" s="1" t="s">
        <v>107</v>
      </c>
      <c r="D755" t="s">
        <v>1</v>
      </c>
      <c r="F755">
        <v>0</v>
      </c>
      <c r="G755">
        <v>0</v>
      </c>
      <c r="H755">
        <v>0</v>
      </c>
      <c r="I755">
        <v>0.66666666666666663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 s="1">
        <v>11</v>
      </c>
      <c r="AJ755" s="1" t="s">
        <v>108</v>
      </c>
      <c r="AK755" s="1" t="s">
        <v>107</v>
      </c>
      <c r="AL755" t="s">
        <v>1</v>
      </c>
      <c r="AN755">
        <v>0</v>
      </c>
      <c r="AO755">
        <v>0</v>
      </c>
      <c r="AP755">
        <v>0</v>
      </c>
      <c r="AQ755">
        <v>40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f>(I755+J755+N755+O755)/4</f>
        <v>0.16666666666666666</v>
      </c>
      <c r="BR755">
        <f>(K755+L755+M755)/3</f>
        <v>0</v>
      </c>
      <c r="BS755">
        <v>0</v>
      </c>
      <c r="BT755">
        <f>AQ755/I755</f>
        <v>60</v>
      </c>
      <c r="BU755" t="str">
        <f>IF(OR(A755=2, A755=12), "Central", IF(A755=3, "Semi-Central", "Periférica"))</f>
        <v>Periférica</v>
      </c>
    </row>
    <row r="756" spans="1:73" x14ac:dyDescent="0.3">
      <c r="A756" s="1">
        <v>11</v>
      </c>
      <c r="B756" s="1" t="s">
        <v>106</v>
      </c>
      <c r="C756" s="1" t="s">
        <v>105</v>
      </c>
      <c r="D756" t="s">
        <v>5</v>
      </c>
      <c r="F756">
        <v>0</v>
      </c>
      <c r="G756">
        <v>0</v>
      </c>
      <c r="H756">
        <v>0</v>
      </c>
      <c r="I756">
        <v>4</v>
      </c>
      <c r="J756">
        <v>3.333333333333333</v>
      </c>
      <c r="K756">
        <v>0</v>
      </c>
      <c r="L756">
        <v>0</v>
      </c>
      <c r="M756">
        <v>0</v>
      </c>
      <c r="N756">
        <v>2</v>
      </c>
      <c r="O756">
        <v>4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 s="1">
        <v>11</v>
      </c>
      <c r="AJ756" s="1" t="s">
        <v>106</v>
      </c>
      <c r="AK756" s="1" t="s">
        <v>105</v>
      </c>
      <c r="AL756" t="s">
        <v>5</v>
      </c>
      <c r="AN756">
        <v>0</v>
      </c>
      <c r="AO756">
        <v>0</v>
      </c>
      <c r="AP756">
        <v>0</v>
      </c>
      <c r="AQ756">
        <v>360</v>
      </c>
      <c r="AR756">
        <v>300</v>
      </c>
      <c r="AS756">
        <v>0</v>
      </c>
      <c r="AT756">
        <v>0</v>
      </c>
      <c r="AU756">
        <v>0</v>
      </c>
      <c r="AV756">
        <v>180</v>
      </c>
      <c r="AW756">
        <v>360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f>(I756+J756+N756+O756)/4</f>
        <v>3.333333333333333</v>
      </c>
      <c r="BR756">
        <f>(K756+L756+M756)/3</f>
        <v>0</v>
      </c>
      <c r="BS756">
        <v>0</v>
      </c>
      <c r="BT756">
        <f>AQ756/I756</f>
        <v>90</v>
      </c>
      <c r="BU756" t="str">
        <f>IF(OR(A756=2, A756=12), "Central", IF(A756=3, "Semi-Central", "Periférica"))</f>
        <v>Periférica</v>
      </c>
    </row>
    <row r="757" spans="1:73" x14ac:dyDescent="0.3">
      <c r="A757" s="1">
        <v>11</v>
      </c>
      <c r="B757" s="1" t="s">
        <v>106</v>
      </c>
      <c r="C757" s="1" t="s">
        <v>105</v>
      </c>
      <c r="D757" t="s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 s="1">
        <v>11</v>
      </c>
      <c r="AJ757" s="1" t="s">
        <v>106</v>
      </c>
      <c r="AK757" s="1" t="s">
        <v>105</v>
      </c>
      <c r="AL757" t="s">
        <v>1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f>(I757+J757+N757+O757)/4</f>
        <v>0</v>
      </c>
      <c r="BR757">
        <f>(K757+L757+M757)/3</f>
        <v>0</v>
      </c>
      <c r="BS757">
        <v>0</v>
      </c>
      <c r="BT757">
        <v>0</v>
      </c>
      <c r="BU757" t="str">
        <f>IF(OR(A757=2, A757=12), "Central", IF(A757=3, "Semi-Central", "Periférica"))</f>
        <v>Periférica</v>
      </c>
    </row>
    <row r="758" spans="1:73" x14ac:dyDescent="0.3">
      <c r="A758" s="1">
        <v>12</v>
      </c>
      <c r="B758" s="1">
        <v>1217</v>
      </c>
      <c r="C758" s="1" t="s">
        <v>104</v>
      </c>
      <c r="D758" t="s">
        <v>1</v>
      </c>
      <c r="E758" t="s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 s="1">
        <v>12</v>
      </c>
      <c r="AJ758" s="1">
        <v>1217</v>
      </c>
      <c r="AK758" s="1" t="s">
        <v>104</v>
      </c>
      <c r="AL758" t="s">
        <v>1</v>
      </c>
      <c r="AM758" t="s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f>(I758+J758+N758+O758)/4</f>
        <v>0</v>
      </c>
      <c r="BR758">
        <f>(K758+L758+M758)/3</f>
        <v>0</v>
      </c>
      <c r="BS758">
        <v>0</v>
      </c>
      <c r="BT758">
        <v>0</v>
      </c>
      <c r="BU758" t="str">
        <f>IF(OR(A758=2, A758=12), "Central", IF(A758=3, "Semi-Central", "Periférica"))</f>
        <v>Central</v>
      </c>
    </row>
    <row r="759" spans="1:73" x14ac:dyDescent="0.3">
      <c r="A759" s="1">
        <v>12</v>
      </c>
      <c r="B759" s="1" t="s">
        <v>103</v>
      </c>
      <c r="C759" s="1" t="s">
        <v>102</v>
      </c>
      <c r="D759" t="s">
        <v>1</v>
      </c>
      <c r="E759" t="s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 s="1">
        <v>12</v>
      </c>
      <c r="AJ759" s="1" t="s">
        <v>103</v>
      </c>
      <c r="AK759" s="1" t="s">
        <v>102</v>
      </c>
      <c r="AL759" t="s">
        <v>1</v>
      </c>
      <c r="AM759" t="s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f>(I759+J759+N759+O759)/4</f>
        <v>0</v>
      </c>
      <c r="BR759">
        <f>(K759+L759+M759)/3</f>
        <v>0</v>
      </c>
      <c r="BS759">
        <v>0</v>
      </c>
      <c r="BT759">
        <v>0</v>
      </c>
      <c r="BU759" t="str">
        <f>IF(OR(A759=2, A759=12), "Central", IF(A759=3, "Semi-Central", "Periférica"))</f>
        <v>Central</v>
      </c>
    </row>
    <row r="760" spans="1:73" x14ac:dyDescent="0.3">
      <c r="A760" s="1">
        <v>12</v>
      </c>
      <c r="B760" s="1" t="s">
        <v>101</v>
      </c>
      <c r="C760" s="1" t="s">
        <v>99</v>
      </c>
      <c r="D760" t="s">
        <v>5</v>
      </c>
      <c r="E760" t="s">
        <v>0</v>
      </c>
      <c r="F760">
        <v>0</v>
      </c>
      <c r="G760">
        <v>0</v>
      </c>
      <c r="H760">
        <v>0</v>
      </c>
      <c r="I760">
        <v>4.666666666666667</v>
      </c>
      <c r="J760">
        <v>0</v>
      </c>
      <c r="K760">
        <v>0</v>
      </c>
      <c r="L760">
        <v>0</v>
      </c>
      <c r="M760">
        <v>0</v>
      </c>
      <c r="N760">
        <v>4</v>
      </c>
      <c r="O760">
        <v>3.5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 s="1">
        <v>12</v>
      </c>
      <c r="AJ760" s="1" t="s">
        <v>101</v>
      </c>
      <c r="AK760" s="1" t="s">
        <v>99</v>
      </c>
      <c r="AL760" t="s">
        <v>5</v>
      </c>
      <c r="AM760" t="s">
        <v>0</v>
      </c>
      <c r="AN760">
        <v>0</v>
      </c>
      <c r="AO760">
        <v>0</v>
      </c>
      <c r="AP760">
        <v>0</v>
      </c>
      <c r="AQ760">
        <v>420</v>
      </c>
      <c r="AR760">
        <v>0</v>
      </c>
      <c r="AS760">
        <v>0</v>
      </c>
      <c r="AT760">
        <v>0</v>
      </c>
      <c r="AU760">
        <v>0</v>
      </c>
      <c r="AV760">
        <v>360</v>
      </c>
      <c r="AW760">
        <v>315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f>(I760+J760+N760+O760)/4</f>
        <v>3.041666666666667</v>
      </c>
      <c r="BR760">
        <f>(K760+L760+M760)/3</f>
        <v>0</v>
      </c>
      <c r="BS760">
        <v>0</v>
      </c>
      <c r="BT760">
        <f>AQ760/I760</f>
        <v>90</v>
      </c>
      <c r="BU760" t="str">
        <f>IF(OR(A760=2, A760=12), "Central", IF(A760=3, "Semi-Central", "Periférica"))</f>
        <v>Central</v>
      </c>
    </row>
    <row r="761" spans="1:73" x14ac:dyDescent="0.3">
      <c r="A761" s="1">
        <v>12</v>
      </c>
      <c r="B761" s="1" t="s">
        <v>101</v>
      </c>
      <c r="C761" s="1" t="s">
        <v>99</v>
      </c>
      <c r="D761" t="s">
        <v>1</v>
      </c>
      <c r="E761" t="s">
        <v>0</v>
      </c>
      <c r="F761">
        <v>0</v>
      </c>
      <c r="G761">
        <v>0</v>
      </c>
      <c r="H761">
        <v>0</v>
      </c>
      <c r="I761">
        <v>6.666666666666667</v>
      </c>
      <c r="J761">
        <v>0</v>
      </c>
      <c r="K761">
        <v>0</v>
      </c>
      <c r="L761">
        <v>0</v>
      </c>
      <c r="M761">
        <v>0</v>
      </c>
      <c r="N761">
        <v>1.5</v>
      </c>
      <c r="O761">
        <v>3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 s="1">
        <v>12</v>
      </c>
      <c r="AJ761" s="1" t="s">
        <v>101</v>
      </c>
      <c r="AK761" s="1" t="s">
        <v>99</v>
      </c>
      <c r="AL761" t="s">
        <v>1</v>
      </c>
      <c r="AM761" t="s">
        <v>0</v>
      </c>
      <c r="AN761">
        <v>0</v>
      </c>
      <c r="AO761">
        <v>0</v>
      </c>
      <c r="AP761">
        <v>0</v>
      </c>
      <c r="AQ761">
        <v>600</v>
      </c>
      <c r="AR761">
        <v>0</v>
      </c>
      <c r="AS761">
        <v>0</v>
      </c>
      <c r="AT761">
        <v>0</v>
      </c>
      <c r="AU761">
        <v>0</v>
      </c>
      <c r="AV761">
        <v>135</v>
      </c>
      <c r="AW761">
        <v>270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f>(I761+J761+N761+O761)/4</f>
        <v>2.791666666666667</v>
      </c>
      <c r="BR761">
        <f>(K761+L761+M761)/3</f>
        <v>0</v>
      </c>
      <c r="BS761">
        <v>0</v>
      </c>
      <c r="BT761">
        <f>AQ761/I761</f>
        <v>90</v>
      </c>
      <c r="BU761" t="str">
        <f>IF(OR(A761=2, A761=12), "Central", IF(A761=3, "Semi-Central", "Periférica"))</f>
        <v>Central</v>
      </c>
    </row>
    <row r="762" spans="1:73" x14ac:dyDescent="0.3">
      <c r="A762" s="1">
        <v>12</v>
      </c>
      <c r="B762" s="1" t="s">
        <v>100</v>
      </c>
      <c r="C762" s="1" t="s">
        <v>99</v>
      </c>
      <c r="D762" t="s">
        <v>5</v>
      </c>
      <c r="E762" t="s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 s="1">
        <v>12</v>
      </c>
      <c r="AJ762" s="1" t="s">
        <v>100</v>
      </c>
      <c r="AK762" s="1" t="s">
        <v>99</v>
      </c>
      <c r="AL762" t="s">
        <v>5</v>
      </c>
      <c r="AM762" t="s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f>(I762+J762+N762+O762)/4</f>
        <v>0</v>
      </c>
      <c r="BR762">
        <f>(K762+L762+M762)/3</f>
        <v>0</v>
      </c>
      <c r="BS762">
        <v>0</v>
      </c>
      <c r="BT762">
        <v>0</v>
      </c>
      <c r="BU762" t="str">
        <f>IF(OR(A762=2, A762=12), "Central", IF(A762=3, "Semi-Central", "Periférica"))</f>
        <v>Central</v>
      </c>
    </row>
    <row r="763" spans="1:73" x14ac:dyDescent="0.3">
      <c r="A763" s="1">
        <v>12</v>
      </c>
      <c r="B763" s="1" t="s">
        <v>100</v>
      </c>
      <c r="C763" s="1" t="s">
        <v>99</v>
      </c>
      <c r="D763" t="s">
        <v>1</v>
      </c>
      <c r="E763" t="s">
        <v>0</v>
      </c>
      <c r="F763">
        <v>0</v>
      </c>
      <c r="G763">
        <v>0</v>
      </c>
      <c r="H763">
        <v>0</v>
      </c>
      <c r="I763">
        <v>2</v>
      </c>
      <c r="J763">
        <v>2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 s="1">
        <v>12</v>
      </c>
      <c r="AJ763" s="1" t="s">
        <v>100</v>
      </c>
      <c r="AK763" s="1" t="s">
        <v>99</v>
      </c>
      <c r="AL763" t="s">
        <v>1</v>
      </c>
      <c r="AM763" t="s">
        <v>0</v>
      </c>
      <c r="AN763">
        <v>0</v>
      </c>
      <c r="AO763">
        <v>0</v>
      </c>
      <c r="AP763">
        <v>0</v>
      </c>
      <c r="AQ763">
        <v>180</v>
      </c>
      <c r="AR763">
        <v>180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f>(I763+J763+N763+O763)/4</f>
        <v>1</v>
      </c>
      <c r="BR763">
        <f>(K763+L763+M763)/3</f>
        <v>0</v>
      </c>
      <c r="BS763">
        <v>0</v>
      </c>
      <c r="BT763">
        <f>AQ763/I763</f>
        <v>90</v>
      </c>
      <c r="BU763" t="str">
        <f>IF(OR(A763=2, A763=12), "Central", IF(A763=3, "Semi-Central", "Periférica"))</f>
        <v>Central</v>
      </c>
    </row>
    <row r="764" spans="1:73" x14ac:dyDescent="0.3">
      <c r="A764" s="1">
        <v>12</v>
      </c>
      <c r="B764" s="1">
        <v>1232</v>
      </c>
      <c r="C764" s="1">
        <v>420</v>
      </c>
      <c r="D764" t="s">
        <v>5</v>
      </c>
      <c r="E764" t="s">
        <v>0</v>
      </c>
      <c r="F764">
        <v>0</v>
      </c>
      <c r="G764">
        <v>0</v>
      </c>
      <c r="H764">
        <v>4</v>
      </c>
      <c r="I764">
        <v>5.333333333333333</v>
      </c>
      <c r="J764">
        <v>4.666666666666667</v>
      </c>
      <c r="K764">
        <v>0</v>
      </c>
      <c r="L764">
        <v>0</v>
      </c>
      <c r="M764">
        <v>0</v>
      </c>
      <c r="N764">
        <v>4</v>
      </c>
      <c r="O764">
        <v>5</v>
      </c>
      <c r="P764">
        <v>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s="1">
        <v>12</v>
      </c>
      <c r="AJ764" s="1">
        <v>1232</v>
      </c>
      <c r="AK764" s="1">
        <v>420</v>
      </c>
      <c r="AL764" t="s">
        <v>5</v>
      </c>
      <c r="AM764" t="s">
        <v>0</v>
      </c>
      <c r="AN764">
        <v>0</v>
      </c>
      <c r="AO764">
        <v>0</v>
      </c>
      <c r="AP764">
        <v>360</v>
      </c>
      <c r="AQ764">
        <v>480</v>
      </c>
      <c r="AR764">
        <v>420</v>
      </c>
      <c r="AS764">
        <v>0</v>
      </c>
      <c r="AT764">
        <v>0</v>
      </c>
      <c r="AU764">
        <v>0</v>
      </c>
      <c r="AV764">
        <v>360</v>
      </c>
      <c r="AW764">
        <v>450</v>
      </c>
      <c r="AX764">
        <v>180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f>(I764+J764+N764+O764)/4</f>
        <v>4.75</v>
      </c>
      <c r="BR764">
        <f>(K764+L764+M764)/3</f>
        <v>0</v>
      </c>
      <c r="BS764">
        <v>0</v>
      </c>
      <c r="BT764">
        <f>AQ764/I764</f>
        <v>90</v>
      </c>
      <c r="BU764" t="str">
        <f>IF(OR(A764=2, A764=12), "Central", IF(A764=3, "Semi-Central", "Periférica"))</f>
        <v>Central</v>
      </c>
    </row>
    <row r="765" spans="1:73" x14ac:dyDescent="0.3">
      <c r="A765" s="1">
        <v>12</v>
      </c>
      <c r="B765" s="1">
        <v>1232</v>
      </c>
      <c r="C765" s="1">
        <v>420</v>
      </c>
      <c r="D765" t="s">
        <v>1</v>
      </c>
      <c r="E765" t="s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 s="1">
        <v>12</v>
      </c>
      <c r="AJ765" s="1">
        <v>1232</v>
      </c>
      <c r="AK765" s="1">
        <v>420</v>
      </c>
      <c r="AL765" t="s">
        <v>1</v>
      </c>
      <c r="AM765" t="s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f>(I765+J765+N765+O765)/4</f>
        <v>0</v>
      </c>
      <c r="BR765">
        <f>(K765+L765+M765)/3</f>
        <v>0</v>
      </c>
      <c r="BS765">
        <v>0</v>
      </c>
      <c r="BT765">
        <v>0</v>
      </c>
      <c r="BU765" t="str">
        <f>IF(OR(A765=2, A765=12), "Central", IF(A765=3, "Semi-Central", "Periférica"))</f>
        <v>Central</v>
      </c>
    </row>
    <row r="766" spans="1:73" x14ac:dyDescent="0.3">
      <c r="A766" s="1">
        <v>12</v>
      </c>
      <c r="B766" s="1" t="s">
        <v>98</v>
      </c>
      <c r="C766" s="1" t="s">
        <v>96</v>
      </c>
      <c r="D766" t="s">
        <v>5</v>
      </c>
      <c r="E766" t="s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 s="1">
        <v>12</v>
      </c>
      <c r="AJ766" s="1" t="s">
        <v>98</v>
      </c>
      <c r="AK766" s="1" t="s">
        <v>96</v>
      </c>
      <c r="AL766" t="s">
        <v>5</v>
      </c>
      <c r="AM766" t="s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f>(I766+J766+N766+O766)/4</f>
        <v>0</v>
      </c>
      <c r="BR766">
        <f>(K766+L766+M766)/3</f>
        <v>0</v>
      </c>
      <c r="BS766">
        <v>0</v>
      </c>
      <c r="BT766">
        <v>0</v>
      </c>
      <c r="BU766" t="str">
        <f>IF(OR(A766=2, A766=12), "Central", IF(A766=3, "Semi-Central", "Periférica"))</f>
        <v>Central</v>
      </c>
    </row>
    <row r="767" spans="1:73" x14ac:dyDescent="0.3">
      <c r="A767" s="1">
        <v>12</v>
      </c>
      <c r="B767" s="1" t="s">
        <v>97</v>
      </c>
      <c r="C767" s="1" t="s">
        <v>96</v>
      </c>
      <c r="D767" t="s">
        <v>5</v>
      </c>
      <c r="E767" t="s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 s="1">
        <v>12</v>
      </c>
      <c r="AJ767" s="1" t="s">
        <v>97</v>
      </c>
      <c r="AK767" s="1" t="s">
        <v>96</v>
      </c>
      <c r="AL767" t="s">
        <v>5</v>
      </c>
      <c r="AM767" t="s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f>(I767+J767+N767+O767)/4</f>
        <v>0</v>
      </c>
      <c r="BR767">
        <f>(K767+L767+M767)/3</f>
        <v>0</v>
      </c>
      <c r="BS767">
        <v>0</v>
      </c>
      <c r="BT767">
        <v>0</v>
      </c>
      <c r="BU767" t="str">
        <f>IF(OR(A767=2, A767=12), "Central", IF(A767=3, "Semi-Central", "Periférica"))</f>
        <v>Central</v>
      </c>
    </row>
    <row r="768" spans="1:73" x14ac:dyDescent="0.3">
      <c r="A768" s="1">
        <v>12</v>
      </c>
      <c r="B768" s="1" t="s">
        <v>97</v>
      </c>
      <c r="C768" s="1" t="s">
        <v>96</v>
      </c>
      <c r="D768" t="s">
        <v>1</v>
      </c>
      <c r="E768" t="s">
        <v>0</v>
      </c>
      <c r="F768">
        <v>0</v>
      </c>
      <c r="G768">
        <v>0</v>
      </c>
      <c r="H768">
        <v>0</v>
      </c>
      <c r="I768">
        <v>1.333333333333333</v>
      </c>
      <c r="J768">
        <v>4.666666666666667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s="1">
        <v>12</v>
      </c>
      <c r="AJ768" s="1" t="s">
        <v>97</v>
      </c>
      <c r="AK768" s="1" t="s">
        <v>96</v>
      </c>
      <c r="AL768" t="s">
        <v>1</v>
      </c>
      <c r="AM768" t="s">
        <v>0</v>
      </c>
      <c r="AN768">
        <v>0</v>
      </c>
      <c r="AO768">
        <v>0</v>
      </c>
      <c r="AP768">
        <v>0</v>
      </c>
      <c r="AQ768">
        <v>120</v>
      </c>
      <c r="AR768">
        <v>420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f>(I768+J768+N768+O768)/4</f>
        <v>1.5</v>
      </c>
      <c r="BR768">
        <f>(K768+L768+M768)/3</f>
        <v>0</v>
      </c>
      <c r="BS768">
        <v>0</v>
      </c>
      <c r="BT768">
        <f>AQ768/I768</f>
        <v>90.000000000000014</v>
      </c>
      <c r="BU768" t="str">
        <f>IF(OR(A768=2, A768=12), "Central", IF(A768=3, "Semi-Central", "Periférica"))</f>
        <v>Central</v>
      </c>
    </row>
    <row r="769" spans="1:73" x14ac:dyDescent="0.3">
      <c r="A769" s="1">
        <v>12</v>
      </c>
      <c r="B769" s="1" t="s">
        <v>95</v>
      </c>
      <c r="C769" s="1" t="s">
        <v>94</v>
      </c>
      <c r="D769" t="s">
        <v>1</v>
      </c>
      <c r="E769" t="s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 s="1">
        <v>12</v>
      </c>
      <c r="AJ769" s="1" t="s">
        <v>95</v>
      </c>
      <c r="AK769" s="1" t="s">
        <v>94</v>
      </c>
      <c r="AL769" t="s">
        <v>1</v>
      </c>
      <c r="AM769" t="s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f>(I769+J769+N769+O769)/4</f>
        <v>0</v>
      </c>
      <c r="BR769">
        <f>(K769+L769+M769)/3</f>
        <v>0</v>
      </c>
      <c r="BS769">
        <v>0</v>
      </c>
      <c r="BT769">
        <v>0</v>
      </c>
      <c r="BU769" t="str">
        <f>IF(OR(A769=2, A769=12), "Central", IF(A769=3, "Semi-Central", "Periférica"))</f>
        <v>Central</v>
      </c>
    </row>
    <row r="770" spans="1:73" x14ac:dyDescent="0.3">
      <c r="A770" s="1">
        <v>12</v>
      </c>
      <c r="B770" s="1" t="s">
        <v>93</v>
      </c>
      <c r="C770" s="1" t="s">
        <v>92</v>
      </c>
      <c r="D770" t="s">
        <v>1</v>
      </c>
      <c r="E770" t="s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s="1">
        <v>12</v>
      </c>
      <c r="AJ770" s="1" t="s">
        <v>93</v>
      </c>
      <c r="AK770" s="1" t="s">
        <v>92</v>
      </c>
      <c r="AL770" t="s">
        <v>1</v>
      </c>
      <c r="AM770" t="s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f>(I770+J770+N770+O770)/4</f>
        <v>0</v>
      </c>
      <c r="BR770">
        <f>(K770+L770+M770)/3</f>
        <v>0</v>
      </c>
      <c r="BS770">
        <v>0</v>
      </c>
      <c r="BT770">
        <v>0</v>
      </c>
      <c r="BU770" t="str">
        <f>IF(OR(A770=2, A770=12), "Central", IF(A770=3, "Semi-Central", "Periférica"))</f>
        <v>Central</v>
      </c>
    </row>
    <row r="771" spans="1:73" x14ac:dyDescent="0.3">
      <c r="A771" s="1">
        <v>12</v>
      </c>
      <c r="B771" s="1" t="s">
        <v>91</v>
      </c>
      <c r="C771" s="1" t="s">
        <v>90</v>
      </c>
      <c r="D771" t="s">
        <v>5</v>
      </c>
      <c r="E771" t="s">
        <v>0</v>
      </c>
      <c r="F771">
        <v>0</v>
      </c>
      <c r="G771">
        <v>0</v>
      </c>
      <c r="H771">
        <v>4</v>
      </c>
      <c r="I771">
        <v>8.6666666666666661</v>
      </c>
      <c r="J771">
        <v>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 s="1">
        <v>12</v>
      </c>
      <c r="AJ771" s="1" t="s">
        <v>91</v>
      </c>
      <c r="AK771" s="1" t="s">
        <v>90</v>
      </c>
      <c r="AL771" t="s">
        <v>5</v>
      </c>
      <c r="AM771" t="s">
        <v>0</v>
      </c>
      <c r="AN771">
        <v>0</v>
      </c>
      <c r="AO771">
        <v>0</v>
      </c>
      <c r="AP771">
        <v>360</v>
      </c>
      <c r="AQ771">
        <v>780</v>
      </c>
      <c r="AR771">
        <v>360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f>(I771+J771+N771+O771)/4</f>
        <v>3.1666666666666665</v>
      </c>
      <c r="BR771">
        <f>(K771+L771+M771)/3</f>
        <v>0</v>
      </c>
      <c r="BS771">
        <v>0</v>
      </c>
      <c r="BT771">
        <f>AQ771/I771</f>
        <v>90</v>
      </c>
      <c r="BU771" t="str">
        <f>IF(OR(A771=2, A771=12), "Central", IF(A771=3, "Semi-Central", "Periférica"))</f>
        <v>Central</v>
      </c>
    </row>
    <row r="772" spans="1:73" x14ac:dyDescent="0.3">
      <c r="A772" s="1">
        <v>12</v>
      </c>
      <c r="B772" s="1">
        <v>1201</v>
      </c>
      <c r="C772" s="1" t="s">
        <v>89</v>
      </c>
      <c r="D772" t="s">
        <v>1</v>
      </c>
      <c r="E772" t="s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 s="1">
        <v>12</v>
      </c>
      <c r="AJ772" s="1">
        <v>1201</v>
      </c>
      <c r="AK772" s="1" t="s">
        <v>89</v>
      </c>
      <c r="AL772" t="s">
        <v>1</v>
      </c>
      <c r="AM772" t="s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f>(I772+J772+N772+O772)/4</f>
        <v>0</v>
      </c>
      <c r="BR772">
        <f>(K772+L772+M772)/3</f>
        <v>0</v>
      </c>
      <c r="BS772">
        <v>0</v>
      </c>
      <c r="BT772">
        <v>0</v>
      </c>
      <c r="BU772" t="str">
        <f>IF(OR(A772=2, A772=12), "Central", IF(A772=3, "Semi-Central", "Periférica"))</f>
        <v>Central</v>
      </c>
    </row>
    <row r="773" spans="1:73" x14ac:dyDescent="0.3">
      <c r="A773" s="1">
        <v>12</v>
      </c>
      <c r="B773" s="1" t="s">
        <v>88</v>
      </c>
      <c r="C773" s="1" t="s">
        <v>87</v>
      </c>
      <c r="D773" t="s">
        <v>5</v>
      </c>
      <c r="E773" t="s">
        <v>0</v>
      </c>
      <c r="F773">
        <v>0</v>
      </c>
      <c r="G773">
        <v>0</v>
      </c>
      <c r="H773">
        <v>2</v>
      </c>
      <c r="I773">
        <v>4</v>
      </c>
      <c r="J773">
        <v>1.333333333333333</v>
      </c>
      <c r="K773">
        <v>0</v>
      </c>
      <c r="L773">
        <v>0</v>
      </c>
      <c r="M773">
        <v>0</v>
      </c>
      <c r="N773">
        <v>2.5</v>
      </c>
      <c r="O773">
        <v>3.5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 s="1">
        <v>12</v>
      </c>
      <c r="AJ773" s="1" t="s">
        <v>88</v>
      </c>
      <c r="AK773" s="1" t="s">
        <v>87</v>
      </c>
      <c r="AL773" t="s">
        <v>5</v>
      </c>
      <c r="AM773" t="s">
        <v>0</v>
      </c>
      <c r="AN773">
        <v>0</v>
      </c>
      <c r="AO773">
        <v>0</v>
      </c>
      <c r="AP773">
        <v>180</v>
      </c>
      <c r="AQ773">
        <v>360</v>
      </c>
      <c r="AR773">
        <v>120</v>
      </c>
      <c r="AS773">
        <v>0</v>
      </c>
      <c r="AT773">
        <v>0</v>
      </c>
      <c r="AU773">
        <v>0</v>
      </c>
      <c r="AV773">
        <v>225</v>
      </c>
      <c r="AW773">
        <v>315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f>(I773+J773+N773+O773)/4</f>
        <v>2.833333333333333</v>
      </c>
      <c r="BR773">
        <f>(K773+L773+M773)/3</f>
        <v>0</v>
      </c>
      <c r="BS773">
        <v>0</v>
      </c>
      <c r="BT773">
        <f>AQ773/I773</f>
        <v>90</v>
      </c>
      <c r="BU773" t="str">
        <f>IF(OR(A773=2, A773=12), "Central", IF(A773=3, "Semi-Central", "Periférica"))</f>
        <v>Central</v>
      </c>
    </row>
    <row r="774" spans="1:73" x14ac:dyDescent="0.3">
      <c r="A774" s="1">
        <v>12</v>
      </c>
      <c r="B774" s="1" t="s">
        <v>88</v>
      </c>
      <c r="C774" s="1" t="s">
        <v>87</v>
      </c>
      <c r="D774" t="s">
        <v>1</v>
      </c>
      <c r="E774" t="s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s="1">
        <v>12</v>
      </c>
      <c r="AJ774" s="1" t="s">
        <v>88</v>
      </c>
      <c r="AK774" s="1" t="s">
        <v>87</v>
      </c>
      <c r="AL774" t="s">
        <v>1</v>
      </c>
      <c r="AM774" t="s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f>(I774+J774+N774+O774)/4</f>
        <v>0</v>
      </c>
      <c r="BR774">
        <f>(K774+L774+M774)/3</f>
        <v>0</v>
      </c>
      <c r="BS774">
        <v>0</v>
      </c>
      <c r="BT774">
        <v>0</v>
      </c>
      <c r="BU774" t="str">
        <f>IF(OR(A774=2, A774=12), "Central", IF(A774=3, "Semi-Central", "Periférica"))</f>
        <v>Central</v>
      </c>
    </row>
    <row r="775" spans="1:73" x14ac:dyDescent="0.3">
      <c r="A775" s="1">
        <v>12</v>
      </c>
      <c r="B775" s="1" t="s">
        <v>86</v>
      </c>
      <c r="C775" s="1" t="s">
        <v>85</v>
      </c>
      <c r="D775" t="s">
        <v>5</v>
      </c>
      <c r="E775" t="s">
        <v>0</v>
      </c>
      <c r="F775">
        <v>0</v>
      </c>
      <c r="G775">
        <v>0</v>
      </c>
      <c r="H775">
        <v>3</v>
      </c>
      <c r="I775">
        <v>4.666666666666667</v>
      </c>
      <c r="J775">
        <v>4.666666666666667</v>
      </c>
      <c r="K775">
        <v>0</v>
      </c>
      <c r="L775">
        <v>0</v>
      </c>
      <c r="M775">
        <v>0</v>
      </c>
      <c r="N775">
        <v>2</v>
      </c>
      <c r="O775">
        <v>2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 s="1">
        <v>12</v>
      </c>
      <c r="AJ775" s="1" t="s">
        <v>86</v>
      </c>
      <c r="AK775" s="1" t="s">
        <v>85</v>
      </c>
      <c r="AL775" t="s">
        <v>5</v>
      </c>
      <c r="AM775" t="s">
        <v>0</v>
      </c>
      <c r="AN775">
        <v>0</v>
      </c>
      <c r="AO775">
        <v>0</v>
      </c>
      <c r="AP775">
        <v>270</v>
      </c>
      <c r="AQ775">
        <v>420</v>
      </c>
      <c r="AR775">
        <v>420</v>
      </c>
      <c r="AS775">
        <v>0</v>
      </c>
      <c r="AT775">
        <v>0</v>
      </c>
      <c r="AU775">
        <v>0</v>
      </c>
      <c r="AV775">
        <v>180</v>
      </c>
      <c r="AW775">
        <v>180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f>(I775+J775+N775+O775)/4</f>
        <v>3.3333333333333335</v>
      </c>
      <c r="BR775">
        <f>(K775+L775+M775)/3</f>
        <v>0</v>
      </c>
      <c r="BS775">
        <v>0</v>
      </c>
      <c r="BT775">
        <f>AQ775/I775</f>
        <v>90</v>
      </c>
      <c r="BU775" t="str">
        <f>IF(OR(A775=2, A775=12), "Central", IF(A775=3, "Semi-Central", "Periférica"))</f>
        <v>Central</v>
      </c>
    </row>
    <row r="776" spans="1:73" x14ac:dyDescent="0.3">
      <c r="A776" s="1">
        <v>12</v>
      </c>
      <c r="B776" s="1" t="s">
        <v>86</v>
      </c>
      <c r="C776" s="1" t="s">
        <v>85</v>
      </c>
      <c r="D776" t="s">
        <v>1</v>
      </c>
      <c r="E776" t="s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s="1">
        <v>12</v>
      </c>
      <c r="AJ776" s="1" t="s">
        <v>86</v>
      </c>
      <c r="AK776" s="1" t="s">
        <v>85</v>
      </c>
      <c r="AL776" t="s">
        <v>1</v>
      </c>
      <c r="AM776" t="s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f>(I776+J776+N776+O776)/4</f>
        <v>0</v>
      </c>
      <c r="BR776">
        <f>(K776+L776+M776)/3</f>
        <v>0</v>
      </c>
      <c r="BS776">
        <v>0</v>
      </c>
      <c r="BT776">
        <v>0</v>
      </c>
      <c r="BU776" t="str">
        <f>IF(OR(A776=2, A776=12), "Central", IF(A776=3, "Semi-Central", "Periférica"))</f>
        <v>Central</v>
      </c>
    </row>
    <row r="777" spans="1:73" x14ac:dyDescent="0.3">
      <c r="A777" s="1">
        <v>12</v>
      </c>
      <c r="B777" s="1">
        <v>1208</v>
      </c>
      <c r="C777" s="1" t="s">
        <v>84</v>
      </c>
      <c r="D777" t="s">
        <v>1</v>
      </c>
      <c r="E777" t="s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 s="1">
        <v>12</v>
      </c>
      <c r="AJ777" s="1">
        <v>1208</v>
      </c>
      <c r="AK777" s="1" t="s">
        <v>84</v>
      </c>
      <c r="AL777" t="s">
        <v>1</v>
      </c>
      <c r="AM777" t="s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f>(I777+J777+N777+O777)/4</f>
        <v>0</v>
      </c>
      <c r="BR777">
        <f>(K777+L777+M777)/3</f>
        <v>0</v>
      </c>
      <c r="BS777">
        <v>0</v>
      </c>
      <c r="BT777">
        <v>0</v>
      </c>
      <c r="BU777" t="str">
        <f>IF(OR(A777=2, A777=12), "Central", IF(A777=3, "Semi-Central", "Periférica"))</f>
        <v>Central</v>
      </c>
    </row>
    <row r="778" spans="1:73" x14ac:dyDescent="0.3">
      <c r="A778" s="1">
        <v>12</v>
      </c>
      <c r="B778" s="1">
        <v>1209</v>
      </c>
      <c r="C778" s="1" t="s">
        <v>83</v>
      </c>
      <c r="D778" t="s">
        <v>1</v>
      </c>
      <c r="E778" t="s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s="1">
        <v>12</v>
      </c>
      <c r="AJ778" s="1">
        <v>1209</v>
      </c>
      <c r="AK778" s="1" t="s">
        <v>83</v>
      </c>
      <c r="AL778" t="s">
        <v>1</v>
      </c>
      <c r="AM778" t="s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f>(I778+J778+N778+O778)/4</f>
        <v>0</v>
      </c>
      <c r="BR778">
        <f>(K778+L778+M778)/3</f>
        <v>0</v>
      </c>
      <c r="BS778">
        <v>0</v>
      </c>
      <c r="BT778">
        <v>0</v>
      </c>
      <c r="BU778" t="str">
        <f>IF(OR(A778=2, A778=12), "Central", IF(A778=3, "Semi-Central", "Periférica"))</f>
        <v>Central</v>
      </c>
    </row>
    <row r="779" spans="1:73" x14ac:dyDescent="0.3">
      <c r="A779" s="1">
        <v>12</v>
      </c>
      <c r="B779" s="1">
        <v>1215</v>
      </c>
      <c r="C779" s="1" t="s">
        <v>82</v>
      </c>
      <c r="D779" t="s">
        <v>1</v>
      </c>
      <c r="E779" t="s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 s="1">
        <v>12</v>
      </c>
      <c r="AJ779" s="1">
        <v>1215</v>
      </c>
      <c r="AK779" s="1" t="s">
        <v>82</v>
      </c>
      <c r="AL779" t="s">
        <v>1</v>
      </c>
      <c r="AM779" t="s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f>(I779+J779+N779+O779)/4</f>
        <v>0</v>
      </c>
      <c r="BR779">
        <f>(K779+L779+M779)/3</f>
        <v>0</v>
      </c>
      <c r="BS779">
        <v>0</v>
      </c>
      <c r="BT779">
        <v>0</v>
      </c>
      <c r="BU779" t="str">
        <f>IF(OR(A779=2, A779=12), "Central", IF(A779=3, "Semi-Central", "Periférica"))</f>
        <v>Central</v>
      </c>
    </row>
    <row r="780" spans="1:73" x14ac:dyDescent="0.3">
      <c r="A780" s="1">
        <v>12</v>
      </c>
      <c r="B780" s="1">
        <v>1220</v>
      </c>
      <c r="C780" s="1" t="s">
        <v>81</v>
      </c>
      <c r="D780" t="s">
        <v>1</v>
      </c>
      <c r="E780" t="s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s="1">
        <v>12</v>
      </c>
      <c r="AJ780" s="1">
        <v>1220</v>
      </c>
      <c r="AK780" s="1" t="s">
        <v>81</v>
      </c>
      <c r="AL780" t="s">
        <v>1</v>
      </c>
      <c r="AM780" t="s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f>(I780+J780+N780+O780)/4</f>
        <v>0</v>
      </c>
      <c r="BR780">
        <f>(K780+L780+M780)/3</f>
        <v>0</v>
      </c>
      <c r="BS780">
        <v>0</v>
      </c>
      <c r="BT780">
        <v>0</v>
      </c>
      <c r="BU780" t="str">
        <f>IF(OR(A780=2, A780=12), "Central", IF(A780=3, "Semi-Central", "Periférica"))</f>
        <v>Central</v>
      </c>
    </row>
    <row r="781" spans="1:73" x14ac:dyDescent="0.3">
      <c r="A781" s="1">
        <v>12</v>
      </c>
      <c r="B781" s="1">
        <v>1226</v>
      </c>
      <c r="C781" s="1" t="s">
        <v>80</v>
      </c>
      <c r="D781" t="s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 s="1">
        <v>12</v>
      </c>
      <c r="AJ781" s="1">
        <v>1226</v>
      </c>
      <c r="AK781" s="1" t="s">
        <v>80</v>
      </c>
      <c r="AL781" t="s">
        <v>1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f>(I781+J781+N781+O781)/4</f>
        <v>0</v>
      </c>
      <c r="BR781">
        <f>(K781+L781+M781)/3</f>
        <v>0</v>
      </c>
      <c r="BS781">
        <v>0</v>
      </c>
      <c r="BT781">
        <v>0</v>
      </c>
      <c r="BU781" t="str">
        <f>IF(OR(A781=2, A781=12), "Central", IF(A781=3, "Semi-Central", "Periférica"))</f>
        <v>Central</v>
      </c>
    </row>
    <row r="782" spans="1:73" x14ac:dyDescent="0.3">
      <c r="A782" s="1">
        <v>13</v>
      </c>
      <c r="B782" s="1">
        <v>1302</v>
      </c>
      <c r="C782" s="1">
        <v>402</v>
      </c>
      <c r="D782" t="s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s="1">
        <v>13</v>
      </c>
      <c r="AJ782" s="1">
        <v>1302</v>
      </c>
      <c r="AK782" s="1">
        <v>402</v>
      </c>
      <c r="AL782" t="s">
        <v>1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f>(I782+J782+N782+O782)/4</f>
        <v>0</v>
      </c>
      <c r="BR782">
        <f>(K782+L782+M782)/3</f>
        <v>0</v>
      </c>
      <c r="BS782">
        <v>0</v>
      </c>
      <c r="BT782">
        <v>0</v>
      </c>
      <c r="BU782" t="str">
        <f>IF(OR(A782=2, A782=12), "Central", IF(A782=3, "Semi-Central", "Periférica"))</f>
        <v>Periférica</v>
      </c>
    </row>
    <row r="783" spans="1:73" x14ac:dyDescent="0.3">
      <c r="A783" s="1">
        <v>13</v>
      </c>
      <c r="B783" s="1">
        <v>1304</v>
      </c>
      <c r="C783" s="1">
        <v>404</v>
      </c>
      <c r="D783" t="s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 s="1">
        <v>13</v>
      </c>
      <c r="AJ783" s="1">
        <v>1304</v>
      </c>
      <c r="AK783" s="1">
        <v>404</v>
      </c>
      <c r="AL783" t="s">
        <v>1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f>(I783+J783+N783+O783)/4</f>
        <v>0</v>
      </c>
      <c r="BR783">
        <f>(K783+L783+M783)/3</f>
        <v>0</v>
      </c>
      <c r="BS783">
        <v>0</v>
      </c>
      <c r="BT783">
        <v>0</v>
      </c>
      <c r="BU783" t="str">
        <f>IF(OR(A783=2, A783=12), "Central", IF(A783=3, "Semi-Central", "Periférica"))</f>
        <v>Periférica</v>
      </c>
    </row>
    <row r="784" spans="1:73" x14ac:dyDescent="0.3">
      <c r="A784" s="1">
        <v>13</v>
      </c>
      <c r="B784" s="1" t="s">
        <v>79</v>
      </c>
      <c r="C784" s="1" t="s">
        <v>78</v>
      </c>
      <c r="D784" t="s">
        <v>5</v>
      </c>
      <c r="F784">
        <v>0</v>
      </c>
      <c r="G784">
        <v>0</v>
      </c>
      <c r="H784">
        <v>3</v>
      </c>
      <c r="I784">
        <v>12.66666666666667</v>
      </c>
      <c r="J784">
        <v>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 s="1">
        <v>13</v>
      </c>
      <c r="AJ784" s="1" t="s">
        <v>79</v>
      </c>
      <c r="AK784" s="1" t="s">
        <v>78</v>
      </c>
      <c r="AL784" t="s">
        <v>5</v>
      </c>
      <c r="AN784">
        <v>0</v>
      </c>
      <c r="AO784">
        <v>0</v>
      </c>
      <c r="AP784">
        <v>270</v>
      </c>
      <c r="AQ784">
        <v>1140</v>
      </c>
      <c r="AR784">
        <v>540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f>(I784+J784+N784+O784)/4</f>
        <v>4.6666666666666679</v>
      </c>
      <c r="BR784">
        <f>(K784+L784+M784)/3</f>
        <v>0</v>
      </c>
      <c r="BS784">
        <v>0</v>
      </c>
      <c r="BT784">
        <f>AQ784/I784</f>
        <v>89.999999999999986</v>
      </c>
      <c r="BU784" t="str">
        <f>IF(OR(A784=2, A784=12), "Central", IF(A784=3, "Semi-Central", "Periférica"))</f>
        <v>Periférica</v>
      </c>
    </row>
    <row r="785" spans="1:73" x14ac:dyDescent="0.3">
      <c r="A785" s="1">
        <v>13</v>
      </c>
      <c r="B785" s="1" t="s">
        <v>79</v>
      </c>
      <c r="C785" s="1" t="s">
        <v>78</v>
      </c>
      <c r="D785" t="s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3</v>
      </c>
      <c r="O785">
        <v>9</v>
      </c>
      <c r="P785">
        <v>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s="1">
        <v>13</v>
      </c>
      <c r="AJ785" s="1" t="s">
        <v>79</v>
      </c>
      <c r="AK785" s="1" t="s">
        <v>78</v>
      </c>
      <c r="AL785" t="s">
        <v>1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270</v>
      </c>
      <c r="AW785">
        <v>810</v>
      </c>
      <c r="AX785">
        <v>180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f>(I785+J785+N785+O785)/4</f>
        <v>3</v>
      </c>
      <c r="BR785">
        <f>(K785+L785+M785)/3</f>
        <v>0</v>
      </c>
      <c r="BS785">
        <v>0</v>
      </c>
      <c r="BT785">
        <v>0</v>
      </c>
      <c r="BU785" t="str">
        <f>IF(OR(A785=2, A785=12), "Central", IF(A785=3, "Semi-Central", "Periférica"))</f>
        <v>Periférica</v>
      </c>
    </row>
    <row r="786" spans="1:73" x14ac:dyDescent="0.3">
      <c r="A786" s="1">
        <v>13</v>
      </c>
      <c r="B786" s="1" t="s">
        <v>77</v>
      </c>
      <c r="C786" s="1" t="s">
        <v>76</v>
      </c>
      <c r="D786" t="s">
        <v>5</v>
      </c>
      <c r="F786">
        <v>0</v>
      </c>
      <c r="G786">
        <v>0</v>
      </c>
      <c r="H786">
        <v>4</v>
      </c>
      <c r="I786">
        <v>8</v>
      </c>
      <c r="J786">
        <v>3.333333333333333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 s="1">
        <v>13</v>
      </c>
      <c r="AJ786" s="1" t="s">
        <v>77</v>
      </c>
      <c r="AK786" s="1" t="s">
        <v>76</v>
      </c>
      <c r="AL786" t="s">
        <v>5</v>
      </c>
      <c r="AN786">
        <v>0</v>
      </c>
      <c r="AO786">
        <v>0</v>
      </c>
      <c r="AP786">
        <v>360</v>
      </c>
      <c r="AQ786">
        <v>720</v>
      </c>
      <c r="AR786">
        <v>300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f>(I786+J786+N786+O786)/4</f>
        <v>2.833333333333333</v>
      </c>
      <c r="BR786">
        <f>(K786+L786+M786)/3</f>
        <v>0</v>
      </c>
      <c r="BS786">
        <v>0</v>
      </c>
      <c r="BT786">
        <f>AQ786/I786</f>
        <v>90</v>
      </c>
      <c r="BU786" t="str">
        <f>IF(OR(A786=2, A786=12), "Central", IF(A786=3, "Semi-Central", "Periférica"))</f>
        <v>Periférica</v>
      </c>
    </row>
    <row r="787" spans="1:73" x14ac:dyDescent="0.3">
      <c r="A787" s="1">
        <v>13</v>
      </c>
      <c r="B787" s="1" t="s">
        <v>77</v>
      </c>
      <c r="C787" s="1" t="s">
        <v>76</v>
      </c>
      <c r="D787" t="s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7</v>
      </c>
      <c r="O787">
        <v>5.5</v>
      </c>
      <c r="P787">
        <v>1.333333333333333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 s="1">
        <v>13</v>
      </c>
      <c r="AJ787" s="1" t="s">
        <v>77</v>
      </c>
      <c r="AK787" s="1" t="s">
        <v>76</v>
      </c>
      <c r="AL787" t="s">
        <v>1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630</v>
      </c>
      <c r="AW787">
        <v>495</v>
      </c>
      <c r="AX787">
        <v>120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f>(I787+J787+N787+O787)/4</f>
        <v>3.125</v>
      </c>
      <c r="BR787">
        <f>(K787+L787+M787)/3</f>
        <v>0</v>
      </c>
      <c r="BS787">
        <v>0</v>
      </c>
      <c r="BT787">
        <v>0</v>
      </c>
      <c r="BU787" t="str">
        <f>IF(OR(A787=2, A787=12), "Central", IF(A787=3, "Semi-Central", "Periférica"))</f>
        <v>Periférica</v>
      </c>
    </row>
    <row r="788" spans="1:73" x14ac:dyDescent="0.3">
      <c r="A788" s="1">
        <v>13</v>
      </c>
      <c r="B788" s="1" t="s">
        <v>75</v>
      </c>
      <c r="C788" s="1" t="s">
        <v>74</v>
      </c>
      <c r="D788" t="s">
        <v>5</v>
      </c>
      <c r="F788">
        <v>0</v>
      </c>
      <c r="G788">
        <v>0</v>
      </c>
      <c r="H788">
        <v>3</v>
      </c>
      <c r="I788">
        <v>7.333333333333333</v>
      </c>
      <c r="J788">
        <v>4.666666666666667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 s="1">
        <v>13</v>
      </c>
      <c r="AJ788" s="1" t="s">
        <v>75</v>
      </c>
      <c r="AK788" s="1" t="s">
        <v>74</v>
      </c>
      <c r="AL788" t="s">
        <v>5</v>
      </c>
      <c r="AN788">
        <v>0</v>
      </c>
      <c r="AO788">
        <v>0</v>
      </c>
      <c r="AP788">
        <v>270</v>
      </c>
      <c r="AQ788">
        <v>660</v>
      </c>
      <c r="AR788">
        <v>420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f>(I788+J788+N788+O788)/4</f>
        <v>3</v>
      </c>
      <c r="BR788">
        <f>(K788+L788+M788)/3</f>
        <v>0</v>
      </c>
      <c r="BS788">
        <v>0</v>
      </c>
      <c r="BT788">
        <f>AQ788/I788</f>
        <v>90</v>
      </c>
      <c r="BU788" t="str">
        <f>IF(OR(A788=2, A788=12), "Central", IF(A788=3, "Semi-Central", "Periférica"))</f>
        <v>Periférica</v>
      </c>
    </row>
    <row r="789" spans="1:73" x14ac:dyDescent="0.3">
      <c r="A789" s="1">
        <v>13</v>
      </c>
      <c r="B789" s="1" t="s">
        <v>75</v>
      </c>
      <c r="C789" s="1" t="s">
        <v>74</v>
      </c>
      <c r="D789" t="s">
        <v>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4.5</v>
      </c>
      <c r="O789">
        <v>5</v>
      </c>
      <c r="P789">
        <v>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 s="1">
        <v>13</v>
      </c>
      <c r="AJ789" s="1" t="s">
        <v>75</v>
      </c>
      <c r="AK789" s="1" t="s">
        <v>74</v>
      </c>
      <c r="AL789" t="s">
        <v>1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405</v>
      </c>
      <c r="AW789">
        <v>450</v>
      </c>
      <c r="AX789">
        <v>180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f>(I789+J789+N789+O789)/4</f>
        <v>2.375</v>
      </c>
      <c r="BR789">
        <f>(K789+L789+M789)/3</f>
        <v>0</v>
      </c>
      <c r="BS789">
        <v>0</v>
      </c>
      <c r="BT789">
        <v>0</v>
      </c>
      <c r="BU789" t="str">
        <f>IF(OR(A789=2, A789=12), "Central", IF(A789=3, "Semi-Central", "Periférica"))</f>
        <v>Periférica</v>
      </c>
    </row>
    <row r="790" spans="1:73" x14ac:dyDescent="0.3">
      <c r="A790" s="1">
        <v>13</v>
      </c>
      <c r="B790" s="1" t="s">
        <v>73</v>
      </c>
      <c r="C790" s="1" t="s">
        <v>72</v>
      </c>
      <c r="D790" t="s">
        <v>5</v>
      </c>
      <c r="F790">
        <v>0</v>
      </c>
      <c r="G790">
        <v>0</v>
      </c>
      <c r="H790">
        <v>5</v>
      </c>
      <c r="I790">
        <v>4.666666666666667</v>
      </c>
      <c r="J790">
        <v>4.666666666666667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s="1">
        <v>13</v>
      </c>
      <c r="AJ790" s="1" t="s">
        <v>73</v>
      </c>
      <c r="AK790" s="1" t="s">
        <v>72</v>
      </c>
      <c r="AL790" t="s">
        <v>5</v>
      </c>
      <c r="AN790">
        <v>0</v>
      </c>
      <c r="AO790">
        <v>0</v>
      </c>
      <c r="AP790">
        <v>450</v>
      </c>
      <c r="AQ790">
        <v>420</v>
      </c>
      <c r="AR790">
        <v>420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f>(I790+J790+N790+O790)/4</f>
        <v>2.3333333333333335</v>
      </c>
      <c r="BR790">
        <f>(K790+L790+M790)/3</f>
        <v>0</v>
      </c>
      <c r="BS790">
        <v>0</v>
      </c>
      <c r="BT790">
        <f>AQ790/I790</f>
        <v>90</v>
      </c>
      <c r="BU790" t="str">
        <f>IF(OR(A790=2, A790=12), "Central", IF(A790=3, "Semi-Central", "Periférica"))</f>
        <v>Periférica</v>
      </c>
    </row>
    <row r="791" spans="1:73" x14ac:dyDescent="0.3">
      <c r="A791" s="1">
        <v>13</v>
      </c>
      <c r="B791" s="1" t="s">
        <v>73</v>
      </c>
      <c r="C791" s="1" t="s">
        <v>72</v>
      </c>
      <c r="D791" t="s">
        <v>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4.5</v>
      </c>
      <c r="O791">
        <v>5</v>
      </c>
      <c r="P791">
        <v>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 s="1">
        <v>13</v>
      </c>
      <c r="AJ791" s="1" t="s">
        <v>73</v>
      </c>
      <c r="AK791" s="1" t="s">
        <v>72</v>
      </c>
      <c r="AL791" t="s">
        <v>1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405</v>
      </c>
      <c r="AW791">
        <v>450</v>
      </c>
      <c r="AX791">
        <v>180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f>(I791+J791+N791+O791)/4</f>
        <v>2.375</v>
      </c>
      <c r="BR791">
        <f>(K791+L791+M791)/3</f>
        <v>0</v>
      </c>
      <c r="BS791">
        <v>0</v>
      </c>
      <c r="BT791">
        <v>0</v>
      </c>
      <c r="BU791" t="str">
        <f>IF(OR(A791=2, A791=12), "Central", IF(A791=3, "Semi-Central", "Periférica"))</f>
        <v>Periférica</v>
      </c>
    </row>
    <row r="792" spans="1:73" x14ac:dyDescent="0.3">
      <c r="A792" s="1">
        <v>13</v>
      </c>
      <c r="B792" s="1">
        <v>1336</v>
      </c>
      <c r="C792" s="1">
        <v>486</v>
      </c>
      <c r="D792" t="s">
        <v>5</v>
      </c>
      <c r="F792">
        <v>0</v>
      </c>
      <c r="G792">
        <v>0</v>
      </c>
      <c r="H792">
        <v>5</v>
      </c>
      <c r="I792">
        <v>6</v>
      </c>
      <c r="J792">
        <v>5.333333333333333</v>
      </c>
      <c r="K792">
        <v>0</v>
      </c>
      <c r="L792">
        <v>0</v>
      </c>
      <c r="M792">
        <v>0</v>
      </c>
      <c r="N792">
        <v>5</v>
      </c>
      <c r="O792">
        <v>4.5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 s="1">
        <v>13</v>
      </c>
      <c r="AJ792" s="1">
        <v>1336</v>
      </c>
      <c r="AK792" s="1">
        <v>486</v>
      </c>
      <c r="AL792" t="s">
        <v>5</v>
      </c>
      <c r="AN792">
        <v>0</v>
      </c>
      <c r="AO792">
        <v>0</v>
      </c>
      <c r="AP792">
        <v>450</v>
      </c>
      <c r="AQ792">
        <v>540</v>
      </c>
      <c r="AR792">
        <v>480</v>
      </c>
      <c r="AS792">
        <v>0</v>
      </c>
      <c r="AT792">
        <v>0</v>
      </c>
      <c r="AU792">
        <v>0</v>
      </c>
      <c r="AV792">
        <v>450</v>
      </c>
      <c r="AW792">
        <v>405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f>(I792+J792+N792+O792)/4</f>
        <v>5.208333333333333</v>
      </c>
      <c r="BR792">
        <f>(K792+L792+M792)/3</f>
        <v>0</v>
      </c>
      <c r="BS792">
        <v>0</v>
      </c>
      <c r="BT792">
        <f>AQ792/I792</f>
        <v>90</v>
      </c>
      <c r="BU792" t="str">
        <f>IF(OR(A792=2, A792=12), "Central", IF(A792=3, "Semi-Central", "Periférica"))</f>
        <v>Periférica</v>
      </c>
    </row>
    <row r="793" spans="1:73" x14ac:dyDescent="0.3">
      <c r="A793" s="1">
        <v>13</v>
      </c>
      <c r="B793" s="1">
        <v>1336</v>
      </c>
      <c r="C793" s="1">
        <v>486</v>
      </c>
      <c r="D793" t="s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 s="1">
        <v>13</v>
      </c>
      <c r="AJ793" s="1">
        <v>1336</v>
      </c>
      <c r="AK793" s="1">
        <v>486</v>
      </c>
      <c r="AL793" t="s">
        <v>1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f>(I793+J793+N793+O793)/4</f>
        <v>0</v>
      </c>
      <c r="BR793">
        <f>(K793+L793+M793)/3</f>
        <v>0</v>
      </c>
      <c r="BS793">
        <v>0</v>
      </c>
      <c r="BT793">
        <v>0</v>
      </c>
      <c r="BU793" t="str">
        <f>IF(OR(A793=2, A793=12), "Central", IF(A793=3, "Semi-Central", "Periférica"))</f>
        <v>Periférica</v>
      </c>
    </row>
    <row r="794" spans="1:73" x14ac:dyDescent="0.3">
      <c r="A794" s="1">
        <v>13</v>
      </c>
      <c r="B794" s="1" t="s">
        <v>71</v>
      </c>
      <c r="C794" s="1" t="s">
        <v>70</v>
      </c>
      <c r="D794" t="s">
        <v>5</v>
      </c>
      <c r="F794">
        <v>0</v>
      </c>
      <c r="G794">
        <v>0</v>
      </c>
      <c r="H794">
        <v>6</v>
      </c>
      <c r="I794">
        <v>6</v>
      </c>
      <c r="J794">
        <v>5.333333333333333</v>
      </c>
      <c r="K794">
        <v>0</v>
      </c>
      <c r="L794">
        <v>0</v>
      </c>
      <c r="M794">
        <v>0</v>
      </c>
      <c r="N794">
        <v>6</v>
      </c>
      <c r="O794">
        <v>5</v>
      </c>
      <c r="P794">
        <v>2.666666666666667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 s="1">
        <v>13</v>
      </c>
      <c r="AJ794" s="1" t="s">
        <v>71</v>
      </c>
      <c r="AK794" s="1" t="s">
        <v>70</v>
      </c>
      <c r="AL794" t="s">
        <v>5</v>
      </c>
      <c r="AN794">
        <v>0</v>
      </c>
      <c r="AO794">
        <v>0</v>
      </c>
      <c r="AP794">
        <v>540</v>
      </c>
      <c r="AQ794">
        <v>540</v>
      </c>
      <c r="AR794">
        <v>480</v>
      </c>
      <c r="AS794">
        <v>0</v>
      </c>
      <c r="AT794">
        <v>0</v>
      </c>
      <c r="AU794">
        <v>0</v>
      </c>
      <c r="AV794">
        <v>540</v>
      </c>
      <c r="AW794">
        <v>450</v>
      </c>
      <c r="AX794">
        <v>240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f>(I794+J794+N794+O794)/4</f>
        <v>5.583333333333333</v>
      </c>
      <c r="BR794">
        <f>(K794+L794+M794)/3</f>
        <v>0</v>
      </c>
      <c r="BS794">
        <v>0</v>
      </c>
      <c r="BT794">
        <f>AQ794/I794</f>
        <v>90</v>
      </c>
      <c r="BU794" t="str">
        <f>IF(OR(A794=2, A794=12), "Central", IF(A794=3, "Semi-Central", "Periférica"))</f>
        <v>Periférica</v>
      </c>
    </row>
    <row r="795" spans="1:73" x14ac:dyDescent="0.3">
      <c r="A795" s="1">
        <v>13</v>
      </c>
      <c r="B795" s="1" t="s">
        <v>71</v>
      </c>
      <c r="C795" s="1" t="s">
        <v>70</v>
      </c>
      <c r="D795" t="s">
        <v>1</v>
      </c>
      <c r="F795">
        <v>0</v>
      </c>
      <c r="G795">
        <v>0</v>
      </c>
      <c r="H795">
        <v>8</v>
      </c>
      <c r="I795">
        <v>6.666666666666667</v>
      </c>
      <c r="J795">
        <v>5.333333333333333</v>
      </c>
      <c r="K795">
        <v>0</v>
      </c>
      <c r="L795">
        <v>0</v>
      </c>
      <c r="M795">
        <v>0</v>
      </c>
      <c r="N795">
        <v>6</v>
      </c>
      <c r="O795">
        <v>5.5</v>
      </c>
      <c r="P795">
        <v>2.666666666666667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 s="1">
        <v>13</v>
      </c>
      <c r="AJ795" s="1" t="s">
        <v>71</v>
      </c>
      <c r="AK795" s="1" t="s">
        <v>70</v>
      </c>
      <c r="AL795" t="s">
        <v>1</v>
      </c>
      <c r="AN795">
        <v>0</v>
      </c>
      <c r="AO795">
        <v>0</v>
      </c>
      <c r="AP795">
        <v>720</v>
      </c>
      <c r="AQ795">
        <v>600</v>
      </c>
      <c r="AR795">
        <v>480</v>
      </c>
      <c r="AS795">
        <v>0</v>
      </c>
      <c r="AT795">
        <v>0</v>
      </c>
      <c r="AU795">
        <v>0</v>
      </c>
      <c r="AV795">
        <v>540</v>
      </c>
      <c r="AW795">
        <v>495</v>
      </c>
      <c r="AX795">
        <v>240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f>(I795+J795+N795+O795)/4</f>
        <v>5.875</v>
      </c>
      <c r="BR795">
        <f>(K795+L795+M795)/3</f>
        <v>0</v>
      </c>
      <c r="BS795">
        <v>0</v>
      </c>
      <c r="BT795">
        <f>AQ795/I795</f>
        <v>90</v>
      </c>
      <c r="BU795" t="str">
        <f>IF(OR(A795=2, A795=12), "Central", IF(A795=3, "Semi-Central", "Periférica"))</f>
        <v>Periférica</v>
      </c>
    </row>
    <row r="796" spans="1:73" x14ac:dyDescent="0.3">
      <c r="A796" s="1">
        <v>13</v>
      </c>
      <c r="B796" s="1" t="s">
        <v>69</v>
      </c>
      <c r="C796" s="1">
        <v>430</v>
      </c>
      <c r="D796" t="s">
        <v>5</v>
      </c>
      <c r="F796">
        <v>0</v>
      </c>
      <c r="G796">
        <v>0</v>
      </c>
      <c r="H796">
        <v>0</v>
      </c>
      <c r="I796">
        <v>2.666666666666667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 s="1">
        <v>13</v>
      </c>
      <c r="AJ796" s="1" t="s">
        <v>69</v>
      </c>
      <c r="AK796" s="1">
        <v>430</v>
      </c>
      <c r="AL796" t="s">
        <v>5</v>
      </c>
      <c r="AN796">
        <v>0</v>
      </c>
      <c r="AO796">
        <v>0</v>
      </c>
      <c r="AP796">
        <v>0</v>
      </c>
      <c r="AQ796">
        <v>400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f>(I796+J796+N796+O796)/4</f>
        <v>0.66666666666666674</v>
      </c>
      <c r="BR796">
        <f>(K796+L796+M796)/3</f>
        <v>0</v>
      </c>
      <c r="BS796">
        <v>0</v>
      </c>
      <c r="BT796">
        <f>AQ796/I796</f>
        <v>149.99999999999997</v>
      </c>
      <c r="BU796" t="str">
        <f>IF(OR(A796=2, A796=12), "Central", IF(A796=3, "Semi-Central", "Periférica"))</f>
        <v>Periférica</v>
      </c>
    </row>
    <row r="797" spans="1:73" x14ac:dyDescent="0.3">
      <c r="A797" s="1">
        <v>13</v>
      </c>
      <c r="B797" s="1" t="s">
        <v>69</v>
      </c>
      <c r="C797" s="1">
        <v>430</v>
      </c>
      <c r="D797" t="s">
        <v>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 s="1">
        <v>13</v>
      </c>
      <c r="AJ797" s="1" t="s">
        <v>69</v>
      </c>
      <c r="AK797" s="1">
        <v>430</v>
      </c>
      <c r="AL797" t="s">
        <v>1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f>(I797+J797+N797+O797)/4</f>
        <v>0</v>
      </c>
      <c r="BR797">
        <f>(K797+L797+M797)/3</f>
        <v>0</v>
      </c>
      <c r="BS797">
        <v>0</v>
      </c>
      <c r="BT797">
        <v>0</v>
      </c>
      <c r="BU797" t="str">
        <f>IF(OR(A797=2, A797=12), "Central", IF(A797=3, "Semi-Central", "Periférica"))</f>
        <v>Periférica</v>
      </c>
    </row>
    <row r="798" spans="1:73" x14ac:dyDescent="0.3">
      <c r="A798" s="1">
        <v>13</v>
      </c>
      <c r="B798" s="1" t="s">
        <v>68</v>
      </c>
      <c r="C798" s="1">
        <v>421</v>
      </c>
      <c r="D798" t="s">
        <v>5</v>
      </c>
      <c r="F798">
        <v>0</v>
      </c>
      <c r="G798">
        <v>0</v>
      </c>
      <c r="H798">
        <v>0</v>
      </c>
      <c r="I798">
        <v>2.666666666666667</v>
      </c>
      <c r="J798">
        <v>3.333333333333333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 s="1">
        <v>13</v>
      </c>
      <c r="AJ798" s="1" t="s">
        <v>68</v>
      </c>
      <c r="AK798" s="1">
        <v>421</v>
      </c>
      <c r="AL798" t="s">
        <v>5</v>
      </c>
      <c r="AN798">
        <v>0</v>
      </c>
      <c r="AO798">
        <v>0</v>
      </c>
      <c r="AP798">
        <v>0</v>
      </c>
      <c r="AQ798">
        <v>240</v>
      </c>
      <c r="AR798">
        <v>300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f>(I798+J798+N798+O798)/4</f>
        <v>1.5</v>
      </c>
      <c r="BR798">
        <f>(K798+L798+M798)/3</f>
        <v>0</v>
      </c>
      <c r="BS798">
        <v>0</v>
      </c>
      <c r="BT798">
        <f>AQ798/I798</f>
        <v>89.999999999999986</v>
      </c>
      <c r="BU798" t="str">
        <f>IF(OR(A798=2, A798=12), "Central", IF(A798=3, "Semi-Central", "Periférica"))</f>
        <v>Periférica</v>
      </c>
    </row>
    <row r="799" spans="1:73" x14ac:dyDescent="0.3">
      <c r="A799" s="1">
        <v>13</v>
      </c>
      <c r="B799" s="1" t="s">
        <v>68</v>
      </c>
      <c r="C799" s="1">
        <v>421</v>
      </c>
      <c r="D799" t="s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s="1">
        <v>13</v>
      </c>
      <c r="AJ799" s="1" t="s">
        <v>68</v>
      </c>
      <c r="AK799" s="1">
        <v>421</v>
      </c>
      <c r="AL799" t="s">
        <v>1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f>(I799+J799+N799+O799)/4</f>
        <v>0</v>
      </c>
      <c r="BR799">
        <f>(K799+L799+M799)/3</f>
        <v>0</v>
      </c>
      <c r="BS799">
        <v>0</v>
      </c>
      <c r="BT799">
        <v>0</v>
      </c>
      <c r="BU799" t="str">
        <f>IF(OR(A799=2, A799=12), "Central", IF(A799=3, "Semi-Central", "Periférica"))</f>
        <v>Periférica</v>
      </c>
    </row>
    <row r="800" spans="1:73" x14ac:dyDescent="0.3">
      <c r="A800" s="1">
        <v>13</v>
      </c>
      <c r="B800" s="1" t="s">
        <v>67</v>
      </c>
      <c r="C800" s="1" t="s">
        <v>66</v>
      </c>
      <c r="D800" t="s">
        <v>5</v>
      </c>
      <c r="F800">
        <v>0</v>
      </c>
      <c r="G800">
        <v>0</v>
      </c>
      <c r="H800">
        <v>0</v>
      </c>
      <c r="I800">
        <v>0.66666666666666663</v>
      </c>
      <c r="J800">
        <v>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 s="1">
        <v>13</v>
      </c>
      <c r="AJ800" s="1" t="s">
        <v>67</v>
      </c>
      <c r="AK800" s="1" t="s">
        <v>66</v>
      </c>
      <c r="AL800" t="s">
        <v>5</v>
      </c>
      <c r="AN800">
        <v>0</v>
      </c>
      <c r="AO800">
        <v>0</v>
      </c>
      <c r="AP800">
        <v>0</v>
      </c>
      <c r="AQ800">
        <v>60</v>
      </c>
      <c r="AR800">
        <v>180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f>(I800+J800+N800+O800)/4</f>
        <v>0.66666666666666663</v>
      </c>
      <c r="BR800">
        <f>(K800+L800+M800)/3</f>
        <v>0</v>
      </c>
      <c r="BS800">
        <v>0</v>
      </c>
      <c r="BT800">
        <f>AQ800/I800</f>
        <v>90</v>
      </c>
      <c r="BU800" t="str">
        <f>IF(OR(A800=2, A800=12), "Central", IF(A800=3, "Semi-Central", "Periférica"))</f>
        <v>Periférica</v>
      </c>
    </row>
    <row r="801" spans="1:73" x14ac:dyDescent="0.3">
      <c r="A801" s="1">
        <v>13</v>
      </c>
      <c r="B801" s="1" t="s">
        <v>67</v>
      </c>
      <c r="C801" s="1" t="s">
        <v>66</v>
      </c>
      <c r="D801" t="s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2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 s="1">
        <v>13</v>
      </c>
      <c r="AJ801" s="1" t="s">
        <v>67</v>
      </c>
      <c r="AK801" s="1" t="s">
        <v>66</v>
      </c>
      <c r="AL801" t="s">
        <v>1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180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f>(I801+J801+N801+O801)/4</f>
        <v>0.5</v>
      </c>
      <c r="BR801">
        <f>(K801+L801+M801)/3</f>
        <v>0</v>
      </c>
      <c r="BS801">
        <v>0</v>
      </c>
      <c r="BT801">
        <v>0</v>
      </c>
      <c r="BU801" t="str">
        <f>IF(OR(A801=2, A801=12), "Central", IF(A801=3, "Semi-Central", "Periférica"))</f>
        <v>Periférica</v>
      </c>
    </row>
    <row r="802" spans="1:73" x14ac:dyDescent="0.3">
      <c r="A802" s="1">
        <v>13</v>
      </c>
      <c r="B802" s="1">
        <v>1345</v>
      </c>
      <c r="C802" s="1" t="s">
        <v>65</v>
      </c>
      <c r="D802" t="s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 s="1">
        <v>13</v>
      </c>
      <c r="AJ802" s="1">
        <v>1345</v>
      </c>
      <c r="AK802" s="1" t="s">
        <v>65</v>
      </c>
      <c r="AL802" t="s">
        <v>1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f>(I802+J802+N802+O802)/4</f>
        <v>0</v>
      </c>
      <c r="BR802">
        <f>(K802+L802+M802)/3</f>
        <v>0</v>
      </c>
      <c r="BS802">
        <v>0</v>
      </c>
      <c r="BT802">
        <v>0</v>
      </c>
      <c r="BU802" t="str">
        <f>IF(OR(A802=2, A802=12), "Central", IF(A802=3, "Semi-Central", "Periférica"))</f>
        <v>Periférica</v>
      </c>
    </row>
    <row r="803" spans="1:73" x14ac:dyDescent="0.3">
      <c r="A803" s="1">
        <v>13</v>
      </c>
      <c r="B803" s="1" t="s">
        <v>64</v>
      </c>
      <c r="C803" s="1" t="s">
        <v>63</v>
      </c>
      <c r="D803" t="s">
        <v>5</v>
      </c>
      <c r="F803">
        <v>0</v>
      </c>
      <c r="G803">
        <v>0</v>
      </c>
      <c r="H803">
        <v>0</v>
      </c>
      <c r="I803">
        <v>2.666666666666667</v>
      </c>
      <c r="J803">
        <v>3.333333333333333</v>
      </c>
      <c r="K803">
        <v>0</v>
      </c>
      <c r="L803">
        <v>0</v>
      </c>
      <c r="M803">
        <v>0</v>
      </c>
      <c r="N803">
        <v>4</v>
      </c>
      <c r="O803">
        <v>4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 s="1">
        <v>13</v>
      </c>
      <c r="AJ803" s="1" t="s">
        <v>64</v>
      </c>
      <c r="AK803" s="1" t="s">
        <v>63</v>
      </c>
      <c r="AL803" t="s">
        <v>5</v>
      </c>
      <c r="AN803">
        <v>0</v>
      </c>
      <c r="AO803">
        <v>0</v>
      </c>
      <c r="AP803">
        <v>0</v>
      </c>
      <c r="AQ803">
        <v>240</v>
      </c>
      <c r="AR803">
        <v>300</v>
      </c>
      <c r="AS803">
        <v>0</v>
      </c>
      <c r="AT803">
        <v>0</v>
      </c>
      <c r="AU803">
        <v>0</v>
      </c>
      <c r="AV803">
        <v>360</v>
      </c>
      <c r="AW803">
        <v>360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f>(I803+J803+N803+O803)/4</f>
        <v>3.5</v>
      </c>
      <c r="BR803">
        <f>(K803+L803+M803)/3</f>
        <v>0</v>
      </c>
      <c r="BS803">
        <v>0</v>
      </c>
      <c r="BT803">
        <f>AQ803/I803</f>
        <v>89.999999999999986</v>
      </c>
      <c r="BU803" t="str">
        <f>IF(OR(A803=2, A803=12), "Central", IF(A803=3, "Semi-Central", "Periférica"))</f>
        <v>Periférica</v>
      </c>
    </row>
    <row r="804" spans="1:73" x14ac:dyDescent="0.3">
      <c r="A804" s="1">
        <v>13</v>
      </c>
      <c r="B804" s="1" t="s">
        <v>64</v>
      </c>
      <c r="C804" s="1" t="s">
        <v>63</v>
      </c>
      <c r="D804" t="s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 s="1">
        <v>13</v>
      </c>
      <c r="AJ804" s="1" t="s">
        <v>64</v>
      </c>
      <c r="AK804" s="1" t="s">
        <v>63</v>
      </c>
      <c r="AL804" t="s">
        <v>1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f>(I804+J804+N804+O804)/4</f>
        <v>0</v>
      </c>
      <c r="BR804">
        <f>(K804+L804+M804)/3</f>
        <v>0</v>
      </c>
      <c r="BS804">
        <v>0</v>
      </c>
      <c r="BT804">
        <v>0</v>
      </c>
      <c r="BU804" t="str">
        <f>IF(OR(A804=2, A804=12), "Central", IF(A804=3, "Semi-Central", "Periférica"))</f>
        <v>Periférica</v>
      </c>
    </row>
    <row r="805" spans="1:73" x14ac:dyDescent="0.3">
      <c r="A805" s="1">
        <v>14</v>
      </c>
      <c r="B805" s="1" t="s">
        <v>62</v>
      </c>
      <c r="C805" s="1" t="s">
        <v>61</v>
      </c>
      <c r="D805" t="s">
        <v>5</v>
      </c>
      <c r="F805">
        <v>0</v>
      </c>
      <c r="G805">
        <v>0</v>
      </c>
      <c r="H805">
        <v>5</v>
      </c>
      <c r="I805">
        <v>5.333333333333333</v>
      </c>
      <c r="J805">
        <v>2.666666666666667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 s="1">
        <v>14</v>
      </c>
      <c r="AJ805" s="1" t="s">
        <v>62</v>
      </c>
      <c r="AK805" s="1" t="s">
        <v>61</v>
      </c>
      <c r="AL805" t="s">
        <v>5</v>
      </c>
      <c r="AN805">
        <v>0</v>
      </c>
      <c r="AO805">
        <v>0</v>
      </c>
      <c r="AP805">
        <v>450</v>
      </c>
      <c r="AQ805">
        <v>480</v>
      </c>
      <c r="AR805">
        <v>240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f>(I805+J805+N805+O805)/4</f>
        <v>2</v>
      </c>
      <c r="BR805">
        <f>(K805+L805+M805)/3</f>
        <v>0</v>
      </c>
      <c r="BS805">
        <v>0</v>
      </c>
      <c r="BT805">
        <f>AQ805/I805</f>
        <v>90</v>
      </c>
      <c r="BU805" t="str">
        <f>IF(OR(A805=2, A805=12), "Central", IF(A805=3, "Semi-Central", "Periférica"))</f>
        <v>Periférica</v>
      </c>
    </row>
    <row r="806" spans="1:73" x14ac:dyDescent="0.3">
      <c r="A806" s="1">
        <v>14</v>
      </c>
      <c r="B806" s="1" t="s">
        <v>62</v>
      </c>
      <c r="C806" s="1" t="s">
        <v>61</v>
      </c>
      <c r="D806" t="s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3.5</v>
      </c>
      <c r="O806">
        <v>4</v>
      </c>
      <c r="P806">
        <v>1.333333333333333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 s="1">
        <v>14</v>
      </c>
      <c r="AJ806" s="1" t="s">
        <v>62</v>
      </c>
      <c r="AK806" s="1" t="s">
        <v>61</v>
      </c>
      <c r="AL806" t="s">
        <v>1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315</v>
      </c>
      <c r="AW806">
        <v>360</v>
      </c>
      <c r="AX806">
        <v>120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f>(I806+J806+N806+O806)/4</f>
        <v>1.875</v>
      </c>
      <c r="BR806">
        <f>(K806+L806+M806)/3</f>
        <v>0</v>
      </c>
      <c r="BS806">
        <v>0</v>
      </c>
      <c r="BT806">
        <v>0</v>
      </c>
      <c r="BU806" t="str">
        <f>IF(OR(A806=2, A806=12), "Central", IF(A806=3, "Semi-Central", "Periférica"))</f>
        <v>Periférica</v>
      </c>
    </row>
    <row r="807" spans="1:73" x14ac:dyDescent="0.3">
      <c r="A807" s="1">
        <v>14</v>
      </c>
      <c r="B807" s="1" t="s">
        <v>60</v>
      </c>
      <c r="C807" s="1" t="s">
        <v>59</v>
      </c>
      <c r="D807" t="s">
        <v>5</v>
      </c>
      <c r="F807">
        <v>0</v>
      </c>
      <c r="G807">
        <v>0</v>
      </c>
      <c r="H807">
        <v>3</v>
      </c>
      <c r="I807">
        <v>6</v>
      </c>
      <c r="J807">
        <v>0</v>
      </c>
      <c r="K807">
        <v>0</v>
      </c>
      <c r="L807">
        <v>0</v>
      </c>
      <c r="M807">
        <v>0</v>
      </c>
      <c r="N807">
        <v>2.5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 s="1">
        <v>14</v>
      </c>
      <c r="AJ807" s="1" t="s">
        <v>60</v>
      </c>
      <c r="AK807" s="1" t="s">
        <v>59</v>
      </c>
      <c r="AL807" t="s">
        <v>5</v>
      </c>
      <c r="AN807">
        <v>0</v>
      </c>
      <c r="AO807">
        <v>0</v>
      </c>
      <c r="AP807">
        <v>270</v>
      </c>
      <c r="AQ807">
        <v>540</v>
      </c>
      <c r="AR807">
        <v>0</v>
      </c>
      <c r="AS807">
        <v>0</v>
      </c>
      <c r="AT807">
        <v>0</v>
      </c>
      <c r="AU807">
        <v>0</v>
      </c>
      <c r="AV807">
        <v>225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f>(I807+J807+N807+O807)/4</f>
        <v>2.125</v>
      </c>
      <c r="BR807">
        <f>(K807+L807+M807)/3</f>
        <v>0</v>
      </c>
      <c r="BS807">
        <v>0</v>
      </c>
      <c r="BT807">
        <f>AQ807/I807</f>
        <v>90</v>
      </c>
      <c r="BU807" t="str">
        <f>IF(OR(A807=2, A807=12), "Central", IF(A807=3, "Semi-Central", "Periférica"))</f>
        <v>Periférica</v>
      </c>
    </row>
    <row r="808" spans="1:73" x14ac:dyDescent="0.3">
      <c r="A808" s="1">
        <v>14</v>
      </c>
      <c r="B808" s="1" t="s">
        <v>60</v>
      </c>
      <c r="C808" s="1" t="s">
        <v>59</v>
      </c>
      <c r="D808" t="s">
        <v>1</v>
      </c>
      <c r="F808">
        <v>0</v>
      </c>
      <c r="G808">
        <v>0</v>
      </c>
      <c r="H808">
        <v>0</v>
      </c>
      <c r="I808">
        <v>2</v>
      </c>
      <c r="J808">
        <v>2</v>
      </c>
      <c r="K808">
        <v>0</v>
      </c>
      <c r="L808">
        <v>0</v>
      </c>
      <c r="M808">
        <v>0</v>
      </c>
      <c r="N808">
        <v>5</v>
      </c>
      <c r="O808">
        <v>5.5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 s="1">
        <v>14</v>
      </c>
      <c r="AJ808" s="1" t="s">
        <v>60</v>
      </c>
      <c r="AK808" s="1" t="s">
        <v>59</v>
      </c>
      <c r="AL808" t="s">
        <v>1</v>
      </c>
      <c r="AN808">
        <v>0</v>
      </c>
      <c r="AO808">
        <v>0</v>
      </c>
      <c r="AP808">
        <v>0</v>
      </c>
      <c r="AQ808">
        <v>180</v>
      </c>
      <c r="AR808">
        <v>180</v>
      </c>
      <c r="AS808">
        <v>0</v>
      </c>
      <c r="AT808">
        <v>0</v>
      </c>
      <c r="AU808">
        <v>0</v>
      </c>
      <c r="AV808">
        <v>450</v>
      </c>
      <c r="AW808">
        <v>495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f>(I808+J808+N808+O808)/4</f>
        <v>3.625</v>
      </c>
      <c r="BR808">
        <f>(K808+L808+M808)/3</f>
        <v>0</v>
      </c>
      <c r="BS808">
        <v>0</v>
      </c>
      <c r="BT808">
        <f>AQ808/I808</f>
        <v>90</v>
      </c>
      <c r="BU808" t="str">
        <f>IF(OR(A808=2, A808=12), "Central", IF(A808=3, "Semi-Central", "Periférica"))</f>
        <v>Periférica</v>
      </c>
    </row>
    <row r="809" spans="1:73" x14ac:dyDescent="0.3">
      <c r="A809" s="1">
        <v>14</v>
      </c>
      <c r="B809" s="1" t="s">
        <v>58</v>
      </c>
      <c r="C809" s="1" t="s">
        <v>57</v>
      </c>
      <c r="D809" t="s">
        <v>5</v>
      </c>
      <c r="F809">
        <v>2</v>
      </c>
      <c r="G809">
        <v>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</v>
      </c>
      <c r="S809">
        <v>2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2</v>
      </c>
      <c r="AB809">
        <v>2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 s="1">
        <v>14</v>
      </c>
      <c r="AJ809" s="1" t="s">
        <v>58</v>
      </c>
      <c r="AK809" s="1" t="s">
        <v>57</v>
      </c>
      <c r="AL809" t="s">
        <v>5</v>
      </c>
      <c r="AN809">
        <v>180</v>
      </c>
      <c r="AO809">
        <v>180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180</v>
      </c>
      <c r="BA809">
        <v>180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180</v>
      </c>
      <c r="BJ809">
        <v>180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f>(I809+J809+N809+O809)/4</f>
        <v>0</v>
      </c>
      <c r="BR809">
        <f>(K809+L809+M809)/3</f>
        <v>0</v>
      </c>
      <c r="BS809">
        <v>0</v>
      </c>
      <c r="BT809">
        <v>0</v>
      </c>
      <c r="BU809" t="str">
        <f>IF(OR(A809=2, A809=12), "Central", IF(A809=3, "Semi-Central", "Periférica"))</f>
        <v>Periférica</v>
      </c>
    </row>
    <row r="810" spans="1:73" x14ac:dyDescent="0.3">
      <c r="A810" s="1">
        <v>14</v>
      </c>
      <c r="B810" s="1" t="s">
        <v>58</v>
      </c>
      <c r="C810" s="1" t="s">
        <v>57</v>
      </c>
      <c r="D810" t="s">
        <v>1</v>
      </c>
      <c r="F810">
        <v>2</v>
      </c>
      <c r="G810">
        <v>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</v>
      </c>
      <c r="S810">
        <v>2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2</v>
      </c>
      <c r="AB810">
        <v>2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 s="1">
        <v>14</v>
      </c>
      <c r="AJ810" s="1" t="s">
        <v>58</v>
      </c>
      <c r="AK810" s="1" t="s">
        <v>57</v>
      </c>
      <c r="AL810" t="s">
        <v>1</v>
      </c>
      <c r="AN810">
        <v>180</v>
      </c>
      <c r="AO810">
        <v>180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180</v>
      </c>
      <c r="BA810">
        <v>180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180</v>
      </c>
      <c r="BJ810">
        <v>180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f>(I810+J810+N810+O810)/4</f>
        <v>0</v>
      </c>
      <c r="BR810">
        <f>(K810+L810+M810)/3</f>
        <v>0</v>
      </c>
      <c r="BS810">
        <v>0</v>
      </c>
      <c r="BT810">
        <v>0</v>
      </c>
      <c r="BU810" t="str">
        <f>IF(OR(A810=2, A810=12), "Central", IF(A810=3, "Semi-Central", "Periférica"))</f>
        <v>Periférica</v>
      </c>
    </row>
    <row r="811" spans="1:73" x14ac:dyDescent="0.3">
      <c r="A811" s="1">
        <v>14</v>
      </c>
      <c r="B811" s="1">
        <v>1456</v>
      </c>
      <c r="C811" s="1" t="s">
        <v>56</v>
      </c>
      <c r="D811" t="s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 s="1">
        <v>14</v>
      </c>
      <c r="AJ811" s="1">
        <v>1456</v>
      </c>
      <c r="AK811" s="1" t="s">
        <v>56</v>
      </c>
      <c r="AL811" t="s">
        <v>1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f>(I811+J811+N811+O811)/4</f>
        <v>0</v>
      </c>
      <c r="BR811">
        <f>(K811+L811+M811)/3</f>
        <v>0</v>
      </c>
      <c r="BS811">
        <v>0</v>
      </c>
      <c r="BT811">
        <v>0</v>
      </c>
      <c r="BU811" t="str">
        <f>IF(OR(A811=2, A811=12), "Central", IF(A811=3, "Semi-Central", "Periférica"))</f>
        <v>Periférica</v>
      </c>
    </row>
    <row r="812" spans="1:73" x14ac:dyDescent="0.3">
      <c r="A812" s="1">
        <v>14</v>
      </c>
      <c r="B812" s="1">
        <v>1466</v>
      </c>
      <c r="C812" s="1">
        <v>126</v>
      </c>
      <c r="D812" t="s">
        <v>1</v>
      </c>
      <c r="E812" t="s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 s="1">
        <v>14</v>
      </c>
      <c r="AJ812" s="1">
        <v>1466</v>
      </c>
      <c r="AK812" s="1">
        <v>126</v>
      </c>
      <c r="AL812" t="s">
        <v>1</v>
      </c>
      <c r="AM812" t="s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f>(I812+J812+N812+O812)/4</f>
        <v>0</v>
      </c>
      <c r="BR812">
        <f>(K812+L812+M812)/3</f>
        <v>0</v>
      </c>
      <c r="BS812">
        <v>0</v>
      </c>
      <c r="BT812">
        <v>0</v>
      </c>
      <c r="BU812" t="str">
        <f>IF(OR(A812=2, A812=12), "Central", IF(A812=3, "Semi-Central", "Periférica"))</f>
        <v>Periférica</v>
      </c>
    </row>
    <row r="813" spans="1:73" x14ac:dyDescent="0.3">
      <c r="A813" s="1">
        <v>14</v>
      </c>
      <c r="B813" s="1" t="s">
        <v>55</v>
      </c>
      <c r="C813" s="1" t="s">
        <v>54</v>
      </c>
      <c r="D813" t="s">
        <v>5</v>
      </c>
      <c r="F813">
        <v>0</v>
      </c>
      <c r="G813">
        <v>0</v>
      </c>
      <c r="H813">
        <v>0</v>
      </c>
      <c r="I813">
        <v>3.333333333333333</v>
      </c>
      <c r="J813">
        <v>0.66666666666666663</v>
      </c>
      <c r="K813">
        <v>0</v>
      </c>
      <c r="L813">
        <v>0</v>
      </c>
      <c r="M813">
        <v>0</v>
      </c>
      <c r="N813">
        <v>1.5</v>
      </c>
      <c r="O813">
        <v>3</v>
      </c>
      <c r="P813">
        <v>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 s="1">
        <v>14</v>
      </c>
      <c r="AJ813" s="1" t="s">
        <v>55</v>
      </c>
      <c r="AK813" s="1" t="s">
        <v>54</v>
      </c>
      <c r="AL813" t="s">
        <v>5</v>
      </c>
      <c r="AN813">
        <v>0</v>
      </c>
      <c r="AO813">
        <v>0</v>
      </c>
      <c r="AP813">
        <v>0</v>
      </c>
      <c r="AQ813">
        <v>300</v>
      </c>
      <c r="AR813">
        <v>60</v>
      </c>
      <c r="AS813">
        <v>0</v>
      </c>
      <c r="AT813">
        <v>0</v>
      </c>
      <c r="AU813">
        <v>0</v>
      </c>
      <c r="AV813">
        <v>135</v>
      </c>
      <c r="AW813">
        <v>270</v>
      </c>
      <c r="AX813">
        <v>180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f>(I813+J813+N813+O813)/4</f>
        <v>2.125</v>
      </c>
      <c r="BR813">
        <f>(K813+L813+M813)/3</f>
        <v>0</v>
      </c>
      <c r="BS813">
        <v>0</v>
      </c>
      <c r="BT813">
        <f>AQ813/I813</f>
        <v>90.000000000000014</v>
      </c>
      <c r="BU813" t="str">
        <f>IF(OR(A813=2, A813=12), "Central", IF(A813=3, "Semi-Central", "Periférica"))</f>
        <v>Periférica</v>
      </c>
    </row>
    <row r="814" spans="1:73" x14ac:dyDescent="0.3">
      <c r="A814" s="1">
        <v>14</v>
      </c>
      <c r="B814" s="1" t="s">
        <v>55</v>
      </c>
      <c r="C814" s="1" t="s">
        <v>54</v>
      </c>
      <c r="D814" t="s">
        <v>1</v>
      </c>
      <c r="F814">
        <v>0</v>
      </c>
      <c r="G814">
        <v>0</v>
      </c>
      <c r="H814">
        <v>1</v>
      </c>
      <c r="I814">
        <v>3.333333333333333</v>
      </c>
      <c r="J814">
        <v>0.66666666666666663</v>
      </c>
      <c r="K814">
        <v>0</v>
      </c>
      <c r="L814">
        <v>0</v>
      </c>
      <c r="M814">
        <v>0</v>
      </c>
      <c r="N814">
        <v>1.5</v>
      </c>
      <c r="O814">
        <v>3</v>
      </c>
      <c r="P814">
        <v>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 s="1">
        <v>14</v>
      </c>
      <c r="AJ814" s="1" t="s">
        <v>55</v>
      </c>
      <c r="AK814" s="1" t="s">
        <v>54</v>
      </c>
      <c r="AL814" t="s">
        <v>1</v>
      </c>
      <c r="AN814">
        <v>0</v>
      </c>
      <c r="AO814">
        <v>0</v>
      </c>
      <c r="AP814">
        <v>90</v>
      </c>
      <c r="AQ814">
        <v>300</v>
      </c>
      <c r="AR814">
        <v>60</v>
      </c>
      <c r="AS814">
        <v>0</v>
      </c>
      <c r="AT814">
        <v>0</v>
      </c>
      <c r="AU814">
        <v>0</v>
      </c>
      <c r="AV814">
        <v>135</v>
      </c>
      <c r="AW814">
        <v>270</v>
      </c>
      <c r="AX814">
        <v>180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f>(I814+J814+N814+O814)/4</f>
        <v>2.125</v>
      </c>
      <c r="BR814">
        <f>(K814+L814+M814)/3</f>
        <v>0</v>
      </c>
      <c r="BS814">
        <v>0</v>
      </c>
      <c r="BT814">
        <f>AQ814/I814</f>
        <v>90.000000000000014</v>
      </c>
      <c r="BU814" t="str">
        <f>IF(OR(A814=2, A814=12), "Central", IF(A814=3, "Semi-Central", "Periférica"))</f>
        <v>Periférica</v>
      </c>
    </row>
    <row r="815" spans="1:73" x14ac:dyDescent="0.3">
      <c r="A815" s="1">
        <v>15</v>
      </c>
      <c r="B815" s="1">
        <v>1552</v>
      </c>
      <c r="C815" s="1" t="s">
        <v>53</v>
      </c>
      <c r="D815" t="s">
        <v>1</v>
      </c>
      <c r="E815" t="s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 s="1">
        <v>15</v>
      </c>
      <c r="AJ815" s="1">
        <v>1552</v>
      </c>
      <c r="AK815" s="1" t="s">
        <v>53</v>
      </c>
      <c r="AL815" t="s">
        <v>1</v>
      </c>
      <c r="AM815" t="s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f>(I815+J815+N815+O815)/4</f>
        <v>0</v>
      </c>
      <c r="BR815">
        <f>(K815+L815+M815)/3</f>
        <v>0</v>
      </c>
      <c r="BS815">
        <v>0</v>
      </c>
      <c r="BT815">
        <v>0</v>
      </c>
      <c r="BU815" t="str">
        <f>IF(OR(A815=2, A815=12), "Central", IF(A815=3, "Semi-Central", "Periférica"))</f>
        <v>Periférica</v>
      </c>
    </row>
    <row r="816" spans="1:73" x14ac:dyDescent="0.3">
      <c r="A816" s="1">
        <v>15</v>
      </c>
      <c r="B816" s="1">
        <v>1557</v>
      </c>
      <c r="C816" s="1" t="s">
        <v>51</v>
      </c>
      <c r="D816" t="s">
        <v>1</v>
      </c>
      <c r="E816" t="s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s="1">
        <v>15</v>
      </c>
      <c r="AJ816" s="1">
        <v>1557</v>
      </c>
      <c r="AK816" s="1" t="s">
        <v>51</v>
      </c>
      <c r="AL816" t="s">
        <v>1</v>
      </c>
      <c r="AM816" t="s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f>(I816+J816+N816+O816)/4</f>
        <v>0</v>
      </c>
      <c r="BR816">
        <f>(K816+L816+M816)/3</f>
        <v>0</v>
      </c>
      <c r="BS816">
        <v>0</v>
      </c>
      <c r="BT816">
        <v>0</v>
      </c>
      <c r="BU816" t="str">
        <f>IF(OR(A816=2, A816=12), "Central", IF(A816=3, "Semi-Central", "Periférica"))</f>
        <v>Periférica</v>
      </c>
    </row>
    <row r="817" spans="1:73" x14ac:dyDescent="0.3">
      <c r="A817" s="1">
        <v>15</v>
      </c>
      <c r="B817" s="1" t="s">
        <v>52</v>
      </c>
      <c r="C817" s="1" t="s">
        <v>51</v>
      </c>
      <c r="D817" t="s">
        <v>5</v>
      </c>
      <c r="E817" t="s">
        <v>0</v>
      </c>
      <c r="F817">
        <v>0</v>
      </c>
      <c r="G817">
        <v>0.22222222222222221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 s="1">
        <v>15</v>
      </c>
      <c r="AJ817" s="1" t="s">
        <v>52</v>
      </c>
      <c r="AK817" s="1" t="s">
        <v>51</v>
      </c>
      <c r="AL817" t="s">
        <v>5</v>
      </c>
      <c r="AM817" t="s">
        <v>0</v>
      </c>
      <c r="AN817">
        <v>0</v>
      </c>
      <c r="AO817">
        <v>20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f>(I817+J817+N817+O817)/4</f>
        <v>0</v>
      </c>
      <c r="BR817">
        <f>(K817+L817+M817)/3</f>
        <v>0</v>
      </c>
      <c r="BS817">
        <v>0</v>
      </c>
      <c r="BT817">
        <v>0</v>
      </c>
      <c r="BU817" t="str">
        <f>IF(OR(A817=2, A817=12), "Central", IF(A817=3, "Semi-Central", "Periférica"))</f>
        <v>Periférica</v>
      </c>
    </row>
    <row r="818" spans="1:73" x14ac:dyDescent="0.3">
      <c r="A818" s="1">
        <v>15</v>
      </c>
      <c r="B818" s="1" t="s">
        <v>52</v>
      </c>
      <c r="C818" s="1" t="s">
        <v>51</v>
      </c>
      <c r="D818" t="s">
        <v>1</v>
      </c>
      <c r="E818" t="s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 s="1">
        <v>15</v>
      </c>
      <c r="AJ818" s="1" t="s">
        <v>52</v>
      </c>
      <c r="AK818" s="1" t="s">
        <v>51</v>
      </c>
      <c r="AL818" t="s">
        <v>1</v>
      </c>
      <c r="AM818" t="s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f>(I818+J818+N818+O818)/4</f>
        <v>0</v>
      </c>
      <c r="BR818">
        <f>(K818+L818+M818)/3</f>
        <v>0</v>
      </c>
      <c r="BS818">
        <v>0</v>
      </c>
      <c r="BT818">
        <v>0</v>
      </c>
      <c r="BU818" t="str">
        <f>IF(OR(A818=2, A818=12), "Central", IF(A818=3, "Semi-Central", "Periférica"))</f>
        <v>Periférica</v>
      </c>
    </row>
    <row r="819" spans="1:73" x14ac:dyDescent="0.3">
      <c r="A819" s="1">
        <v>15</v>
      </c>
      <c r="B819" s="1" t="s">
        <v>50</v>
      </c>
      <c r="C819" s="1" t="s">
        <v>48</v>
      </c>
      <c r="D819" t="s">
        <v>1</v>
      </c>
      <c r="E819" t="s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 s="1">
        <v>15</v>
      </c>
      <c r="AJ819" s="1" t="s">
        <v>50</v>
      </c>
      <c r="AK819" s="1" t="s">
        <v>48</v>
      </c>
      <c r="AL819" t="s">
        <v>1</v>
      </c>
      <c r="AM819" t="s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f>(I819+J819+N819+O819)/4</f>
        <v>0</v>
      </c>
      <c r="BR819">
        <f>(K819+L819+M819)/3</f>
        <v>0</v>
      </c>
      <c r="BS819">
        <v>0</v>
      </c>
      <c r="BT819">
        <v>0</v>
      </c>
      <c r="BU819" t="str">
        <f>IF(OR(A819=2, A819=12), "Central", IF(A819=3, "Semi-Central", "Periférica"))</f>
        <v>Periférica</v>
      </c>
    </row>
    <row r="820" spans="1:73" x14ac:dyDescent="0.3">
      <c r="A820" s="1">
        <v>15</v>
      </c>
      <c r="B820" s="1" t="s">
        <v>49</v>
      </c>
      <c r="C820" s="1" t="s">
        <v>48</v>
      </c>
      <c r="D820" s="1" t="s">
        <v>5</v>
      </c>
      <c r="F820">
        <v>0</v>
      </c>
      <c r="G820">
        <v>0.22222222222222221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 s="1">
        <v>15</v>
      </c>
      <c r="AJ820" s="1" t="s">
        <v>49</v>
      </c>
      <c r="AK820" s="1" t="s">
        <v>48</v>
      </c>
      <c r="AL820" s="1" t="s">
        <v>5</v>
      </c>
      <c r="AN820">
        <v>0</v>
      </c>
      <c r="AO820">
        <v>20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f>(I820+J820+N820+O820)/4</f>
        <v>0</v>
      </c>
      <c r="BR820">
        <f>(K820+L820+M820)/3</f>
        <v>0</v>
      </c>
      <c r="BS820">
        <v>0</v>
      </c>
      <c r="BT820">
        <v>0</v>
      </c>
      <c r="BU820" t="str">
        <f>IF(OR(A820=2, A820=12), "Central", IF(A820=3, "Semi-Central", "Periférica"))</f>
        <v>Periférica</v>
      </c>
    </row>
    <row r="821" spans="1:73" x14ac:dyDescent="0.3">
      <c r="A821" s="1">
        <v>15</v>
      </c>
      <c r="B821" s="1" t="s">
        <v>49</v>
      </c>
      <c r="C821" s="1" t="s">
        <v>48</v>
      </c>
      <c r="D821" s="1" t="s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 s="1">
        <v>15</v>
      </c>
      <c r="AJ821" s="1" t="s">
        <v>49</v>
      </c>
      <c r="AK821" s="1" t="s">
        <v>48</v>
      </c>
      <c r="AL821" s="1" t="s">
        <v>1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f>(I821+J821+N821+O821)/4</f>
        <v>0</v>
      </c>
      <c r="BR821">
        <f>(K821+L821+M821)/3</f>
        <v>0</v>
      </c>
      <c r="BS821">
        <v>0</v>
      </c>
      <c r="BT821">
        <v>0</v>
      </c>
      <c r="BU821" t="str">
        <f>IF(OR(A821=2, A821=12), "Central", IF(A821=3, "Semi-Central", "Periférica"))</f>
        <v>Periférica</v>
      </c>
    </row>
    <row r="822" spans="1:73" x14ac:dyDescent="0.3">
      <c r="A822" s="1">
        <v>15</v>
      </c>
      <c r="B822" s="1" t="s">
        <v>47</v>
      </c>
      <c r="C822" s="1" t="s">
        <v>46</v>
      </c>
      <c r="D822" t="s">
        <v>5</v>
      </c>
      <c r="E822" t="s">
        <v>0</v>
      </c>
      <c r="F822">
        <v>0</v>
      </c>
      <c r="G822">
        <v>0</v>
      </c>
      <c r="H822">
        <v>0</v>
      </c>
      <c r="I822">
        <v>4</v>
      </c>
      <c r="J822">
        <v>3.333333333333333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 s="1">
        <v>15</v>
      </c>
      <c r="AJ822" s="1" t="s">
        <v>47</v>
      </c>
      <c r="AK822" s="1" t="s">
        <v>46</v>
      </c>
      <c r="AL822" t="s">
        <v>5</v>
      </c>
      <c r="AM822" t="s">
        <v>0</v>
      </c>
      <c r="AN822">
        <v>0</v>
      </c>
      <c r="AO822">
        <v>0</v>
      </c>
      <c r="AP822">
        <v>0</v>
      </c>
      <c r="AQ822">
        <v>360</v>
      </c>
      <c r="AR822">
        <v>300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f>(I822+J822+N822+O822)/4</f>
        <v>1.8333333333333333</v>
      </c>
      <c r="BR822">
        <f>(K822+L822+M822)/3</f>
        <v>0</v>
      </c>
      <c r="BS822">
        <v>0</v>
      </c>
      <c r="BT822">
        <f>AQ822/I822</f>
        <v>90</v>
      </c>
      <c r="BU822" t="str">
        <f>IF(OR(A822=2, A822=12), "Central", IF(A822=3, "Semi-Central", "Periférica"))</f>
        <v>Periférica</v>
      </c>
    </row>
    <row r="823" spans="1:73" x14ac:dyDescent="0.3">
      <c r="A823" s="1">
        <v>15</v>
      </c>
      <c r="B823" s="1" t="s">
        <v>47</v>
      </c>
      <c r="C823" s="1" t="s">
        <v>46</v>
      </c>
      <c r="D823" t="s">
        <v>1</v>
      </c>
      <c r="E823" t="s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3</v>
      </c>
      <c r="O823">
        <v>7</v>
      </c>
      <c r="P823">
        <v>2.666666666666667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 s="1">
        <v>15</v>
      </c>
      <c r="AJ823" s="1" t="s">
        <v>47</v>
      </c>
      <c r="AK823" s="1" t="s">
        <v>46</v>
      </c>
      <c r="AL823" t="s">
        <v>1</v>
      </c>
      <c r="AM823" t="s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270</v>
      </c>
      <c r="AW823">
        <v>630</v>
      </c>
      <c r="AX823">
        <v>240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f>(I823+J823+N823+O823)/4</f>
        <v>2.5</v>
      </c>
      <c r="BR823">
        <f>(K823+L823+M823)/3</f>
        <v>0</v>
      </c>
      <c r="BS823">
        <v>0</v>
      </c>
      <c r="BT823">
        <v>0</v>
      </c>
      <c r="BU823" t="str">
        <f>IF(OR(A823=2, A823=12), "Central", IF(A823=3, "Semi-Central", "Periférica"))</f>
        <v>Periférica</v>
      </c>
    </row>
    <row r="824" spans="1:73" x14ac:dyDescent="0.3">
      <c r="A824" s="1">
        <v>15</v>
      </c>
      <c r="B824" s="1" t="s">
        <v>45</v>
      </c>
      <c r="C824" s="1" t="s">
        <v>44</v>
      </c>
      <c r="D824" t="s">
        <v>5</v>
      </c>
      <c r="E824" t="s">
        <v>0</v>
      </c>
      <c r="F824">
        <v>0</v>
      </c>
      <c r="G824">
        <v>0</v>
      </c>
      <c r="H824">
        <v>6</v>
      </c>
      <c r="I824">
        <v>5.333333333333333</v>
      </c>
      <c r="J824">
        <v>4</v>
      </c>
      <c r="K824">
        <v>0</v>
      </c>
      <c r="L824">
        <v>0</v>
      </c>
      <c r="M824">
        <v>0</v>
      </c>
      <c r="N824">
        <v>4</v>
      </c>
      <c r="O824">
        <v>4.5</v>
      </c>
      <c r="P824">
        <v>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 s="1">
        <v>15</v>
      </c>
      <c r="AJ824" s="1" t="s">
        <v>45</v>
      </c>
      <c r="AK824" s="1" t="s">
        <v>44</v>
      </c>
      <c r="AL824" t="s">
        <v>5</v>
      </c>
      <c r="AM824" t="s">
        <v>0</v>
      </c>
      <c r="AN824">
        <v>0</v>
      </c>
      <c r="AO824">
        <v>0</v>
      </c>
      <c r="AP824">
        <v>540</v>
      </c>
      <c r="AQ824">
        <v>480</v>
      </c>
      <c r="AR824">
        <v>360</v>
      </c>
      <c r="AS824">
        <v>0</v>
      </c>
      <c r="AT824">
        <v>0</v>
      </c>
      <c r="AU824">
        <v>0</v>
      </c>
      <c r="AV824">
        <v>360</v>
      </c>
      <c r="AW824">
        <v>405</v>
      </c>
      <c r="AX824">
        <v>180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f>(I824+J824+N824+O824)/4</f>
        <v>4.458333333333333</v>
      </c>
      <c r="BR824">
        <f>(K824+L824+M824)/3</f>
        <v>0</v>
      </c>
      <c r="BS824">
        <v>0</v>
      </c>
      <c r="BT824">
        <f>AQ824/I824</f>
        <v>90</v>
      </c>
      <c r="BU824" t="str">
        <f>IF(OR(A824=2, A824=12), "Central", IF(A824=3, "Semi-Central", "Periférica"))</f>
        <v>Periférica</v>
      </c>
    </row>
    <row r="825" spans="1:73" x14ac:dyDescent="0.3">
      <c r="A825" s="1">
        <v>15</v>
      </c>
      <c r="B825" s="1" t="s">
        <v>43</v>
      </c>
      <c r="C825" s="1" t="s">
        <v>42</v>
      </c>
      <c r="D825" t="s">
        <v>5</v>
      </c>
      <c r="F825">
        <v>0</v>
      </c>
      <c r="G825">
        <v>0</v>
      </c>
      <c r="H825">
        <v>2</v>
      </c>
      <c r="I825">
        <v>4</v>
      </c>
      <c r="J825">
        <v>1.333333333333333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 s="1">
        <v>15</v>
      </c>
      <c r="AJ825" s="1" t="s">
        <v>43</v>
      </c>
      <c r="AK825" s="1" t="s">
        <v>42</v>
      </c>
      <c r="AL825" t="s">
        <v>5</v>
      </c>
      <c r="AN825">
        <v>0</v>
      </c>
      <c r="AO825">
        <v>0</v>
      </c>
      <c r="AP825">
        <v>180</v>
      </c>
      <c r="AQ825">
        <v>360</v>
      </c>
      <c r="AR825">
        <v>120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f>(I825+J825+N825+O825)/4</f>
        <v>1.3333333333333333</v>
      </c>
      <c r="BR825">
        <f>(K825+L825+M825)/3</f>
        <v>0</v>
      </c>
      <c r="BS825">
        <v>0</v>
      </c>
      <c r="BT825">
        <f>AQ825/I825</f>
        <v>90</v>
      </c>
      <c r="BU825" t="str">
        <f>IF(OR(A825=2, A825=12), "Central", IF(A825=3, "Semi-Central", "Periférica"))</f>
        <v>Periférica</v>
      </c>
    </row>
    <row r="826" spans="1:73" x14ac:dyDescent="0.3">
      <c r="A826" s="1">
        <v>15</v>
      </c>
      <c r="B826" s="1" t="s">
        <v>43</v>
      </c>
      <c r="C826" s="1" t="s">
        <v>42</v>
      </c>
      <c r="D826" t="s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s="1">
        <v>15</v>
      </c>
      <c r="AJ826" s="1" t="s">
        <v>43</v>
      </c>
      <c r="AK826" s="1" t="s">
        <v>42</v>
      </c>
      <c r="AL826" t="s">
        <v>1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f>(I826+J826+N826+O826)/4</f>
        <v>0</v>
      </c>
      <c r="BR826">
        <f>(K826+L826+M826)/3</f>
        <v>0</v>
      </c>
      <c r="BS826">
        <v>0</v>
      </c>
      <c r="BT826">
        <v>0</v>
      </c>
      <c r="BU826" t="str">
        <f>IF(OR(A826=2, A826=12), "Central", IF(A826=3, "Semi-Central", "Periférica"))</f>
        <v>Periférica</v>
      </c>
    </row>
    <row r="827" spans="1:73" x14ac:dyDescent="0.3">
      <c r="A827" s="1">
        <v>16</v>
      </c>
      <c r="B827" s="1">
        <v>1612</v>
      </c>
      <c r="C827" s="1" t="s">
        <v>41</v>
      </c>
      <c r="D827" t="s">
        <v>1</v>
      </c>
      <c r="E827" t="s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 s="1">
        <v>16</v>
      </c>
      <c r="AJ827" s="1">
        <v>1612</v>
      </c>
      <c r="AK827" s="1" t="s">
        <v>41</v>
      </c>
      <c r="AL827" t="s">
        <v>1</v>
      </c>
      <c r="AM827" t="s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f>(I827+J827+N827+O827)/4</f>
        <v>0</v>
      </c>
      <c r="BR827">
        <f>(K827+L827+M827)/3</f>
        <v>0</v>
      </c>
      <c r="BS827">
        <v>0</v>
      </c>
      <c r="BT827">
        <v>0</v>
      </c>
      <c r="BU827" t="str">
        <f>IF(OR(A827=2, A827=12), "Central", IF(A827=3, "Semi-Central", "Periférica"))</f>
        <v>Periférica</v>
      </c>
    </row>
    <row r="828" spans="1:73" x14ac:dyDescent="0.3">
      <c r="A828" s="1">
        <v>16</v>
      </c>
      <c r="B828" s="1" t="s">
        <v>40</v>
      </c>
      <c r="C828" s="1" t="s">
        <v>39</v>
      </c>
      <c r="D828" t="s">
        <v>5</v>
      </c>
      <c r="E828" t="s">
        <v>0</v>
      </c>
      <c r="F828">
        <v>0</v>
      </c>
      <c r="G828">
        <v>0</v>
      </c>
      <c r="H828">
        <v>0</v>
      </c>
      <c r="I828">
        <v>8</v>
      </c>
      <c r="J828">
        <v>1.333333333333333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 s="1">
        <v>16</v>
      </c>
      <c r="AJ828" s="1" t="s">
        <v>40</v>
      </c>
      <c r="AK828" s="1" t="s">
        <v>39</v>
      </c>
      <c r="AL828" t="s">
        <v>5</v>
      </c>
      <c r="AM828" t="s">
        <v>0</v>
      </c>
      <c r="AN828">
        <v>0</v>
      </c>
      <c r="AO828">
        <v>0</v>
      </c>
      <c r="AP828">
        <v>0</v>
      </c>
      <c r="AQ828">
        <v>720</v>
      </c>
      <c r="AR828">
        <v>120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f>(I828+J828+N828+O828)/4</f>
        <v>2.333333333333333</v>
      </c>
      <c r="BR828">
        <f>(K828+L828+M828)/3</f>
        <v>0</v>
      </c>
      <c r="BS828">
        <v>0</v>
      </c>
      <c r="BT828">
        <f>AQ828/I828</f>
        <v>90</v>
      </c>
      <c r="BU828" t="str">
        <f>IF(OR(A828=2, A828=12), "Central", IF(A828=3, "Semi-Central", "Periférica"))</f>
        <v>Periférica</v>
      </c>
    </row>
    <row r="829" spans="1:73" x14ac:dyDescent="0.3">
      <c r="A829" s="1">
        <v>16</v>
      </c>
      <c r="B829" s="1" t="s">
        <v>40</v>
      </c>
      <c r="C829" s="1" t="s">
        <v>39</v>
      </c>
      <c r="D829" t="s">
        <v>1</v>
      </c>
      <c r="E829" t="s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 s="1">
        <v>16</v>
      </c>
      <c r="AJ829" s="1" t="s">
        <v>40</v>
      </c>
      <c r="AK829" s="1" t="s">
        <v>39</v>
      </c>
      <c r="AL829" t="s">
        <v>1</v>
      </c>
      <c r="AM829" t="s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f>(I829+J829+N829+O829)/4</f>
        <v>0</v>
      </c>
      <c r="BR829">
        <f>(K829+L829+M829)/3</f>
        <v>0</v>
      </c>
      <c r="BS829">
        <v>0</v>
      </c>
      <c r="BT829">
        <v>0</v>
      </c>
      <c r="BU829" t="str">
        <f>IF(OR(A829=2, A829=12), "Central", IF(A829=3, "Semi-Central", "Periférica"))</f>
        <v>Periférica</v>
      </c>
    </row>
    <row r="830" spans="1:73" x14ac:dyDescent="0.3">
      <c r="A830" s="1">
        <v>16</v>
      </c>
      <c r="B830" s="1" t="s">
        <v>38</v>
      </c>
      <c r="C830" s="1" t="s">
        <v>37</v>
      </c>
      <c r="D830" t="s">
        <v>5</v>
      </c>
      <c r="E830" t="s">
        <v>0</v>
      </c>
      <c r="F830">
        <v>0</v>
      </c>
      <c r="G830">
        <v>0</v>
      </c>
      <c r="H830">
        <v>0</v>
      </c>
      <c r="I830">
        <v>5.333333333333333</v>
      </c>
      <c r="J830">
        <v>1.333333333333333</v>
      </c>
      <c r="K830">
        <v>0</v>
      </c>
      <c r="L830">
        <v>0</v>
      </c>
      <c r="M830">
        <v>0</v>
      </c>
      <c r="N830">
        <v>6.5</v>
      </c>
      <c r="O830">
        <v>7</v>
      </c>
      <c r="P830">
        <v>4.666666666666667</v>
      </c>
      <c r="Q830">
        <v>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 s="1">
        <v>16</v>
      </c>
      <c r="AJ830" s="1" t="s">
        <v>38</v>
      </c>
      <c r="AK830" s="1" t="s">
        <v>37</v>
      </c>
      <c r="AL830" t="s">
        <v>5</v>
      </c>
      <c r="AM830" t="s">
        <v>0</v>
      </c>
      <c r="AN830">
        <v>0</v>
      </c>
      <c r="AO830">
        <v>0</v>
      </c>
      <c r="AP830">
        <v>0</v>
      </c>
      <c r="AQ830">
        <v>800</v>
      </c>
      <c r="AR830">
        <v>200</v>
      </c>
      <c r="AS830">
        <v>0</v>
      </c>
      <c r="AT830">
        <v>0</v>
      </c>
      <c r="AU830">
        <v>0</v>
      </c>
      <c r="AV830">
        <v>975</v>
      </c>
      <c r="AW830">
        <v>1050</v>
      </c>
      <c r="AX830">
        <v>700</v>
      </c>
      <c r="AY830">
        <v>300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f>(I830+J830+N830+O830)/4</f>
        <v>5.0416666666666661</v>
      </c>
      <c r="BR830">
        <f>(K830+L830+M830)/3</f>
        <v>0</v>
      </c>
      <c r="BS830">
        <v>0</v>
      </c>
      <c r="BT830">
        <f>AQ830/I830</f>
        <v>150</v>
      </c>
      <c r="BU830" t="str">
        <f>IF(OR(A830=2, A830=12), "Central", IF(A830=3, "Semi-Central", "Periférica"))</f>
        <v>Periférica</v>
      </c>
    </row>
    <row r="831" spans="1:73" x14ac:dyDescent="0.3">
      <c r="A831" s="1">
        <v>16</v>
      </c>
      <c r="B831" s="1" t="s">
        <v>38</v>
      </c>
      <c r="C831" s="1" t="s">
        <v>37</v>
      </c>
      <c r="D831" t="s">
        <v>1</v>
      </c>
      <c r="E831" t="s">
        <v>0</v>
      </c>
      <c r="F831">
        <v>0</v>
      </c>
      <c r="G831">
        <v>0</v>
      </c>
      <c r="H831">
        <v>0</v>
      </c>
      <c r="I831">
        <v>7.333333333333333</v>
      </c>
      <c r="J831">
        <v>2</v>
      </c>
      <c r="K831">
        <v>0</v>
      </c>
      <c r="L831">
        <v>0</v>
      </c>
      <c r="M831">
        <v>0</v>
      </c>
      <c r="N831">
        <v>7</v>
      </c>
      <c r="O831">
        <v>6.5</v>
      </c>
      <c r="P831">
        <v>4.666666666666667</v>
      </c>
      <c r="Q831">
        <v>2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 s="1">
        <v>16</v>
      </c>
      <c r="AJ831" s="1" t="s">
        <v>38</v>
      </c>
      <c r="AK831" s="1" t="s">
        <v>37</v>
      </c>
      <c r="AL831" t="s">
        <v>1</v>
      </c>
      <c r="AM831" t="s">
        <v>0</v>
      </c>
      <c r="AN831">
        <v>0</v>
      </c>
      <c r="AO831">
        <v>0</v>
      </c>
      <c r="AP831">
        <v>0</v>
      </c>
      <c r="AQ831">
        <v>1100</v>
      </c>
      <c r="AR831">
        <v>300</v>
      </c>
      <c r="AS831">
        <v>0</v>
      </c>
      <c r="AT831">
        <v>0</v>
      </c>
      <c r="AU831">
        <v>0</v>
      </c>
      <c r="AV831">
        <v>1050</v>
      </c>
      <c r="AW831">
        <v>975</v>
      </c>
      <c r="AX831">
        <v>700</v>
      </c>
      <c r="AY831">
        <v>300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f>(I831+J831+N831+O831)/4</f>
        <v>5.708333333333333</v>
      </c>
      <c r="BR831">
        <f>(K831+L831+M831)/3</f>
        <v>0</v>
      </c>
      <c r="BS831">
        <v>0</v>
      </c>
      <c r="BT831">
        <f>AQ831/I831</f>
        <v>150</v>
      </c>
      <c r="BU831" t="str">
        <f>IF(OR(A831=2, A831=12), "Central", IF(A831=3, "Semi-Central", "Periférica"))</f>
        <v>Periférica</v>
      </c>
    </row>
    <row r="832" spans="1:73" x14ac:dyDescent="0.3">
      <c r="A832" s="1">
        <v>16</v>
      </c>
      <c r="B832" s="1" t="s">
        <v>36</v>
      </c>
      <c r="C832" s="1" t="s">
        <v>35</v>
      </c>
      <c r="D832" t="s">
        <v>5</v>
      </c>
      <c r="E832" t="s">
        <v>0</v>
      </c>
      <c r="F832">
        <v>0</v>
      </c>
      <c r="G832">
        <v>0</v>
      </c>
      <c r="H832">
        <v>9</v>
      </c>
      <c r="I832">
        <v>10.66666666666667</v>
      </c>
      <c r="J832">
        <v>6</v>
      </c>
      <c r="K832">
        <v>0</v>
      </c>
      <c r="L832">
        <v>0</v>
      </c>
      <c r="M832">
        <v>0</v>
      </c>
      <c r="N832">
        <v>0</v>
      </c>
      <c r="O832">
        <v>7</v>
      </c>
      <c r="P832">
        <v>3.333333333333333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 s="1">
        <v>16</v>
      </c>
      <c r="AJ832" s="1" t="s">
        <v>36</v>
      </c>
      <c r="AK832" s="1" t="s">
        <v>35</v>
      </c>
      <c r="AL832" t="s">
        <v>5</v>
      </c>
      <c r="AM832" t="s">
        <v>0</v>
      </c>
      <c r="AN832">
        <v>0</v>
      </c>
      <c r="AO832">
        <v>0</v>
      </c>
      <c r="AP832">
        <v>810</v>
      </c>
      <c r="AQ832">
        <v>960</v>
      </c>
      <c r="AR832">
        <v>540</v>
      </c>
      <c r="AS832">
        <v>0</v>
      </c>
      <c r="AT832">
        <v>0</v>
      </c>
      <c r="AU832">
        <v>0</v>
      </c>
      <c r="AV832">
        <v>0</v>
      </c>
      <c r="AW832">
        <v>630</v>
      </c>
      <c r="AX832">
        <v>300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f>(I832+J832+N832+O832)/4</f>
        <v>5.9166666666666679</v>
      </c>
      <c r="BR832">
        <f>(K832+L832+M832)/3</f>
        <v>0</v>
      </c>
      <c r="BS832">
        <v>0</v>
      </c>
      <c r="BT832">
        <f>AQ832/I832</f>
        <v>89.999999999999972</v>
      </c>
      <c r="BU832" t="str">
        <f>IF(OR(A832=2, A832=12), "Central", IF(A832=3, "Semi-Central", "Periférica"))</f>
        <v>Periférica</v>
      </c>
    </row>
    <row r="833" spans="1:73" x14ac:dyDescent="0.3">
      <c r="A833" s="1">
        <v>16</v>
      </c>
      <c r="B833" s="1" t="s">
        <v>36</v>
      </c>
      <c r="C833" s="1" t="s">
        <v>35</v>
      </c>
      <c r="D833" t="s">
        <v>1</v>
      </c>
      <c r="E833" t="s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 s="1">
        <v>16</v>
      </c>
      <c r="AJ833" s="1" t="s">
        <v>36</v>
      </c>
      <c r="AK833" s="1" t="s">
        <v>35</v>
      </c>
      <c r="AL833" t="s">
        <v>1</v>
      </c>
      <c r="AM833" t="s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f>(I833+J833+N833+O833)/4</f>
        <v>0</v>
      </c>
      <c r="BR833">
        <f>(K833+L833+M833)/3</f>
        <v>0</v>
      </c>
      <c r="BS833">
        <v>0</v>
      </c>
      <c r="BT833">
        <v>0</v>
      </c>
      <c r="BU833" t="str">
        <f>IF(OR(A833=2, A833=12), "Central", IF(A833=3, "Semi-Central", "Periférica"))</f>
        <v>Periférica</v>
      </c>
    </row>
    <row r="834" spans="1:73" x14ac:dyDescent="0.3">
      <c r="A834" s="1">
        <v>16</v>
      </c>
      <c r="B834" s="1" t="s">
        <v>34</v>
      </c>
      <c r="C834" s="1" t="s">
        <v>33</v>
      </c>
      <c r="D834" t="s">
        <v>5</v>
      </c>
      <c r="E834" t="s">
        <v>0</v>
      </c>
      <c r="F834">
        <v>0</v>
      </c>
      <c r="G834">
        <v>0</v>
      </c>
      <c r="H834">
        <v>8</v>
      </c>
      <c r="I834">
        <v>8.6666666666666661</v>
      </c>
      <c r="J834">
        <v>4.666666666666667</v>
      </c>
      <c r="K834">
        <v>0</v>
      </c>
      <c r="L834">
        <v>0</v>
      </c>
      <c r="M834">
        <v>0</v>
      </c>
      <c r="N834">
        <v>0</v>
      </c>
      <c r="O834">
        <v>9</v>
      </c>
      <c r="P834">
        <v>5.333333333333333</v>
      </c>
      <c r="Q834">
        <v>2.5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 s="1">
        <v>16</v>
      </c>
      <c r="AJ834" s="1" t="s">
        <v>34</v>
      </c>
      <c r="AK834" s="1" t="s">
        <v>33</v>
      </c>
      <c r="AL834" t="s">
        <v>5</v>
      </c>
      <c r="AM834" t="s">
        <v>0</v>
      </c>
      <c r="AN834">
        <v>0</v>
      </c>
      <c r="AO834">
        <v>0</v>
      </c>
      <c r="AP834">
        <v>720</v>
      </c>
      <c r="AQ834">
        <v>780</v>
      </c>
      <c r="AR834">
        <v>420</v>
      </c>
      <c r="AS834">
        <v>0</v>
      </c>
      <c r="AT834">
        <v>0</v>
      </c>
      <c r="AU834">
        <v>0</v>
      </c>
      <c r="AV834">
        <v>0</v>
      </c>
      <c r="AW834">
        <v>810</v>
      </c>
      <c r="AX834">
        <v>480</v>
      </c>
      <c r="AY834">
        <v>225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f>(I834+J834+N834+O834)/4</f>
        <v>5.583333333333333</v>
      </c>
      <c r="BR834">
        <f>(K834+L834+M834)/3</f>
        <v>0</v>
      </c>
      <c r="BS834">
        <v>0</v>
      </c>
      <c r="BT834">
        <f>AQ834/I834</f>
        <v>90</v>
      </c>
      <c r="BU834" t="str">
        <f>IF(OR(A834=2, A834=12), "Central", IF(A834=3, "Semi-Central", "Periférica"))</f>
        <v>Periférica</v>
      </c>
    </row>
    <row r="835" spans="1:73" x14ac:dyDescent="0.3">
      <c r="A835" s="1">
        <v>16</v>
      </c>
      <c r="B835" s="1" t="s">
        <v>34</v>
      </c>
      <c r="C835" s="1" t="s">
        <v>33</v>
      </c>
      <c r="D835" t="s">
        <v>1</v>
      </c>
      <c r="E835" t="s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 s="1">
        <v>16</v>
      </c>
      <c r="AJ835" s="1" t="s">
        <v>34</v>
      </c>
      <c r="AK835" s="1" t="s">
        <v>33</v>
      </c>
      <c r="AL835" t="s">
        <v>1</v>
      </c>
      <c r="AM835" t="s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f>(I835+J835+N835+O835)/4</f>
        <v>0</v>
      </c>
      <c r="BR835">
        <f>(K835+L835+M835)/3</f>
        <v>0</v>
      </c>
      <c r="BS835">
        <v>0</v>
      </c>
      <c r="BT835">
        <v>0</v>
      </c>
      <c r="BU835" t="str">
        <f>IF(OR(A835=2, A835=12), "Central", IF(A835=3, "Semi-Central", "Periférica"))</f>
        <v>Periférica</v>
      </c>
    </row>
    <row r="836" spans="1:73" x14ac:dyDescent="0.3">
      <c r="A836" s="1">
        <v>16</v>
      </c>
      <c r="B836" s="1" t="s">
        <v>32</v>
      </c>
      <c r="C836" s="1" t="s">
        <v>31</v>
      </c>
      <c r="D836" t="s">
        <v>5</v>
      </c>
      <c r="F836">
        <v>0</v>
      </c>
      <c r="G836">
        <v>0</v>
      </c>
      <c r="H836">
        <v>0</v>
      </c>
      <c r="I836">
        <v>6</v>
      </c>
      <c r="J836">
        <v>1.333333333333333</v>
      </c>
      <c r="K836">
        <v>0</v>
      </c>
      <c r="L836">
        <v>0</v>
      </c>
      <c r="M836">
        <v>0</v>
      </c>
      <c r="N836">
        <v>4.5</v>
      </c>
      <c r="O836">
        <v>5</v>
      </c>
      <c r="P836">
        <v>2.666666666666667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 s="1">
        <v>16</v>
      </c>
      <c r="AJ836" s="1" t="s">
        <v>32</v>
      </c>
      <c r="AK836" s="1" t="s">
        <v>31</v>
      </c>
      <c r="AL836" t="s">
        <v>5</v>
      </c>
      <c r="AN836">
        <v>0</v>
      </c>
      <c r="AO836">
        <v>0</v>
      </c>
      <c r="AP836">
        <v>0</v>
      </c>
      <c r="AQ836">
        <v>540</v>
      </c>
      <c r="AR836">
        <v>120</v>
      </c>
      <c r="AS836">
        <v>0</v>
      </c>
      <c r="AT836">
        <v>0</v>
      </c>
      <c r="AU836">
        <v>0</v>
      </c>
      <c r="AV836">
        <v>405</v>
      </c>
      <c r="AW836">
        <v>450</v>
      </c>
      <c r="AX836">
        <v>240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f>(I836+J836+N836+O836)/4</f>
        <v>4.208333333333333</v>
      </c>
      <c r="BR836">
        <f>(K836+L836+M836)/3</f>
        <v>0</v>
      </c>
      <c r="BS836">
        <v>0</v>
      </c>
      <c r="BT836">
        <f>AQ836/I836</f>
        <v>90</v>
      </c>
      <c r="BU836" t="str">
        <f>IF(OR(A836=2, A836=12), "Central", IF(A836=3, "Semi-Central", "Periférica"))</f>
        <v>Periférica</v>
      </c>
    </row>
    <row r="837" spans="1:73" x14ac:dyDescent="0.3">
      <c r="A837" s="1">
        <v>16</v>
      </c>
      <c r="B837" s="1" t="s">
        <v>32</v>
      </c>
      <c r="C837" s="1" t="s">
        <v>31</v>
      </c>
      <c r="D837" t="s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 s="1">
        <v>16</v>
      </c>
      <c r="AJ837" s="1" t="s">
        <v>32</v>
      </c>
      <c r="AK837" s="1" t="s">
        <v>31</v>
      </c>
      <c r="AL837" t="s">
        <v>1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f>(I837+J837+N837+O837)/4</f>
        <v>0</v>
      </c>
      <c r="BR837">
        <f>(K837+L837+M837)/3</f>
        <v>0</v>
      </c>
      <c r="BS837">
        <v>0</v>
      </c>
      <c r="BT837">
        <v>0</v>
      </c>
      <c r="BU837" t="str">
        <f>IF(OR(A837=2, A837=12), "Central", IF(A837=3, "Semi-Central", "Periférica"))</f>
        <v>Periférica</v>
      </c>
    </row>
    <row r="838" spans="1:73" x14ac:dyDescent="0.3">
      <c r="A838" s="1">
        <v>16</v>
      </c>
      <c r="B838" s="1" t="s">
        <v>30</v>
      </c>
      <c r="C838" s="1" t="s">
        <v>29</v>
      </c>
      <c r="D838" t="s">
        <v>5</v>
      </c>
      <c r="E838" t="s">
        <v>0</v>
      </c>
      <c r="F838">
        <v>2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</v>
      </c>
      <c r="S838">
        <v>2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2</v>
      </c>
      <c r="AB838">
        <v>2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 s="1">
        <v>16</v>
      </c>
      <c r="AJ838" s="1" t="s">
        <v>30</v>
      </c>
      <c r="AK838" s="1" t="s">
        <v>29</v>
      </c>
      <c r="AL838" t="s">
        <v>5</v>
      </c>
      <c r="AM838" t="s">
        <v>0</v>
      </c>
      <c r="AN838">
        <v>180</v>
      </c>
      <c r="AO838">
        <v>180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180</v>
      </c>
      <c r="BA838">
        <v>180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180</v>
      </c>
      <c r="BJ838">
        <v>180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f>(I838+J838+N838+O838)/4</f>
        <v>0</v>
      </c>
      <c r="BR838">
        <f>(K838+L838+M838)/3</f>
        <v>0</v>
      </c>
      <c r="BS838">
        <v>0</v>
      </c>
      <c r="BT838">
        <v>0</v>
      </c>
      <c r="BU838" t="str">
        <f>IF(OR(A838=2, A838=12), "Central", IF(A838=3, "Semi-Central", "Periférica"))</f>
        <v>Periférica</v>
      </c>
    </row>
    <row r="839" spans="1:73" x14ac:dyDescent="0.3">
      <c r="A839" s="1">
        <v>16</v>
      </c>
      <c r="B839" s="1" t="s">
        <v>30</v>
      </c>
      <c r="C839" s="1" t="s">
        <v>29</v>
      </c>
      <c r="D839" t="s">
        <v>1</v>
      </c>
      <c r="E839" t="s">
        <v>0</v>
      </c>
      <c r="F839">
        <v>2</v>
      </c>
      <c r="G839">
        <v>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</v>
      </c>
      <c r="S839">
        <v>2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2</v>
      </c>
      <c r="AB839">
        <v>2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 s="1">
        <v>16</v>
      </c>
      <c r="AJ839" s="1" t="s">
        <v>30</v>
      </c>
      <c r="AK839" s="1" t="s">
        <v>29</v>
      </c>
      <c r="AL839" t="s">
        <v>1</v>
      </c>
      <c r="AM839" t="s">
        <v>0</v>
      </c>
      <c r="AN839">
        <v>180</v>
      </c>
      <c r="AO839">
        <v>180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180</v>
      </c>
      <c r="BA839">
        <v>180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180</v>
      </c>
      <c r="BJ839">
        <v>180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f>(I839+J839+N839+O839)/4</f>
        <v>0</v>
      </c>
      <c r="BR839">
        <f>(K839+L839+M839)/3</f>
        <v>0</v>
      </c>
      <c r="BS839">
        <v>0</v>
      </c>
      <c r="BT839">
        <v>0</v>
      </c>
      <c r="BU839" t="str">
        <f>IF(OR(A839=2, A839=12), "Central", IF(A839=3, "Semi-Central", "Periférica"))</f>
        <v>Periférica</v>
      </c>
    </row>
    <row r="840" spans="1:73" x14ac:dyDescent="0.3">
      <c r="A840" s="1">
        <v>16</v>
      </c>
      <c r="B840" s="1">
        <v>1628</v>
      </c>
      <c r="C840" s="1" t="s">
        <v>28</v>
      </c>
      <c r="D840" t="s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 s="1">
        <v>16</v>
      </c>
      <c r="AJ840" s="1">
        <v>1628</v>
      </c>
      <c r="AK840" s="1" t="s">
        <v>28</v>
      </c>
      <c r="AL840" t="s">
        <v>1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f>(I840+J840+N840+O840)/4</f>
        <v>0</v>
      </c>
      <c r="BR840">
        <f>(K840+L840+M840)/3</f>
        <v>0</v>
      </c>
      <c r="BS840">
        <v>0</v>
      </c>
      <c r="BT840">
        <v>0</v>
      </c>
      <c r="BU840" t="str">
        <f>IF(OR(A840=2, A840=12), "Central", IF(A840=3, "Semi-Central", "Periférica"))</f>
        <v>Periférica</v>
      </c>
    </row>
    <row r="841" spans="1:73" x14ac:dyDescent="0.3">
      <c r="A841" s="1">
        <v>18</v>
      </c>
      <c r="B841" s="1" t="s">
        <v>27</v>
      </c>
      <c r="C841" s="1" t="s">
        <v>26</v>
      </c>
      <c r="D841" t="s">
        <v>1</v>
      </c>
      <c r="E841" t="s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 s="1">
        <v>18</v>
      </c>
      <c r="AJ841" s="1" t="s">
        <v>27</v>
      </c>
      <c r="AK841" s="1" t="s">
        <v>26</v>
      </c>
      <c r="AL841" t="s">
        <v>1</v>
      </c>
      <c r="AM841" t="s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f>(I841+J841+N841+O841)/4</f>
        <v>0</v>
      </c>
      <c r="BR841">
        <f>(K841+L841+M841)/3</f>
        <v>0</v>
      </c>
      <c r="BS841">
        <v>0</v>
      </c>
      <c r="BT841">
        <v>0</v>
      </c>
      <c r="BU841" t="str">
        <f>IF(OR(A841=2, A841=12), "Central", IF(A841=3, "Semi-Central", "Periférica"))</f>
        <v>Periférica</v>
      </c>
    </row>
    <row r="842" spans="1:73" x14ac:dyDescent="0.3">
      <c r="A842" s="1">
        <v>18</v>
      </c>
      <c r="B842" s="1" t="s">
        <v>25</v>
      </c>
      <c r="C842" s="1" t="s">
        <v>24</v>
      </c>
      <c r="D842" t="s">
        <v>5</v>
      </c>
      <c r="E842" t="s">
        <v>0</v>
      </c>
      <c r="F842">
        <v>0</v>
      </c>
      <c r="G842">
        <v>0</v>
      </c>
      <c r="H842">
        <v>0</v>
      </c>
      <c r="I842">
        <v>8.6666666666666661</v>
      </c>
      <c r="J842">
        <v>8</v>
      </c>
      <c r="K842">
        <v>0</v>
      </c>
      <c r="L842">
        <v>0</v>
      </c>
      <c r="M842">
        <v>0</v>
      </c>
      <c r="N842">
        <v>8</v>
      </c>
      <c r="O842">
        <v>8</v>
      </c>
      <c r="P842">
        <v>4.666666666666667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s="1">
        <v>18</v>
      </c>
      <c r="AJ842" s="1" t="s">
        <v>25</v>
      </c>
      <c r="AK842" s="1" t="s">
        <v>24</v>
      </c>
      <c r="AL842" t="s">
        <v>5</v>
      </c>
      <c r="AM842" t="s">
        <v>0</v>
      </c>
      <c r="AN842">
        <v>0</v>
      </c>
      <c r="AO842">
        <v>0</v>
      </c>
      <c r="AP842">
        <v>0</v>
      </c>
      <c r="AQ842">
        <v>780</v>
      </c>
      <c r="AR842">
        <v>720</v>
      </c>
      <c r="AS842">
        <v>0</v>
      </c>
      <c r="AT842">
        <v>0</v>
      </c>
      <c r="AU842">
        <v>0</v>
      </c>
      <c r="AV842">
        <v>720</v>
      </c>
      <c r="AW842">
        <v>720</v>
      </c>
      <c r="AX842">
        <v>420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f>(I842+J842+N842+O842)/4</f>
        <v>8.1666666666666661</v>
      </c>
      <c r="BR842">
        <f>(K842+L842+M842)/3</f>
        <v>0</v>
      </c>
      <c r="BS842">
        <v>0</v>
      </c>
      <c r="BT842">
        <f>AQ842/I842</f>
        <v>90</v>
      </c>
      <c r="BU842" t="str">
        <f>IF(OR(A842=2, A842=12), "Central", IF(A842=3, "Semi-Central", "Periférica"))</f>
        <v>Periférica</v>
      </c>
    </row>
    <row r="843" spans="1:73" x14ac:dyDescent="0.3">
      <c r="A843" s="1">
        <v>18</v>
      </c>
      <c r="B843" s="1" t="s">
        <v>25</v>
      </c>
      <c r="C843" s="1" t="s">
        <v>24</v>
      </c>
      <c r="D843" t="s">
        <v>1</v>
      </c>
      <c r="E843" t="s">
        <v>0</v>
      </c>
      <c r="F843">
        <v>0</v>
      </c>
      <c r="G843">
        <v>0</v>
      </c>
      <c r="H843">
        <v>9</v>
      </c>
      <c r="I843">
        <v>10</v>
      </c>
      <c r="J843">
        <v>9.3333333333333339</v>
      </c>
      <c r="K843">
        <v>0</v>
      </c>
      <c r="L843">
        <v>0</v>
      </c>
      <c r="M843">
        <v>0</v>
      </c>
      <c r="N843">
        <v>7</v>
      </c>
      <c r="O843">
        <v>7.5</v>
      </c>
      <c r="P843">
        <v>3.333333333333333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s="1">
        <v>18</v>
      </c>
      <c r="AJ843" s="1" t="s">
        <v>25</v>
      </c>
      <c r="AK843" s="1" t="s">
        <v>24</v>
      </c>
      <c r="AL843" t="s">
        <v>1</v>
      </c>
      <c r="AM843" t="s">
        <v>0</v>
      </c>
      <c r="AN843">
        <v>0</v>
      </c>
      <c r="AO843">
        <v>0</v>
      </c>
      <c r="AP843">
        <v>810</v>
      </c>
      <c r="AQ843">
        <v>900</v>
      </c>
      <c r="AR843">
        <v>840</v>
      </c>
      <c r="AS843">
        <v>0</v>
      </c>
      <c r="AT843">
        <v>0</v>
      </c>
      <c r="AU843">
        <v>0</v>
      </c>
      <c r="AV843">
        <v>630</v>
      </c>
      <c r="AW843">
        <v>675</v>
      </c>
      <c r="AX843">
        <v>300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f>(I843+J843+N843+O843)/4</f>
        <v>8.4583333333333339</v>
      </c>
      <c r="BR843">
        <f>(K843+L843+M843)/3</f>
        <v>0</v>
      </c>
      <c r="BS843">
        <v>0</v>
      </c>
      <c r="BT843">
        <f>AQ843/I843</f>
        <v>90</v>
      </c>
      <c r="BU843" t="str">
        <f>IF(OR(A843=2, A843=12), "Central", IF(A843=3, "Semi-Central", "Periférica"))</f>
        <v>Periférica</v>
      </c>
    </row>
    <row r="844" spans="1:73" x14ac:dyDescent="0.3">
      <c r="A844" s="1">
        <v>18</v>
      </c>
      <c r="B844" s="1" t="s">
        <v>23</v>
      </c>
      <c r="C844" s="1" t="s">
        <v>22</v>
      </c>
      <c r="D844" t="s">
        <v>5</v>
      </c>
      <c r="E844" t="s">
        <v>0</v>
      </c>
      <c r="F844">
        <v>3</v>
      </c>
      <c r="G844">
        <v>2.2222222222222219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3</v>
      </c>
      <c r="S844">
        <v>2.2222222222222219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2.2222222222222219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s="1">
        <v>18</v>
      </c>
      <c r="AJ844" s="1" t="s">
        <v>23</v>
      </c>
      <c r="AK844" s="1" t="s">
        <v>22</v>
      </c>
      <c r="AL844" t="s">
        <v>5</v>
      </c>
      <c r="AM844" t="s">
        <v>0</v>
      </c>
      <c r="AN844">
        <v>270</v>
      </c>
      <c r="AO844">
        <v>200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270</v>
      </c>
      <c r="BA844">
        <v>200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270</v>
      </c>
      <c r="BJ844">
        <v>200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f>(I844+J844+N844+O844)/4</f>
        <v>0</v>
      </c>
      <c r="BR844">
        <f>(K844+L844+M844)/3</f>
        <v>0</v>
      </c>
      <c r="BS844">
        <v>0</v>
      </c>
      <c r="BT844">
        <v>0</v>
      </c>
      <c r="BU844" t="str">
        <f>IF(OR(A844=2, A844=12), "Central", IF(A844=3, "Semi-Central", "Periférica"))</f>
        <v>Periférica</v>
      </c>
    </row>
    <row r="845" spans="1:73" x14ac:dyDescent="0.3">
      <c r="A845" s="1">
        <v>18</v>
      </c>
      <c r="B845" s="1" t="s">
        <v>23</v>
      </c>
      <c r="C845" s="1" t="s">
        <v>22</v>
      </c>
      <c r="D845" t="s">
        <v>1</v>
      </c>
      <c r="E845" t="s">
        <v>0</v>
      </c>
      <c r="F845">
        <v>3</v>
      </c>
      <c r="G845">
        <v>2.2222222222222219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3</v>
      </c>
      <c r="S845">
        <v>2.2222222222222219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2.2222222222222219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 s="1">
        <v>18</v>
      </c>
      <c r="AJ845" s="1" t="s">
        <v>23</v>
      </c>
      <c r="AK845" s="1" t="s">
        <v>22</v>
      </c>
      <c r="AL845" t="s">
        <v>1</v>
      </c>
      <c r="AM845" t="s">
        <v>0</v>
      </c>
      <c r="AN845">
        <v>270</v>
      </c>
      <c r="AO845">
        <v>200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270</v>
      </c>
      <c r="BA845">
        <v>200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270</v>
      </c>
      <c r="BJ845">
        <v>200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f>(I845+J845+N845+O845)/4</f>
        <v>0</v>
      </c>
      <c r="BR845">
        <f>(K845+L845+M845)/3</f>
        <v>0</v>
      </c>
      <c r="BS845">
        <v>0</v>
      </c>
      <c r="BT845">
        <v>0</v>
      </c>
      <c r="BU845" t="str">
        <f>IF(OR(A845=2, A845=12), "Central", IF(A845=3, "Semi-Central", "Periférica"))</f>
        <v>Periférica</v>
      </c>
    </row>
    <row r="846" spans="1:73" x14ac:dyDescent="0.3">
      <c r="A846" s="1">
        <v>18</v>
      </c>
      <c r="B846" s="1" t="s">
        <v>21</v>
      </c>
      <c r="C846" s="1" t="s">
        <v>20</v>
      </c>
      <c r="D846" t="s">
        <v>5</v>
      </c>
      <c r="E846" t="s">
        <v>0</v>
      </c>
      <c r="F846">
        <v>0</v>
      </c>
      <c r="G846">
        <v>0</v>
      </c>
      <c r="H846">
        <v>0</v>
      </c>
      <c r="I846">
        <v>4.666666666666667</v>
      </c>
      <c r="J846">
        <v>2.666666666666667</v>
      </c>
      <c r="K846">
        <v>0</v>
      </c>
      <c r="L846">
        <v>0</v>
      </c>
      <c r="M846">
        <v>0</v>
      </c>
      <c r="N846">
        <v>5.5</v>
      </c>
      <c r="O846">
        <v>6</v>
      </c>
      <c r="P846">
        <v>3.333333333333333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 s="1">
        <v>18</v>
      </c>
      <c r="AJ846" s="1" t="s">
        <v>21</v>
      </c>
      <c r="AK846" s="1" t="s">
        <v>20</v>
      </c>
      <c r="AL846" t="s">
        <v>5</v>
      </c>
      <c r="AM846" t="s">
        <v>0</v>
      </c>
      <c r="AN846">
        <v>0</v>
      </c>
      <c r="AO846">
        <v>0</v>
      </c>
      <c r="AP846">
        <v>0</v>
      </c>
      <c r="AQ846">
        <v>700</v>
      </c>
      <c r="AR846">
        <v>400</v>
      </c>
      <c r="AS846">
        <v>0</v>
      </c>
      <c r="AT846">
        <v>0</v>
      </c>
      <c r="AU846">
        <v>0</v>
      </c>
      <c r="AV846">
        <v>825</v>
      </c>
      <c r="AW846">
        <v>900</v>
      </c>
      <c r="AX846">
        <v>500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f>(I846+J846+N846+O846)/4</f>
        <v>4.7083333333333339</v>
      </c>
      <c r="BR846">
        <f>(K846+L846+M846)/3</f>
        <v>0</v>
      </c>
      <c r="BS846">
        <v>0</v>
      </c>
      <c r="BT846">
        <f>AQ846/I846</f>
        <v>150</v>
      </c>
      <c r="BU846" t="str">
        <f>IF(OR(A846=2, A846=12), "Central", IF(A846=3, "Semi-Central", "Periférica"))</f>
        <v>Periférica</v>
      </c>
    </row>
    <row r="847" spans="1:73" x14ac:dyDescent="0.3">
      <c r="A847" s="1">
        <v>18</v>
      </c>
      <c r="B847" s="1" t="s">
        <v>21</v>
      </c>
      <c r="C847" s="1" t="s">
        <v>20</v>
      </c>
      <c r="D847" t="s">
        <v>1</v>
      </c>
      <c r="E847" t="s">
        <v>0</v>
      </c>
      <c r="F847">
        <v>0</v>
      </c>
      <c r="G847">
        <v>0</v>
      </c>
      <c r="H847">
        <v>4</v>
      </c>
      <c r="I847">
        <v>5.333333333333333</v>
      </c>
      <c r="J847">
        <v>2</v>
      </c>
      <c r="K847">
        <v>0</v>
      </c>
      <c r="L847">
        <v>0</v>
      </c>
      <c r="M847">
        <v>0</v>
      </c>
      <c r="N847">
        <v>5.5</v>
      </c>
      <c r="O847">
        <v>6</v>
      </c>
      <c r="P847">
        <v>3.333333333333333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 s="1">
        <v>18</v>
      </c>
      <c r="AJ847" s="1" t="s">
        <v>21</v>
      </c>
      <c r="AK847" s="1" t="s">
        <v>20</v>
      </c>
      <c r="AL847" t="s">
        <v>1</v>
      </c>
      <c r="AM847" t="s">
        <v>0</v>
      </c>
      <c r="AN847">
        <v>0</v>
      </c>
      <c r="AO847">
        <v>0</v>
      </c>
      <c r="AP847">
        <v>600</v>
      </c>
      <c r="AQ847">
        <v>800</v>
      </c>
      <c r="AR847">
        <v>300</v>
      </c>
      <c r="AS847">
        <v>0</v>
      </c>
      <c r="AT847">
        <v>0</v>
      </c>
      <c r="AU847">
        <v>0</v>
      </c>
      <c r="AV847">
        <v>825</v>
      </c>
      <c r="AW847">
        <v>900</v>
      </c>
      <c r="AX847">
        <v>500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f>(I847+J847+N847+O847)/4</f>
        <v>4.708333333333333</v>
      </c>
      <c r="BR847">
        <f>(K847+L847+M847)/3</f>
        <v>0</v>
      </c>
      <c r="BS847">
        <v>0</v>
      </c>
      <c r="BT847">
        <f>AQ847/I847</f>
        <v>150</v>
      </c>
      <c r="BU847" t="str">
        <f>IF(OR(A847=2, A847=12), "Central", IF(A847=3, "Semi-Central", "Periférica"))</f>
        <v>Periférica</v>
      </c>
    </row>
    <row r="848" spans="1:73" x14ac:dyDescent="0.3">
      <c r="A848" s="1">
        <v>18</v>
      </c>
      <c r="B848" s="1">
        <v>1808</v>
      </c>
      <c r="C848" s="1">
        <v>208</v>
      </c>
      <c r="D848" t="s">
        <v>1</v>
      </c>
      <c r="E848" t="s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 s="1">
        <v>18</v>
      </c>
      <c r="AJ848" s="1">
        <v>1808</v>
      </c>
      <c r="AK848" s="1">
        <v>208</v>
      </c>
      <c r="AL848" t="s">
        <v>1</v>
      </c>
      <c r="AM848" t="s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f>(I848+J848+N848+O848)/4</f>
        <v>0</v>
      </c>
      <c r="BR848">
        <f>(K848+L848+M848)/3</f>
        <v>0</v>
      </c>
      <c r="BS848">
        <v>0</v>
      </c>
      <c r="BT848">
        <v>0</v>
      </c>
      <c r="BU848" t="str">
        <f>IF(OR(A848=2, A848=12), "Central", IF(A848=3, "Semi-Central", "Periférica"))</f>
        <v>Periférica</v>
      </c>
    </row>
    <row r="849" spans="1:73" x14ac:dyDescent="0.3">
      <c r="A849" s="1">
        <v>18</v>
      </c>
      <c r="B849" s="1" t="s">
        <v>19</v>
      </c>
      <c r="C849" s="1" t="s">
        <v>18</v>
      </c>
      <c r="D849" t="s">
        <v>1</v>
      </c>
      <c r="E849" t="s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 s="1">
        <v>18</v>
      </c>
      <c r="AJ849" s="1" t="s">
        <v>19</v>
      </c>
      <c r="AK849" s="1" t="s">
        <v>18</v>
      </c>
      <c r="AL849" t="s">
        <v>1</v>
      </c>
      <c r="AM849" t="s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f>(I849+J849+N849+O849)/4</f>
        <v>0</v>
      </c>
      <c r="BR849">
        <f>(K849+L849+M849)/3</f>
        <v>0</v>
      </c>
      <c r="BS849">
        <v>0</v>
      </c>
      <c r="BT849">
        <v>0</v>
      </c>
      <c r="BU849" t="str">
        <f>IF(OR(A849=2, A849=12), "Central", IF(A849=3, "Semi-Central", "Periférica"))</f>
        <v>Periférica</v>
      </c>
    </row>
    <row r="850" spans="1:73" x14ac:dyDescent="0.3">
      <c r="A850" s="1">
        <v>18</v>
      </c>
      <c r="B850" s="1" t="s">
        <v>17</v>
      </c>
      <c r="C850" s="1">
        <v>216</v>
      </c>
      <c r="D850" t="s">
        <v>5</v>
      </c>
      <c r="E850" t="s">
        <v>0</v>
      </c>
      <c r="F850">
        <v>0</v>
      </c>
      <c r="G850">
        <v>0</v>
      </c>
      <c r="H850">
        <v>0</v>
      </c>
      <c r="I850">
        <v>2</v>
      </c>
      <c r="J850">
        <v>0.66666666666666663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s="1">
        <v>18</v>
      </c>
      <c r="AJ850" s="1" t="s">
        <v>17</v>
      </c>
      <c r="AK850" s="1">
        <v>216</v>
      </c>
      <c r="AL850" t="s">
        <v>5</v>
      </c>
      <c r="AM850" t="s">
        <v>0</v>
      </c>
      <c r="AN850">
        <v>0</v>
      </c>
      <c r="AO850">
        <v>0</v>
      </c>
      <c r="AP850">
        <v>0</v>
      </c>
      <c r="AQ850">
        <v>180</v>
      </c>
      <c r="AR850">
        <v>60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f>(I850+J850+N850+O850)/4</f>
        <v>0.66666666666666663</v>
      </c>
      <c r="BR850">
        <f>(K850+L850+M850)/3</f>
        <v>0</v>
      </c>
      <c r="BS850">
        <v>0</v>
      </c>
      <c r="BT850">
        <f>AQ850/I850</f>
        <v>90</v>
      </c>
      <c r="BU850" t="str">
        <f>IF(OR(A850=2, A850=12), "Central", IF(A850=3, "Semi-Central", "Periférica"))</f>
        <v>Periférica</v>
      </c>
    </row>
    <row r="851" spans="1:73" x14ac:dyDescent="0.3">
      <c r="A851" s="1">
        <v>18</v>
      </c>
      <c r="B851" s="1" t="s">
        <v>17</v>
      </c>
      <c r="C851" s="1">
        <v>216</v>
      </c>
      <c r="D851" t="s">
        <v>1</v>
      </c>
      <c r="E851" t="s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0.5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 s="1">
        <v>18</v>
      </c>
      <c r="AJ851" s="1" t="s">
        <v>17</v>
      </c>
      <c r="AK851" s="1">
        <v>216</v>
      </c>
      <c r="AL851" t="s">
        <v>1</v>
      </c>
      <c r="AM851" t="s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45</v>
      </c>
      <c r="AW851">
        <v>90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f>(I851+J851+N851+O851)/4</f>
        <v>0.375</v>
      </c>
      <c r="BR851">
        <f>(K851+L851+M851)/3</f>
        <v>0</v>
      </c>
      <c r="BS851">
        <v>0</v>
      </c>
      <c r="BT851">
        <v>0</v>
      </c>
      <c r="BU851" t="str">
        <f>IF(OR(A851=2, A851=12), "Central", IF(A851=3, "Semi-Central", "Periférica"))</f>
        <v>Periférica</v>
      </c>
    </row>
    <row r="852" spans="1:73" x14ac:dyDescent="0.3">
      <c r="A852" s="1">
        <v>18</v>
      </c>
      <c r="B852" s="1" t="s">
        <v>16</v>
      </c>
      <c r="C852" s="1" t="s">
        <v>14</v>
      </c>
      <c r="D852" t="s">
        <v>5</v>
      </c>
      <c r="E852" t="s">
        <v>0</v>
      </c>
      <c r="F852">
        <v>0</v>
      </c>
      <c r="G852">
        <v>0</v>
      </c>
      <c r="H852">
        <v>7</v>
      </c>
      <c r="I852">
        <v>7.333333333333333</v>
      </c>
      <c r="J852">
        <v>6</v>
      </c>
      <c r="K852">
        <v>0</v>
      </c>
      <c r="L852">
        <v>0</v>
      </c>
      <c r="M852">
        <v>0</v>
      </c>
      <c r="N852">
        <v>2.5</v>
      </c>
      <c r="O852">
        <v>5</v>
      </c>
      <c r="P852">
        <v>1.333333333333333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 s="1">
        <v>18</v>
      </c>
      <c r="AJ852" s="1" t="s">
        <v>16</v>
      </c>
      <c r="AK852" s="1" t="s">
        <v>14</v>
      </c>
      <c r="AL852" t="s">
        <v>5</v>
      </c>
      <c r="AM852" t="s">
        <v>0</v>
      </c>
      <c r="AN852">
        <v>0</v>
      </c>
      <c r="AO852">
        <v>0</v>
      </c>
      <c r="AP852">
        <v>630</v>
      </c>
      <c r="AQ852">
        <v>660</v>
      </c>
      <c r="AR852">
        <v>540</v>
      </c>
      <c r="AS852">
        <v>0</v>
      </c>
      <c r="AT852">
        <v>0</v>
      </c>
      <c r="AU852">
        <v>0</v>
      </c>
      <c r="AV852">
        <v>225</v>
      </c>
      <c r="AW852">
        <v>450</v>
      </c>
      <c r="AX852">
        <v>120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f>(I852+J852+N852+O852)/4</f>
        <v>5.208333333333333</v>
      </c>
      <c r="BR852">
        <f>(K852+L852+M852)/3</f>
        <v>0</v>
      </c>
      <c r="BS852">
        <v>0</v>
      </c>
      <c r="BT852">
        <f>AQ852/I852</f>
        <v>90</v>
      </c>
      <c r="BU852" t="str">
        <f>IF(OR(A852=2, A852=12), "Central", IF(A852=3, "Semi-Central", "Periférica"))</f>
        <v>Periférica</v>
      </c>
    </row>
    <row r="853" spans="1:73" x14ac:dyDescent="0.3">
      <c r="A853" s="1">
        <v>18</v>
      </c>
      <c r="B853" s="1" t="s">
        <v>16</v>
      </c>
      <c r="C853" s="1" t="s">
        <v>14</v>
      </c>
      <c r="D853" t="s">
        <v>1</v>
      </c>
      <c r="E853" t="s">
        <v>0</v>
      </c>
      <c r="F853">
        <v>0</v>
      </c>
      <c r="G853">
        <v>0</v>
      </c>
      <c r="H853">
        <v>2</v>
      </c>
      <c r="I853">
        <v>6</v>
      </c>
      <c r="J853">
        <v>1.333333333333333</v>
      </c>
      <c r="K853">
        <v>0</v>
      </c>
      <c r="L853">
        <v>0</v>
      </c>
      <c r="M853">
        <v>0</v>
      </c>
      <c r="N853">
        <v>4.5</v>
      </c>
      <c r="O853">
        <v>7</v>
      </c>
      <c r="P853">
        <v>3.333333333333333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 s="1">
        <v>18</v>
      </c>
      <c r="AJ853" s="1" t="s">
        <v>16</v>
      </c>
      <c r="AK853" s="1" t="s">
        <v>14</v>
      </c>
      <c r="AL853" t="s">
        <v>1</v>
      </c>
      <c r="AM853" t="s">
        <v>0</v>
      </c>
      <c r="AN853">
        <v>0</v>
      </c>
      <c r="AO853">
        <v>0</v>
      </c>
      <c r="AP853">
        <v>180</v>
      </c>
      <c r="AQ853">
        <v>540</v>
      </c>
      <c r="AR853">
        <v>120</v>
      </c>
      <c r="AS853">
        <v>0</v>
      </c>
      <c r="AT853">
        <v>0</v>
      </c>
      <c r="AU853">
        <v>0</v>
      </c>
      <c r="AV853">
        <v>405</v>
      </c>
      <c r="AW853">
        <v>630</v>
      </c>
      <c r="AX853">
        <v>300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f>(I853+J853+N853+O853)/4</f>
        <v>4.708333333333333</v>
      </c>
      <c r="BR853">
        <f>(K853+L853+M853)/3</f>
        <v>0</v>
      </c>
      <c r="BS853">
        <v>0</v>
      </c>
      <c r="BT853">
        <f>AQ853/I853</f>
        <v>90</v>
      </c>
      <c r="BU853" t="str">
        <f>IF(OR(A853=2, A853=12), "Central", IF(A853=3, "Semi-Central", "Periférica"))</f>
        <v>Periférica</v>
      </c>
    </row>
    <row r="854" spans="1:73" x14ac:dyDescent="0.3">
      <c r="A854" s="1">
        <v>18</v>
      </c>
      <c r="B854" s="1" t="s">
        <v>15</v>
      </c>
      <c r="C854" s="1" t="s">
        <v>14</v>
      </c>
      <c r="D854" t="s">
        <v>5</v>
      </c>
      <c r="E854" t="s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 s="1">
        <v>18</v>
      </c>
      <c r="AJ854" s="1" t="s">
        <v>15</v>
      </c>
      <c r="AK854" s="1" t="s">
        <v>14</v>
      </c>
      <c r="AL854" t="s">
        <v>5</v>
      </c>
      <c r="AM854" t="s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f>(I854+J854+N854+O854)/4</f>
        <v>0</v>
      </c>
      <c r="BR854">
        <f>(K854+L854+M854)/3</f>
        <v>0</v>
      </c>
      <c r="BS854">
        <v>0</v>
      </c>
      <c r="BT854">
        <v>0</v>
      </c>
      <c r="BU854" t="str">
        <f>IF(OR(A854=2, A854=12), "Central", IF(A854=3, "Semi-Central", "Periférica"))</f>
        <v>Periférica</v>
      </c>
    </row>
    <row r="855" spans="1:73" x14ac:dyDescent="0.3">
      <c r="A855" s="1">
        <v>18</v>
      </c>
      <c r="B855" s="1" t="s">
        <v>15</v>
      </c>
      <c r="C855" s="1" t="s">
        <v>14</v>
      </c>
      <c r="D855" t="s">
        <v>1</v>
      </c>
      <c r="E855" t="s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 s="1">
        <v>18</v>
      </c>
      <c r="AJ855" s="1" t="s">
        <v>15</v>
      </c>
      <c r="AK855" s="1" t="s">
        <v>14</v>
      </c>
      <c r="AL855" t="s">
        <v>1</v>
      </c>
      <c r="AM855" t="s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90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f>(I855+J855+N855+O855)/4</f>
        <v>0.25</v>
      </c>
      <c r="BR855">
        <f>(K855+L855+M855)/3</f>
        <v>0</v>
      </c>
      <c r="BS855">
        <v>0</v>
      </c>
      <c r="BT855">
        <v>0</v>
      </c>
      <c r="BU855" t="str">
        <f>IF(OR(A855=2, A855=12), "Central", IF(A855=3, "Semi-Central", "Periférica"))</f>
        <v>Periférica</v>
      </c>
    </row>
    <row r="856" spans="1:73" x14ac:dyDescent="0.3">
      <c r="A856" s="1">
        <v>18</v>
      </c>
      <c r="B856" s="1">
        <v>1844</v>
      </c>
      <c r="C856" s="1">
        <v>244</v>
      </c>
      <c r="D856" t="s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 s="1">
        <v>18</v>
      </c>
      <c r="AJ856" s="1">
        <v>1844</v>
      </c>
      <c r="AK856" s="1">
        <v>244</v>
      </c>
      <c r="AL856" t="s">
        <v>1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f>(I856+J856+N856+O856)/4</f>
        <v>0</v>
      </c>
      <c r="BR856">
        <f>(K856+L856+M856)/3</f>
        <v>0</v>
      </c>
      <c r="BS856">
        <v>0</v>
      </c>
      <c r="BT856">
        <v>0</v>
      </c>
      <c r="BU856" t="str">
        <f>IF(OR(A856=2, A856=12), "Central", IF(A856=3, "Semi-Central", "Periférica"))</f>
        <v>Periférica</v>
      </c>
    </row>
    <row r="857" spans="1:73" x14ac:dyDescent="0.3">
      <c r="A857" s="1">
        <v>18</v>
      </c>
      <c r="B857" s="1">
        <v>1831</v>
      </c>
      <c r="C857" s="1" t="s">
        <v>13</v>
      </c>
      <c r="D857" t="s">
        <v>5</v>
      </c>
      <c r="F857">
        <v>0</v>
      </c>
      <c r="G857">
        <v>0.44444444444444442</v>
      </c>
      <c r="H857">
        <v>4</v>
      </c>
      <c r="I857">
        <v>6.666666666666667</v>
      </c>
      <c r="J857">
        <v>4</v>
      </c>
      <c r="K857">
        <v>0</v>
      </c>
      <c r="L857">
        <v>0</v>
      </c>
      <c r="M857">
        <v>0</v>
      </c>
      <c r="N857">
        <v>4.5</v>
      </c>
      <c r="O857">
        <v>4.5</v>
      </c>
      <c r="P857">
        <v>2.666666666666667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 s="1">
        <v>18</v>
      </c>
      <c r="AJ857" s="1">
        <v>1831</v>
      </c>
      <c r="AK857" s="1" t="s">
        <v>13</v>
      </c>
      <c r="AL857" t="s">
        <v>5</v>
      </c>
      <c r="AN857">
        <v>0</v>
      </c>
      <c r="AO857">
        <v>40</v>
      </c>
      <c r="AP857">
        <v>360</v>
      </c>
      <c r="AQ857">
        <v>600</v>
      </c>
      <c r="AR857">
        <v>360</v>
      </c>
      <c r="AS857">
        <v>0</v>
      </c>
      <c r="AT857">
        <v>0</v>
      </c>
      <c r="AU857">
        <v>0</v>
      </c>
      <c r="AV857">
        <v>405</v>
      </c>
      <c r="AW857">
        <v>405</v>
      </c>
      <c r="AX857">
        <v>240</v>
      </c>
      <c r="AY857">
        <v>90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f>(I857+J857+N857+O857)/4</f>
        <v>4.916666666666667</v>
      </c>
      <c r="BR857">
        <f>(K857+L857+M857)/3</f>
        <v>0</v>
      </c>
      <c r="BS857">
        <v>0</v>
      </c>
      <c r="BT857">
        <f>AQ857/I857</f>
        <v>90</v>
      </c>
      <c r="BU857" t="str">
        <f>IF(OR(A857=2, A857=12), "Central", IF(A857=3, "Semi-Central", "Periférica"))</f>
        <v>Periférica</v>
      </c>
    </row>
    <row r="858" spans="1:73" x14ac:dyDescent="0.3">
      <c r="A858" s="1">
        <v>18</v>
      </c>
      <c r="B858" s="1">
        <v>1831</v>
      </c>
      <c r="C858" s="1" t="s">
        <v>13</v>
      </c>
      <c r="D858" t="s">
        <v>1</v>
      </c>
      <c r="F858">
        <v>0</v>
      </c>
      <c r="G858">
        <v>0</v>
      </c>
      <c r="H858">
        <v>4</v>
      </c>
      <c r="I858">
        <v>6.666666666666667</v>
      </c>
      <c r="J858">
        <v>4</v>
      </c>
      <c r="K858">
        <v>0</v>
      </c>
      <c r="L858">
        <v>0</v>
      </c>
      <c r="M858">
        <v>0</v>
      </c>
      <c r="N858">
        <v>4.5</v>
      </c>
      <c r="O858">
        <v>4.5</v>
      </c>
      <c r="P858">
        <v>2.666666666666667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 s="1">
        <v>18</v>
      </c>
      <c r="AJ858" s="1">
        <v>1831</v>
      </c>
      <c r="AK858" s="1" t="s">
        <v>13</v>
      </c>
      <c r="AL858" t="s">
        <v>1</v>
      </c>
      <c r="AN858">
        <v>0</v>
      </c>
      <c r="AO858">
        <v>0</v>
      </c>
      <c r="AP858">
        <v>360</v>
      </c>
      <c r="AQ858">
        <v>600</v>
      </c>
      <c r="AR858">
        <v>360</v>
      </c>
      <c r="AS858">
        <v>0</v>
      </c>
      <c r="AT858">
        <v>0</v>
      </c>
      <c r="AU858">
        <v>0</v>
      </c>
      <c r="AV858">
        <v>405</v>
      </c>
      <c r="AW858">
        <v>405</v>
      </c>
      <c r="AX858">
        <v>240</v>
      </c>
      <c r="AY858">
        <v>90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f>(I858+J858+N858+O858)/4</f>
        <v>4.916666666666667</v>
      </c>
      <c r="BR858">
        <f>(K858+L858+M858)/3</f>
        <v>0</v>
      </c>
      <c r="BS858">
        <v>0</v>
      </c>
      <c r="BT858">
        <f>AQ858/I858</f>
        <v>90</v>
      </c>
      <c r="BU858" t="str">
        <f>IF(OR(A858=2, A858=12), "Central", IF(A858=3, "Semi-Central", "Periférica"))</f>
        <v>Periférica</v>
      </c>
    </row>
    <row r="859" spans="1:73" x14ac:dyDescent="0.3">
      <c r="A859" s="1">
        <v>18</v>
      </c>
      <c r="B859" s="1">
        <v>1833</v>
      </c>
      <c r="C859" s="1" t="s">
        <v>12</v>
      </c>
      <c r="D859" t="s">
        <v>1</v>
      </c>
      <c r="E859" t="s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 s="1">
        <v>18</v>
      </c>
      <c r="AJ859" s="1">
        <v>1833</v>
      </c>
      <c r="AK859" s="1" t="s">
        <v>12</v>
      </c>
      <c r="AL859" t="s">
        <v>1</v>
      </c>
      <c r="AM859" t="s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f>(I859+J859+N859+O859)/4</f>
        <v>0</v>
      </c>
      <c r="BR859">
        <f>(K859+L859+M859)/3</f>
        <v>0</v>
      </c>
      <c r="BS859">
        <v>0</v>
      </c>
      <c r="BT859">
        <v>0</v>
      </c>
      <c r="BU859" t="str">
        <f>IF(OR(A859=2, A859=12), "Central", IF(A859=3, "Semi-Central", "Periférica"))</f>
        <v>Periférica</v>
      </c>
    </row>
    <row r="860" spans="1:73" x14ac:dyDescent="0.3">
      <c r="A860" s="1">
        <v>18</v>
      </c>
      <c r="B860" s="1" t="s">
        <v>11</v>
      </c>
      <c r="C860" s="1" t="s">
        <v>10</v>
      </c>
      <c r="D860" t="s">
        <v>5</v>
      </c>
      <c r="E860" t="s">
        <v>0</v>
      </c>
      <c r="F860">
        <v>2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</v>
      </c>
      <c r="S860">
        <v>2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2</v>
      </c>
      <c r="AB860">
        <v>2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 s="1">
        <v>18</v>
      </c>
      <c r="AJ860" s="1" t="s">
        <v>11</v>
      </c>
      <c r="AK860" s="1" t="s">
        <v>10</v>
      </c>
      <c r="AL860" t="s">
        <v>5</v>
      </c>
      <c r="AM860" t="s">
        <v>0</v>
      </c>
      <c r="AN860">
        <v>180</v>
      </c>
      <c r="AO860">
        <v>180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180</v>
      </c>
      <c r="BA860">
        <v>180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180</v>
      </c>
      <c r="BJ860">
        <v>180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f>(I860+J860+N860+O860)/4</f>
        <v>0</v>
      </c>
      <c r="BR860">
        <f>(K860+L860+M860)/3</f>
        <v>0</v>
      </c>
      <c r="BS860">
        <v>0</v>
      </c>
      <c r="BT860">
        <v>0</v>
      </c>
      <c r="BU860" t="str">
        <f>IF(OR(A860=2, A860=12), "Central", IF(A860=3, "Semi-Central", "Periférica"))</f>
        <v>Periférica</v>
      </c>
    </row>
    <row r="861" spans="1:73" x14ac:dyDescent="0.3">
      <c r="A861" s="1">
        <v>18</v>
      </c>
      <c r="B861" s="1" t="s">
        <v>11</v>
      </c>
      <c r="C861" s="1" t="s">
        <v>10</v>
      </c>
      <c r="D861" t="s">
        <v>1</v>
      </c>
      <c r="E861" t="s">
        <v>0</v>
      </c>
      <c r="F861">
        <v>2</v>
      </c>
      <c r="G861">
        <v>2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2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2</v>
      </c>
      <c r="AB861">
        <v>2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 s="1">
        <v>18</v>
      </c>
      <c r="AJ861" s="1" t="s">
        <v>11</v>
      </c>
      <c r="AK861" s="1" t="s">
        <v>10</v>
      </c>
      <c r="AL861" t="s">
        <v>1</v>
      </c>
      <c r="AM861" t="s">
        <v>0</v>
      </c>
      <c r="AN861">
        <v>180</v>
      </c>
      <c r="AO861">
        <v>180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180</v>
      </c>
      <c r="BA861">
        <v>180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180</v>
      </c>
      <c r="BJ861">
        <v>180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f>(I861+J861+N861+O861)/4</f>
        <v>0</v>
      </c>
      <c r="BR861">
        <f>(K861+L861+M861)/3</f>
        <v>0</v>
      </c>
      <c r="BS861">
        <v>0</v>
      </c>
      <c r="BT861">
        <v>0</v>
      </c>
      <c r="BU861" t="str">
        <f>IF(OR(A861=2, A861=12), "Central", IF(A861=3, "Semi-Central", "Periférica"))</f>
        <v>Periférica</v>
      </c>
    </row>
    <row r="862" spans="1:73" x14ac:dyDescent="0.3">
      <c r="A862" s="1">
        <v>19</v>
      </c>
      <c r="B862" s="1">
        <v>1930</v>
      </c>
      <c r="C862" s="1">
        <v>230</v>
      </c>
      <c r="D862" t="s">
        <v>1</v>
      </c>
      <c r="E862" t="s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s="1">
        <v>19</v>
      </c>
      <c r="AJ862" s="1">
        <v>1930</v>
      </c>
      <c r="AK862" s="1">
        <v>230</v>
      </c>
      <c r="AL862" t="s">
        <v>1</v>
      </c>
      <c r="AM862" t="s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f>(I862+J862+N862+O862)/4</f>
        <v>0</v>
      </c>
      <c r="BR862">
        <f>(K862+L862+M862)/3</f>
        <v>0</v>
      </c>
      <c r="BS862">
        <v>0</v>
      </c>
      <c r="BT862">
        <v>0</v>
      </c>
      <c r="BU862" t="str">
        <f>IF(OR(A862=2, A862=12), "Central", IF(A862=3, "Semi-Central", "Periférica"))</f>
        <v>Periférica</v>
      </c>
    </row>
    <row r="863" spans="1:73" x14ac:dyDescent="0.3">
      <c r="A863" s="1">
        <v>19</v>
      </c>
      <c r="B863" s="1" t="s">
        <v>9</v>
      </c>
      <c r="C863" s="1" t="s">
        <v>8</v>
      </c>
      <c r="D863" t="s">
        <v>5</v>
      </c>
      <c r="E863" t="s">
        <v>0</v>
      </c>
      <c r="F863">
        <v>3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3</v>
      </c>
      <c r="S863">
        <v>2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2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 s="1">
        <v>19</v>
      </c>
      <c r="AJ863" s="1" t="s">
        <v>9</v>
      </c>
      <c r="AK863" s="1" t="s">
        <v>8</v>
      </c>
      <c r="AL863" t="s">
        <v>5</v>
      </c>
      <c r="AM863" t="s">
        <v>0</v>
      </c>
      <c r="AN863">
        <v>270</v>
      </c>
      <c r="AO863">
        <v>180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270</v>
      </c>
      <c r="BA863">
        <v>180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270</v>
      </c>
      <c r="BJ863">
        <v>180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f>(I863+J863+N863+O863)/4</f>
        <v>0</v>
      </c>
      <c r="BR863">
        <f>(K863+L863+M863)/3</f>
        <v>0</v>
      </c>
      <c r="BS863">
        <v>0</v>
      </c>
      <c r="BT863">
        <v>0</v>
      </c>
      <c r="BU863" t="str">
        <f>IF(OR(A863=2, A863=12), "Central", IF(A863=3, "Semi-Central", "Periférica"))</f>
        <v>Periférica</v>
      </c>
    </row>
    <row r="864" spans="1:73" x14ac:dyDescent="0.3">
      <c r="A864" s="1">
        <v>19</v>
      </c>
      <c r="B864" s="1" t="s">
        <v>9</v>
      </c>
      <c r="C864" s="1" t="s">
        <v>8</v>
      </c>
      <c r="D864" t="s">
        <v>1</v>
      </c>
      <c r="E864" t="s">
        <v>0</v>
      </c>
      <c r="F864">
        <v>3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3</v>
      </c>
      <c r="S864">
        <v>2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2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s="1">
        <v>19</v>
      </c>
      <c r="AJ864" s="1" t="s">
        <v>9</v>
      </c>
      <c r="AK864" s="1" t="s">
        <v>8</v>
      </c>
      <c r="AL864" t="s">
        <v>1</v>
      </c>
      <c r="AM864" t="s">
        <v>0</v>
      </c>
      <c r="AN864">
        <v>270</v>
      </c>
      <c r="AO864">
        <v>180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270</v>
      </c>
      <c r="BA864">
        <v>180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270</v>
      </c>
      <c r="BJ864">
        <v>180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f>(I864+J864+N864+O864)/4</f>
        <v>0</v>
      </c>
      <c r="BR864">
        <f>(K864+L864+M864)/3</f>
        <v>0</v>
      </c>
      <c r="BS864">
        <v>0</v>
      </c>
      <c r="BT864">
        <v>0</v>
      </c>
      <c r="BU864" t="str">
        <f>IF(OR(A864=2, A864=12), "Central", IF(A864=3, "Semi-Central", "Periférica"))</f>
        <v>Periférica</v>
      </c>
    </row>
    <row r="865" spans="1:73" x14ac:dyDescent="0.3">
      <c r="A865" s="1">
        <v>19</v>
      </c>
      <c r="B865" s="1">
        <v>1972</v>
      </c>
      <c r="C865" s="1">
        <v>272</v>
      </c>
      <c r="D865" t="s">
        <v>1</v>
      </c>
      <c r="E865" t="s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 s="1">
        <v>19</v>
      </c>
      <c r="AJ865" s="1">
        <v>1972</v>
      </c>
      <c r="AK865" s="1">
        <v>272</v>
      </c>
      <c r="AL865" t="s">
        <v>1</v>
      </c>
      <c r="AM865" t="s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f>(I865+J865+N865+O865)/4</f>
        <v>0</v>
      </c>
      <c r="BR865">
        <f>(K865+L865+M865)/3</f>
        <v>0</v>
      </c>
      <c r="BS865">
        <v>0</v>
      </c>
      <c r="BT865">
        <v>0</v>
      </c>
      <c r="BU865" t="str">
        <f>IF(OR(A865=2, A865=12), "Central", IF(A865=3, "Semi-Central", "Periférica"))</f>
        <v>Periférica</v>
      </c>
    </row>
    <row r="866" spans="1:73" x14ac:dyDescent="0.3">
      <c r="A866" s="1">
        <v>19</v>
      </c>
      <c r="B866" s="1" t="s">
        <v>7</v>
      </c>
      <c r="C866" s="1" t="s">
        <v>6</v>
      </c>
      <c r="D866" t="s">
        <v>5</v>
      </c>
      <c r="E866" t="s">
        <v>0</v>
      </c>
      <c r="F866">
        <v>3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3</v>
      </c>
      <c r="S866">
        <v>2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2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 s="1">
        <v>19</v>
      </c>
      <c r="AJ866" s="1" t="s">
        <v>7</v>
      </c>
      <c r="AK866" s="1" t="s">
        <v>6</v>
      </c>
      <c r="AL866" t="s">
        <v>5</v>
      </c>
      <c r="AM866" t="s">
        <v>0</v>
      </c>
      <c r="AN866">
        <v>270</v>
      </c>
      <c r="AO866">
        <v>180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270</v>
      </c>
      <c r="BA866">
        <v>180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270</v>
      </c>
      <c r="BJ866">
        <v>180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f>(I866+J866+N866+O866)/4</f>
        <v>0</v>
      </c>
      <c r="BR866">
        <f>(K866+L866+M866)/3</f>
        <v>0</v>
      </c>
      <c r="BS866">
        <v>0</v>
      </c>
      <c r="BT866">
        <v>0</v>
      </c>
      <c r="BU866" t="str">
        <f>IF(OR(A866=2, A866=12), "Central", IF(A866=3, "Semi-Central", "Periférica"))</f>
        <v>Periférica</v>
      </c>
    </row>
    <row r="867" spans="1:73" x14ac:dyDescent="0.3">
      <c r="A867" s="1">
        <v>19</v>
      </c>
      <c r="B867" s="1" t="s">
        <v>7</v>
      </c>
      <c r="C867" s="1" t="s">
        <v>6</v>
      </c>
      <c r="D867" t="s">
        <v>1</v>
      </c>
      <c r="E867" t="s">
        <v>0</v>
      </c>
      <c r="F867">
        <v>2</v>
      </c>
      <c r="G867">
        <v>2.4444444444444451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</v>
      </c>
      <c r="S867">
        <v>2.2222222222222219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2</v>
      </c>
      <c r="AB867">
        <v>2.2222222222222219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 s="1">
        <v>19</v>
      </c>
      <c r="AJ867" s="1" t="s">
        <v>7</v>
      </c>
      <c r="AK867" s="1" t="s">
        <v>6</v>
      </c>
      <c r="AL867" t="s">
        <v>1</v>
      </c>
      <c r="AM867" t="s">
        <v>0</v>
      </c>
      <c r="AN867">
        <v>180</v>
      </c>
      <c r="AO867">
        <v>220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180</v>
      </c>
      <c r="BA867">
        <v>200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180</v>
      </c>
      <c r="BJ867">
        <v>200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f>(I867+J867+N867+O867)/4</f>
        <v>0</v>
      </c>
      <c r="BR867">
        <f>(K867+L867+M867)/3</f>
        <v>0</v>
      </c>
      <c r="BS867">
        <v>0</v>
      </c>
      <c r="BT867">
        <v>0</v>
      </c>
      <c r="BU867" t="str">
        <f>IF(OR(A867=2, A867=12), "Central", IF(A867=3, "Semi-Central", "Periférica"))</f>
        <v>Periférica</v>
      </c>
    </row>
    <row r="868" spans="1:73" x14ac:dyDescent="0.3">
      <c r="A868" s="1">
        <v>19</v>
      </c>
      <c r="B868" s="1" t="s">
        <v>4</v>
      </c>
      <c r="C868" s="1" t="s">
        <v>3</v>
      </c>
      <c r="D868" t="s">
        <v>5</v>
      </c>
      <c r="E868" t="s">
        <v>0</v>
      </c>
      <c r="F868">
        <v>0</v>
      </c>
      <c r="G868">
        <v>0</v>
      </c>
      <c r="H868">
        <v>0</v>
      </c>
      <c r="I868">
        <v>2</v>
      </c>
      <c r="J868">
        <v>0.66666666666666663</v>
      </c>
      <c r="K868">
        <v>0</v>
      </c>
      <c r="L868">
        <v>0</v>
      </c>
      <c r="M868">
        <v>0</v>
      </c>
      <c r="N868">
        <v>2.5</v>
      </c>
      <c r="O868">
        <v>5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s="1">
        <v>19</v>
      </c>
      <c r="AJ868" s="1" t="s">
        <v>4</v>
      </c>
      <c r="AK868" s="1" t="s">
        <v>3</v>
      </c>
      <c r="AL868" t="s">
        <v>5</v>
      </c>
      <c r="AM868" t="s">
        <v>0</v>
      </c>
      <c r="AN868">
        <v>0</v>
      </c>
      <c r="AO868">
        <v>0</v>
      </c>
      <c r="AP868">
        <v>0</v>
      </c>
      <c r="AQ868">
        <v>300</v>
      </c>
      <c r="AR868">
        <v>100</v>
      </c>
      <c r="AS868">
        <v>0</v>
      </c>
      <c r="AT868">
        <v>0</v>
      </c>
      <c r="AU868">
        <v>0</v>
      </c>
      <c r="AV868">
        <v>375</v>
      </c>
      <c r="AW868">
        <v>750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f>(I868+J868+N868+O868)/4</f>
        <v>2.5416666666666665</v>
      </c>
      <c r="BR868">
        <f>(K868+L868+M868)/3</f>
        <v>0</v>
      </c>
      <c r="BS868">
        <v>0</v>
      </c>
      <c r="BT868">
        <f>AQ868/I868</f>
        <v>150</v>
      </c>
      <c r="BU868" t="str">
        <f>IF(OR(A868=2, A868=12), "Central", IF(A868=3, "Semi-Central", "Periférica"))</f>
        <v>Periférica</v>
      </c>
    </row>
    <row r="869" spans="1:73" x14ac:dyDescent="0.3">
      <c r="A869" s="1">
        <v>19</v>
      </c>
      <c r="B869" s="1" t="s">
        <v>4</v>
      </c>
      <c r="C869" s="1" t="s">
        <v>3</v>
      </c>
      <c r="D869" t="s">
        <v>1</v>
      </c>
      <c r="E869" t="s">
        <v>0</v>
      </c>
      <c r="F869">
        <v>0</v>
      </c>
      <c r="G869">
        <v>0</v>
      </c>
      <c r="H869">
        <v>4</v>
      </c>
      <c r="I869">
        <v>4</v>
      </c>
      <c r="J869">
        <v>2.666666666666667</v>
      </c>
      <c r="K869">
        <v>0</v>
      </c>
      <c r="L869">
        <v>0</v>
      </c>
      <c r="M869">
        <v>0</v>
      </c>
      <c r="N869">
        <v>1</v>
      </c>
      <c r="O869">
        <v>1.5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 s="1">
        <v>19</v>
      </c>
      <c r="AJ869" s="1" t="s">
        <v>4</v>
      </c>
      <c r="AK869" s="1" t="s">
        <v>3</v>
      </c>
      <c r="AL869" t="s">
        <v>1</v>
      </c>
      <c r="AM869" t="s">
        <v>0</v>
      </c>
      <c r="AN869">
        <v>0</v>
      </c>
      <c r="AO869">
        <v>0</v>
      </c>
      <c r="AP869">
        <v>600</v>
      </c>
      <c r="AQ869">
        <v>600</v>
      </c>
      <c r="AR869">
        <v>400</v>
      </c>
      <c r="AS869">
        <v>0</v>
      </c>
      <c r="AT869">
        <v>0</v>
      </c>
      <c r="AU869">
        <v>0</v>
      </c>
      <c r="AV869">
        <v>150</v>
      </c>
      <c r="AW869">
        <v>225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f>(I869+J869+N869+O869)/4</f>
        <v>2.291666666666667</v>
      </c>
      <c r="BR869">
        <f>(K869+L869+M869)/3</f>
        <v>0</v>
      </c>
      <c r="BS869">
        <v>0</v>
      </c>
      <c r="BT869">
        <f>AQ869/I869</f>
        <v>150</v>
      </c>
      <c r="BU869" t="str">
        <f>IF(OR(A869=2, A869=12), "Central", IF(A869=3, "Semi-Central", "Periférica"))</f>
        <v>Periférica</v>
      </c>
    </row>
    <row r="870" spans="1:73" x14ac:dyDescent="0.3">
      <c r="A870" s="1">
        <v>19</v>
      </c>
      <c r="B870" s="1">
        <v>1941</v>
      </c>
      <c r="C870" s="1" t="s">
        <v>2</v>
      </c>
      <c r="D870" t="s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 s="1">
        <v>19</v>
      </c>
      <c r="AJ870" s="1">
        <v>1941</v>
      </c>
      <c r="AK870" s="1" t="s">
        <v>2</v>
      </c>
      <c r="AL870" t="s">
        <v>1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f>(I870+J870+N870+O870)/4</f>
        <v>0</v>
      </c>
      <c r="BR870">
        <f>(K870+L870+M870)/3</f>
        <v>0</v>
      </c>
      <c r="BS870">
        <v>0</v>
      </c>
      <c r="BT870">
        <v>0</v>
      </c>
      <c r="BU870" t="str">
        <f>IF(OR(A870=2, A870=12), "Central", IF(A870=3, "Semi-Central", "Periférica"))</f>
        <v>Periférica</v>
      </c>
    </row>
    <row r="871" spans="1:73" x14ac:dyDescent="0.3">
      <c r="A871" s="1">
        <v>19</v>
      </c>
      <c r="B871" s="1">
        <v>1945</v>
      </c>
      <c r="C871" s="1">
        <v>245</v>
      </c>
      <c r="D871" t="s">
        <v>1</v>
      </c>
      <c r="E871" t="s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 s="1">
        <v>19</v>
      </c>
      <c r="AJ871" s="1">
        <v>1945</v>
      </c>
      <c r="AK871" s="1">
        <v>245</v>
      </c>
      <c r="AL871" t="s">
        <v>1</v>
      </c>
      <c r="AM871" t="s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f>(I871+J871+N871+O871)/4</f>
        <v>0</v>
      </c>
      <c r="BR871">
        <f>(K871+L871+M871)/3</f>
        <v>0</v>
      </c>
      <c r="BS871">
        <v>0</v>
      </c>
      <c r="BT871">
        <v>0</v>
      </c>
      <c r="BU871" t="str">
        <f>IF(OR(A871=2, A871=12), "Central", IF(A871=3, "Semi-Central", "Periférica"))</f>
        <v>Periférica</v>
      </c>
    </row>
  </sheetData>
  <mergeCells count="6">
    <mergeCell ref="BI2:BP2"/>
    <mergeCell ref="F2:Q2"/>
    <mergeCell ref="R2:Z2"/>
    <mergeCell ref="AA2:AH2"/>
    <mergeCell ref="AN2:AY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NUEVO 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2026-04-13T14:51:44Z</dcterms:created>
  <dcterms:modified xsi:type="dcterms:W3CDTF">2026-04-13T14:51:56Z</dcterms:modified>
</cp:coreProperties>
</file>